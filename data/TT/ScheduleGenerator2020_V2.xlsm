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TT\"/>
    </mc:Choice>
  </mc:AlternateContent>
  <xr:revisionPtr revIDLastSave="0" documentId="13_ncr:1_{CA06B557-C6C8-4D40-817D-5E942D8AE440}" xr6:coauthVersionLast="45" xr6:coauthVersionMax="45" xr10:uidLastSave="{00000000-0000-0000-0000-000000000000}"/>
  <bookViews>
    <workbookView xWindow="-54" yWindow="-54" windowWidth="19548" windowHeight="12468" tabRatio="941" xr2:uid="{5CDA8E01-4421-4719-9944-95A6066B1E62}"/>
  </bookViews>
  <sheets>
    <sheet name="Schedule" sheetId="7" r:id="rId1"/>
    <sheet name="Dates" sheetId="9" r:id="rId2"/>
    <sheet name="Scratch" sheetId="48" r:id="rId3"/>
    <sheet name="_0081084" sheetId="40" r:id="rId4"/>
    <sheet name="_040424" sheetId="67" r:id="rId5"/>
    <sheet name="_220534" sheetId="50" r:id="rId6"/>
    <sheet name="_220644" sheetId="36" r:id="rId7"/>
    <sheet name="_226330" sheetId="68" r:id="rId8"/>
    <sheet name="_224200" sheetId="49" r:id="rId9"/>
    <sheet name="_224210" sheetId="44" r:id="rId10"/>
    <sheet name="_224440" sheetId="52" r:id="rId11"/>
    <sheet name="_233220" sheetId="42" r:id="rId12"/>
    <sheet name="_235240" sheetId="51" r:id="rId13"/>
    <sheet name="_244200" sheetId="46" r:id="rId14"/>
    <sheet name="_244220" sheetId="38" r:id="rId15"/>
    <sheet name="_244224" sheetId="47" r:id="rId16"/>
    <sheet name="_244240" sheetId="60" r:id="rId17"/>
    <sheet name="_244420" sheetId="28" r:id="rId18"/>
    <sheet name="_244330" sheetId="61" r:id="rId19"/>
    <sheet name="_262220" sheetId="31" r:id="rId20"/>
    <sheet name="_262240" sheetId="32" r:id="rId21"/>
    <sheet name="_332424" sheetId="63" r:id="rId22"/>
    <sheet name="_334220" sheetId="33" r:id="rId23"/>
    <sheet name="_334240" sheetId="53" r:id="rId24"/>
    <sheet name="_334420" sheetId="54" r:id="rId25"/>
    <sheet name="_352220" sheetId="39" r:id="rId26"/>
    <sheet name="_422440" sheetId="66" r:id="rId27"/>
    <sheet name="_424220" sheetId="41" r:id="rId28"/>
    <sheet name="_424240" sheetId="55" r:id="rId29"/>
    <sheet name="_424420" sheetId="56" r:id="rId30"/>
    <sheet name="_433240" sheetId="57" r:id="rId31"/>
    <sheet name="_433220" sheetId="43" r:id="rId32"/>
    <sheet name="_442220" sheetId="35" r:id="rId33"/>
    <sheet name="_442240" sheetId="59" r:id="rId34"/>
    <sheet name="_442330" sheetId="29" r:id="rId35"/>
    <sheet name="_442420" sheetId="27" r:id="rId36"/>
    <sheet name="_440440" sheetId="34" r:id="rId37"/>
    <sheet name="_460330" sheetId="64" r:id="rId38"/>
    <sheet name="_6881080" sheetId="37" r:id="rId39"/>
    <sheet name="_6881084" sheetId="45" r:id="rId40"/>
    <sheet name="_000874" sheetId="62" r:id="rId41"/>
    <sheet name="_OpeningDay" sheetId="30" r:id="rId42"/>
    <sheet name="Tables" sheetId="2" r:id="rId43"/>
  </sheets>
  <definedNames>
    <definedName name="_000874">_000874!$A$22:$J$41</definedName>
    <definedName name="_0081084">_0081084!$A$22:$J$52</definedName>
    <definedName name="_040424">_040424!$A$22:$J$36</definedName>
    <definedName name="_220534">_220534!$A$22:$J$38</definedName>
    <definedName name="_220644">_220644!$A$22:$J$39</definedName>
    <definedName name="_224200">_224200!$A$22:$J$31</definedName>
    <definedName name="_224210">_224210!$A$22:$J$32</definedName>
    <definedName name="_224440">_224440!$A$22:$J$37</definedName>
    <definedName name="_226330">_226330!$A$22:$J$37</definedName>
    <definedName name="_233220">_233220!$A$22:$J$33</definedName>
    <definedName name="_235240">_235240!$A$22:$J$37</definedName>
    <definedName name="_244200">_244200!$A$22:$J$33</definedName>
    <definedName name="_244220">_244220!$A$22:$J$35</definedName>
    <definedName name="_244224">_244224!$A$22:$J$39</definedName>
    <definedName name="_244240">_244240!$A$22:$J$37</definedName>
    <definedName name="_244330">_244330!$A$22:$J$37</definedName>
    <definedName name="_244420">_244420!$A$22:$J$37</definedName>
    <definedName name="_262220">_262220!$A$22:$J$35</definedName>
    <definedName name="_262240">_262240!$A$22:$J$37</definedName>
    <definedName name="_332424">_332424!$A$22:$J$39</definedName>
    <definedName name="_334220">_334220!$A$22:$J$35</definedName>
    <definedName name="_334240">_334240!$A$22:$J$37</definedName>
    <definedName name="_334420">_334420!$A$22:$J$37</definedName>
    <definedName name="_352220">_352220!$A$22:$J$35</definedName>
    <definedName name="_422440">_422440!$A$22:$J$37</definedName>
    <definedName name="_424220">_424220!$A$22:$J$35</definedName>
    <definedName name="_424240">_424240!$A$22:$J$37</definedName>
    <definedName name="_424420">_424420!$A$22:$J$37</definedName>
    <definedName name="_433220">_433220!$A$22:$J$35</definedName>
    <definedName name="_433240">_433240!$A$22:$J$37</definedName>
    <definedName name="_440440">_440440!$A$22:$J$37</definedName>
    <definedName name="_442220">_442220!$A$22:$J$35</definedName>
    <definedName name="_442240">_442240!$A$22:$J$37</definedName>
    <definedName name="_442330">_442330!$A$22:$J$37</definedName>
    <definedName name="_442420">_442420!$A$22:$J$37</definedName>
    <definedName name="_460330">_460330!$A$22:$J$37</definedName>
    <definedName name="_6881080">_6881080!$A$22:$J$62</definedName>
    <definedName name="_6881084">_6881084!$A$22:$J$66</definedName>
    <definedName name="_xlnm._FilterDatabase" localSheetId="1" hidden="1">Dates!$D$1:$E$107</definedName>
    <definedName name="_xlnm._FilterDatabase" localSheetId="0" hidden="1">Schedule!$A$1:$K$692</definedName>
    <definedName name="_xlnm._FilterDatabase" localSheetId="2" hidden="1">Scratch!$G$1:$G$109</definedName>
    <definedName name="_OpeningDay">_OpeningDay!$A$22:$J$42</definedName>
    <definedName name="field_id">Tables!$A$19:$B$26</definedName>
    <definedName name="GameDays">Dates!$A$2:$B$41</definedName>
    <definedName name="GameDuration">Tables!$A$1:$B$7</definedName>
    <definedName name="generatedSchedule">Schedule!$A:$F</definedName>
    <definedName name="league_id">Tables!$A$11:$B$17</definedName>
    <definedName name="slot_compat">Tables!$A$28:$C$35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7" l="1"/>
  <c r="F24" i="37"/>
  <c r="F25" i="37"/>
  <c r="F26" i="37" s="1"/>
  <c r="F27" i="37"/>
  <c r="F28" i="37" s="1"/>
  <c r="F29" i="37" s="1"/>
  <c r="F30" i="37" s="1"/>
  <c r="F31" i="37" s="1"/>
  <c r="F32" i="37"/>
  <c r="F33" i="37"/>
  <c r="F35" i="37" s="1"/>
  <c r="F36" i="37" s="1"/>
  <c r="F37" i="37"/>
  <c r="F39" i="37" s="1"/>
  <c r="F41" i="37" s="1"/>
  <c r="F42" i="37" s="1"/>
  <c r="F43" i="37"/>
  <c r="F44" i="37" s="1"/>
  <c r="F46" i="37" s="1"/>
  <c r="F47" i="37" s="1"/>
  <c r="F48" i="37"/>
  <c r="F49" i="37"/>
  <c r="F51" i="37" s="1"/>
  <c r="F52" i="37" s="1"/>
  <c r="F53" i="37"/>
  <c r="F54" i="37" s="1"/>
  <c r="F56" i="37" s="1"/>
  <c r="F57" i="37" s="1"/>
  <c r="F58" i="37"/>
  <c r="F59" i="37" s="1"/>
  <c r="F60" i="37" s="1"/>
  <c r="F62" i="37" s="1"/>
  <c r="F23" i="37"/>
  <c r="J37" i="68" a="1"/>
  <c r="J37" i="68" s="1"/>
  <c r="G37" i="68"/>
  <c r="D37" i="68"/>
  <c r="C37" i="68"/>
  <c r="B37" i="68"/>
  <c r="J36" i="68" a="1"/>
  <c r="J36" i="68" s="1"/>
  <c r="G36" i="68"/>
  <c r="D36" i="68"/>
  <c r="C36" i="68"/>
  <c r="B36" i="68"/>
  <c r="J35" i="68" a="1"/>
  <c r="J35" i="68" s="1"/>
  <c r="G35" i="68"/>
  <c r="D35" i="68"/>
  <c r="C35" i="68"/>
  <c r="B35" i="68"/>
  <c r="J34" i="68" a="1"/>
  <c r="J34" i="68" s="1"/>
  <c r="G34" i="68"/>
  <c r="D34" i="68"/>
  <c r="C34" i="68"/>
  <c r="B34" i="68"/>
  <c r="J33" i="68" a="1"/>
  <c r="J33" i="68" s="1"/>
  <c r="G33" i="68"/>
  <c r="D33" i="68"/>
  <c r="C33" i="68"/>
  <c r="B33" i="68"/>
  <c r="J32" i="68" a="1"/>
  <c r="J32" i="68" s="1"/>
  <c r="G32" i="68"/>
  <c r="D32" i="68"/>
  <c r="C32" i="68"/>
  <c r="B32" i="68"/>
  <c r="F32" i="68" s="1"/>
  <c r="J31" i="68" a="1"/>
  <c r="J31" i="68" s="1"/>
  <c r="G31" i="68"/>
  <c r="D31" i="68"/>
  <c r="C31" i="68"/>
  <c r="B31" i="68"/>
  <c r="J30" i="68" a="1"/>
  <c r="J30" i="68" s="1"/>
  <c r="G30" i="68"/>
  <c r="D30" i="68"/>
  <c r="C30" i="68"/>
  <c r="B30" i="68"/>
  <c r="F30" i="68" s="1"/>
  <c r="J29" i="68" a="1"/>
  <c r="J29" i="68" s="1"/>
  <c r="G29" i="68"/>
  <c r="D29" i="68"/>
  <c r="C29" i="68"/>
  <c r="B29" i="68"/>
  <c r="F29" i="68" s="1"/>
  <c r="M28" i="68"/>
  <c r="J28" i="68" a="1"/>
  <c r="J28" i="68" s="1"/>
  <c r="G28" i="68"/>
  <c r="D28" i="68"/>
  <c r="C28" i="68"/>
  <c r="B28" i="68"/>
  <c r="F28" i="68" s="1"/>
  <c r="M27" i="68"/>
  <c r="J27" i="68" a="1"/>
  <c r="J27" i="68" s="1"/>
  <c r="G27" i="68"/>
  <c r="D27" i="68"/>
  <c r="C27" i="68"/>
  <c r="B27" i="68"/>
  <c r="M26" i="68"/>
  <c r="J26" i="68" a="1"/>
  <c r="J26" i="68" s="1"/>
  <c r="G26" i="68"/>
  <c r="F26" i="68"/>
  <c r="D26" i="68"/>
  <c r="C26" i="68"/>
  <c r="B26" i="68"/>
  <c r="F27" i="68" s="1"/>
  <c r="M25" i="68"/>
  <c r="J25" i="68" a="1"/>
  <c r="J25" i="68" s="1"/>
  <c r="G25" i="68"/>
  <c r="D25" i="68"/>
  <c r="C25" i="68"/>
  <c r="B25" i="68"/>
  <c r="M24" i="68"/>
  <c r="J24" i="68" a="1"/>
  <c r="J24" i="68" s="1"/>
  <c r="G24" i="68"/>
  <c r="D24" i="68"/>
  <c r="C24" i="68"/>
  <c r="B24" i="68"/>
  <c r="F24" i="68" s="1"/>
  <c r="F25" i="68" s="1"/>
  <c r="M23" i="68"/>
  <c r="J23" i="68" a="1"/>
  <c r="J23" i="68" s="1"/>
  <c r="G23" i="68"/>
  <c r="D23" i="68"/>
  <c r="C23" i="68"/>
  <c r="B23" i="68"/>
  <c r="M22" i="68"/>
  <c r="J22" i="68" a="1"/>
  <c r="J22" i="68" s="1"/>
  <c r="G22" i="68"/>
  <c r="F23" i="68" s="1"/>
  <c r="D22" i="68"/>
  <c r="C22" i="68"/>
  <c r="B22" i="68"/>
  <c r="A22" i="68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L18" i="68"/>
  <c r="L17" i="68"/>
  <c r="L16" i="68"/>
  <c r="L15" i="68"/>
  <c r="L14" i="68"/>
  <c r="L13" i="68"/>
  <c r="F33" i="67"/>
  <c r="F34" i="67" s="1"/>
  <c r="J36" i="67" a="1"/>
  <c r="J36" i="67" s="1"/>
  <c r="G36" i="67"/>
  <c r="D36" i="67"/>
  <c r="C36" i="67"/>
  <c r="B36" i="67"/>
  <c r="F36" i="67" s="1"/>
  <c r="J35" i="67" a="1"/>
  <c r="J35" i="67" s="1"/>
  <c r="G35" i="67"/>
  <c r="D35" i="67"/>
  <c r="C35" i="67"/>
  <c r="B35" i="67"/>
  <c r="J34" i="67" a="1"/>
  <c r="J34" i="67" s="1"/>
  <c r="G34" i="67"/>
  <c r="D34" i="67"/>
  <c r="C34" i="67"/>
  <c r="B34" i="67"/>
  <c r="F35" i="67" s="1"/>
  <c r="J33" i="67" a="1"/>
  <c r="J33" i="67" s="1"/>
  <c r="G33" i="67"/>
  <c r="D33" i="67"/>
  <c r="C33" i="67"/>
  <c r="B33" i="67"/>
  <c r="J32" i="67" a="1"/>
  <c r="J32" i="67" s="1"/>
  <c r="G32" i="67"/>
  <c r="D32" i="67"/>
  <c r="C32" i="67"/>
  <c r="B32" i="67"/>
  <c r="J31" i="67" a="1"/>
  <c r="J31" i="67" s="1"/>
  <c r="G31" i="67"/>
  <c r="D31" i="67"/>
  <c r="C31" i="67"/>
  <c r="B31" i="67"/>
  <c r="F31" i="67" s="1"/>
  <c r="F32" i="67" s="1"/>
  <c r="J30" i="67" a="1"/>
  <c r="J30" i="67" s="1"/>
  <c r="G30" i="67"/>
  <c r="D30" i="67"/>
  <c r="C30" i="67"/>
  <c r="B30" i="67"/>
  <c r="F30" i="67" s="1"/>
  <c r="J29" i="67" a="1"/>
  <c r="J29" i="67" s="1"/>
  <c r="G29" i="67"/>
  <c r="D29" i="67"/>
  <c r="C29" i="67"/>
  <c r="B29" i="67"/>
  <c r="F29" i="67" s="1"/>
  <c r="M28" i="67"/>
  <c r="J28" i="67" a="1"/>
  <c r="J28" i="67" s="1"/>
  <c r="G28" i="67"/>
  <c r="D28" i="67"/>
  <c r="C28" i="67"/>
  <c r="B28" i="67"/>
  <c r="M27" i="67"/>
  <c r="J27" i="67" a="1"/>
  <c r="J27" i="67" s="1"/>
  <c r="G27" i="67"/>
  <c r="D27" i="67"/>
  <c r="C27" i="67"/>
  <c r="B27" i="67"/>
  <c r="M26" i="67"/>
  <c r="J26" i="67" a="1"/>
  <c r="J26" i="67" s="1"/>
  <c r="G26" i="67"/>
  <c r="D26" i="67"/>
  <c r="C26" i="67"/>
  <c r="B26" i="67"/>
  <c r="M25" i="67"/>
  <c r="J25" i="67" a="1"/>
  <c r="J25" i="67" s="1"/>
  <c r="G25" i="67"/>
  <c r="D25" i="67"/>
  <c r="C25" i="67"/>
  <c r="B25" i="67"/>
  <c r="M24" i="67"/>
  <c r="J24" i="67" a="1"/>
  <c r="J24" i="67" s="1"/>
  <c r="G24" i="67"/>
  <c r="D24" i="67"/>
  <c r="C24" i="67"/>
  <c r="B24" i="67"/>
  <c r="M23" i="67"/>
  <c r="J23" i="67" a="1"/>
  <c r="J23" i="67" s="1"/>
  <c r="G23" i="67"/>
  <c r="D23" i="67"/>
  <c r="C23" i="67"/>
  <c r="B23" i="67"/>
  <c r="M22" i="67"/>
  <c r="J22" i="67" a="1"/>
  <c r="J22" i="67" s="1"/>
  <c r="G22" i="67"/>
  <c r="D22" i="67"/>
  <c r="C22" i="67"/>
  <c r="B22" i="67"/>
  <c r="A22" i="67"/>
  <c r="A23" i="67" s="1"/>
  <c r="A24" i="67" s="1"/>
  <c r="A25" i="67" s="1"/>
  <c r="A26" i="67" s="1"/>
  <c r="A27" i="67" s="1"/>
  <c r="A28" i="67" s="1"/>
  <c r="A29" i="67" s="1"/>
  <c r="A30" i="67" s="1"/>
  <c r="A31" i="67" s="1"/>
  <c r="A32" i="67" s="1"/>
  <c r="A33" i="67" s="1"/>
  <c r="A34" i="67" s="1"/>
  <c r="A35" i="67" s="1"/>
  <c r="A36" i="67" s="1"/>
  <c r="L18" i="67"/>
  <c r="L17" i="67"/>
  <c r="L16" i="67"/>
  <c r="L15" i="67"/>
  <c r="L14" i="67"/>
  <c r="L13" i="67"/>
  <c r="J36" i="66" a="1"/>
  <c r="J36" i="66" s="1"/>
  <c r="J37" i="66" a="1"/>
  <c r="J37" i="66" s="1"/>
  <c r="A36" i="66"/>
  <c r="B36" i="66"/>
  <c r="C36" i="66"/>
  <c r="D36" i="66"/>
  <c r="G36" i="66"/>
  <c r="A37" i="66"/>
  <c r="B37" i="66"/>
  <c r="C37" i="66"/>
  <c r="D37" i="66"/>
  <c r="G37" i="66"/>
  <c r="J35" i="66" a="1"/>
  <c r="J35" i="66" s="1"/>
  <c r="G35" i="66"/>
  <c r="D35" i="66"/>
  <c r="C35" i="66"/>
  <c r="B35" i="66"/>
  <c r="J34" i="66" a="1"/>
  <c r="J34" i="66" s="1"/>
  <c r="G34" i="66"/>
  <c r="D34" i="66"/>
  <c r="C34" i="66"/>
  <c r="B34" i="66"/>
  <c r="J33" i="66" a="1"/>
  <c r="J33" i="66" s="1"/>
  <c r="G33" i="66"/>
  <c r="D33" i="66"/>
  <c r="C33" i="66"/>
  <c r="B33" i="66"/>
  <c r="J32" i="66" a="1"/>
  <c r="J32" i="66" s="1"/>
  <c r="G32" i="66"/>
  <c r="D32" i="66"/>
  <c r="C32" i="66"/>
  <c r="B32" i="66"/>
  <c r="J31" i="66" a="1"/>
  <c r="J31" i="66" s="1"/>
  <c r="G31" i="66"/>
  <c r="D31" i="66"/>
  <c r="C31" i="66"/>
  <c r="B31" i="66"/>
  <c r="J30" i="66" a="1"/>
  <c r="J30" i="66" s="1"/>
  <c r="G30" i="66"/>
  <c r="D30" i="66"/>
  <c r="C30" i="66"/>
  <c r="B30" i="66"/>
  <c r="J29" i="66" a="1"/>
  <c r="J29" i="66" s="1"/>
  <c r="G29" i="66"/>
  <c r="D29" i="66"/>
  <c r="C29" i="66"/>
  <c r="B29" i="66"/>
  <c r="M28" i="66"/>
  <c r="J28" i="66" a="1"/>
  <c r="J28" i="66" s="1"/>
  <c r="G28" i="66"/>
  <c r="D28" i="66"/>
  <c r="C28" i="66"/>
  <c r="B28" i="66"/>
  <c r="M27" i="66"/>
  <c r="J27" i="66" a="1"/>
  <c r="J27" i="66" s="1"/>
  <c r="G27" i="66"/>
  <c r="D27" i="66"/>
  <c r="C27" i="66"/>
  <c r="B27" i="66"/>
  <c r="M26" i="66"/>
  <c r="J26" i="66" a="1"/>
  <c r="J26" i="66" s="1"/>
  <c r="G26" i="66"/>
  <c r="D26" i="66"/>
  <c r="C26" i="66"/>
  <c r="B26" i="66"/>
  <c r="M25" i="66"/>
  <c r="J25" i="66" a="1"/>
  <c r="J25" i="66" s="1"/>
  <c r="G25" i="66"/>
  <c r="D25" i="66"/>
  <c r="C25" i="66"/>
  <c r="B25" i="66"/>
  <c r="M24" i="66"/>
  <c r="J24" i="66" a="1"/>
  <c r="J24" i="66" s="1"/>
  <c r="G24" i="66"/>
  <c r="D24" i="66"/>
  <c r="C24" i="66"/>
  <c r="B24" i="66"/>
  <c r="F24" i="66" s="1"/>
  <c r="M23" i="66"/>
  <c r="J23" i="66" a="1"/>
  <c r="J23" i="66" s="1"/>
  <c r="G23" i="66"/>
  <c r="D23" i="66"/>
  <c r="C23" i="66"/>
  <c r="B23" i="66"/>
  <c r="M22" i="66"/>
  <c r="J22" i="66" a="1"/>
  <c r="J22" i="66" s="1"/>
  <c r="G22" i="66"/>
  <c r="D22" i="66"/>
  <c r="C22" i="66"/>
  <c r="B22" i="66"/>
  <c r="A22" i="66"/>
  <c r="A23" i="66" s="1"/>
  <c r="A24" i="66" s="1"/>
  <c r="A25" i="66" s="1"/>
  <c r="A26" i="66" s="1"/>
  <c r="A27" i="66" s="1"/>
  <c r="A28" i="66" s="1"/>
  <c r="A29" i="66" s="1"/>
  <c r="A30" i="66" s="1"/>
  <c r="A31" i="66" s="1"/>
  <c r="A32" i="66" s="1"/>
  <c r="A33" i="66" s="1"/>
  <c r="A34" i="66" s="1"/>
  <c r="A35" i="66" s="1"/>
  <c r="L18" i="66"/>
  <c r="L17" i="66"/>
  <c r="L16" i="66"/>
  <c r="L15" i="66"/>
  <c r="L14" i="66"/>
  <c r="L13" i="66"/>
  <c r="J37" i="64" a="1"/>
  <c r="J37" i="64" s="1"/>
  <c r="G37" i="64"/>
  <c r="D37" i="64"/>
  <c r="C37" i="64"/>
  <c r="B37" i="64"/>
  <c r="J36" i="64" a="1"/>
  <c r="J36" i="64" s="1"/>
  <c r="G36" i="64"/>
  <c r="D36" i="64"/>
  <c r="C36" i="64"/>
  <c r="B36" i="64"/>
  <c r="J35" i="64" a="1"/>
  <c r="J35" i="64" s="1"/>
  <c r="G35" i="64"/>
  <c r="D35" i="64"/>
  <c r="C35" i="64"/>
  <c r="B35" i="64"/>
  <c r="J34" i="64" a="1"/>
  <c r="J34" i="64" s="1"/>
  <c r="G34" i="64"/>
  <c r="D34" i="64"/>
  <c r="C34" i="64"/>
  <c r="B34" i="64"/>
  <c r="J33" i="64" a="1"/>
  <c r="J33" i="64" s="1"/>
  <c r="G33" i="64"/>
  <c r="D33" i="64"/>
  <c r="C33" i="64"/>
  <c r="B33" i="64"/>
  <c r="J32" i="64" a="1"/>
  <c r="J32" i="64" s="1"/>
  <c r="G32" i="64"/>
  <c r="D32" i="64"/>
  <c r="C32" i="64"/>
  <c r="B32" i="64"/>
  <c r="J31" i="64" a="1"/>
  <c r="J31" i="64" s="1"/>
  <c r="G31" i="64"/>
  <c r="D31" i="64"/>
  <c r="C31" i="64"/>
  <c r="B31" i="64"/>
  <c r="J30" i="64" a="1"/>
  <c r="J30" i="64" s="1"/>
  <c r="G30" i="64"/>
  <c r="D30" i="64"/>
  <c r="C30" i="64"/>
  <c r="B30" i="64"/>
  <c r="J29" i="64" a="1"/>
  <c r="J29" i="64" s="1"/>
  <c r="G29" i="64"/>
  <c r="D29" i="64"/>
  <c r="C29" i="64"/>
  <c r="B29" i="64"/>
  <c r="M28" i="64"/>
  <c r="J28" i="64" a="1"/>
  <c r="J28" i="64" s="1"/>
  <c r="G28" i="64"/>
  <c r="D28" i="64"/>
  <c r="C28" i="64"/>
  <c r="B28" i="64"/>
  <c r="M27" i="64"/>
  <c r="J27" i="64" a="1"/>
  <c r="J27" i="64" s="1"/>
  <c r="G27" i="64"/>
  <c r="D27" i="64"/>
  <c r="C27" i="64"/>
  <c r="B27" i="64"/>
  <c r="M26" i="64"/>
  <c r="J26" i="64" a="1"/>
  <c r="J26" i="64" s="1"/>
  <c r="G26" i="64"/>
  <c r="D26" i="64"/>
  <c r="C26" i="64"/>
  <c r="B26" i="64"/>
  <c r="M25" i="64"/>
  <c r="J25" i="64" a="1"/>
  <c r="J25" i="64" s="1"/>
  <c r="G25" i="64"/>
  <c r="D25" i="64"/>
  <c r="C25" i="64"/>
  <c r="B25" i="64"/>
  <c r="F26" i="64" s="1"/>
  <c r="M24" i="64"/>
  <c r="J24" i="64" a="1"/>
  <c r="J24" i="64" s="1"/>
  <c r="G24" i="64"/>
  <c r="D24" i="64"/>
  <c r="C24" i="64"/>
  <c r="B24" i="64"/>
  <c r="M23" i="64"/>
  <c r="J23" i="64" a="1"/>
  <c r="J23" i="64" s="1"/>
  <c r="G23" i="64"/>
  <c r="D23" i="64"/>
  <c r="C23" i="64"/>
  <c r="B23" i="64"/>
  <c r="M22" i="64"/>
  <c r="J22" i="64" a="1"/>
  <c r="J22" i="64" s="1"/>
  <c r="G22" i="64"/>
  <c r="D22" i="64"/>
  <c r="C22" i="64"/>
  <c r="B22" i="64"/>
  <c r="A22" i="64"/>
  <c r="A23" i="64" s="1"/>
  <c r="A24" i="64" s="1"/>
  <c r="A25" i="64" s="1"/>
  <c r="A26" i="64" s="1"/>
  <c r="A27" i="64" s="1"/>
  <c r="A28" i="64" s="1"/>
  <c r="A29" i="64" s="1"/>
  <c r="A30" i="64" s="1"/>
  <c r="A31" i="64" s="1"/>
  <c r="A32" i="64" s="1"/>
  <c r="A33" i="64" s="1"/>
  <c r="A34" i="64" s="1"/>
  <c r="A35" i="64" s="1"/>
  <c r="A36" i="64" s="1"/>
  <c r="A37" i="64" s="1"/>
  <c r="L18" i="64"/>
  <c r="L17" i="64"/>
  <c r="L16" i="64"/>
  <c r="L15" i="64"/>
  <c r="L14" i="64"/>
  <c r="L13" i="64"/>
  <c r="A36" i="63"/>
  <c r="A37" i="63" s="1"/>
  <c r="A38" i="63" s="1"/>
  <c r="A39" i="63" s="1"/>
  <c r="B36" i="63"/>
  <c r="C36" i="63"/>
  <c r="D36" i="63"/>
  <c r="G36" i="63"/>
  <c r="B37" i="63"/>
  <c r="F37" i="63" s="1"/>
  <c r="C37" i="63"/>
  <c r="D37" i="63"/>
  <c r="G37" i="63"/>
  <c r="B38" i="63"/>
  <c r="C38" i="63"/>
  <c r="D38" i="63"/>
  <c r="G38" i="63"/>
  <c r="B39" i="63"/>
  <c r="C39" i="63"/>
  <c r="D39" i="63"/>
  <c r="G39" i="63"/>
  <c r="J36" i="63" a="1"/>
  <c r="J36" i="63" s="1"/>
  <c r="J37" i="63" a="1"/>
  <c r="J37" i="63" s="1"/>
  <c r="J38" i="63" a="1"/>
  <c r="J38" i="63" s="1"/>
  <c r="J39" i="63" a="1"/>
  <c r="J39" i="63" s="1"/>
  <c r="J35" i="63" a="1"/>
  <c r="J35" i="63" s="1"/>
  <c r="G35" i="63"/>
  <c r="D35" i="63"/>
  <c r="C35" i="63"/>
  <c r="B35" i="63"/>
  <c r="J34" i="63" a="1"/>
  <c r="J34" i="63" s="1"/>
  <c r="G34" i="63"/>
  <c r="D34" i="63"/>
  <c r="C34" i="63"/>
  <c r="B34" i="63"/>
  <c r="J33" i="63" a="1"/>
  <c r="J33" i="63" s="1"/>
  <c r="G33" i="63"/>
  <c r="D33" i="63"/>
  <c r="C33" i="63"/>
  <c r="B33" i="63"/>
  <c r="J32" i="63" a="1"/>
  <c r="J32" i="63" s="1"/>
  <c r="G32" i="63"/>
  <c r="D32" i="63"/>
  <c r="C32" i="63"/>
  <c r="B32" i="63"/>
  <c r="J31" i="63" a="1"/>
  <c r="J31" i="63" s="1"/>
  <c r="G31" i="63"/>
  <c r="D31" i="63"/>
  <c r="C31" i="63"/>
  <c r="B31" i="63"/>
  <c r="J30" i="63" a="1"/>
  <c r="J30" i="63" s="1"/>
  <c r="G30" i="63"/>
  <c r="D30" i="63"/>
  <c r="C30" i="63"/>
  <c r="B30" i="63"/>
  <c r="F30" i="63" s="1"/>
  <c r="J29" i="63" a="1"/>
  <c r="J29" i="63" s="1"/>
  <c r="G29" i="63"/>
  <c r="D29" i="63"/>
  <c r="C29" i="63"/>
  <c r="B29" i="63"/>
  <c r="M28" i="63"/>
  <c r="J28" i="63" a="1"/>
  <c r="J28" i="63" s="1"/>
  <c r="G28" i="63"/>
  <c r="D28" i="63"/>
  <c r="C28" i="63"/>
  <c r="B28" i="63"/>
  <c r="M27" i="63"/>
  <c r="J27" i="63" a="1"/>
  <c r="J27" i="63" s="1"/>
  <c r="G27" i="63"/>
  <c r="D27" i="63"/>
  <c r="C27" i="63"/>
  <c r="B27" i="63"/>
  <c r="M26" i="63"/>
  <c r="J26" i="63" a="1"/>
  <c r="J26" i="63" s="1"/>
  <c r="G26" i="63"/>
  <c r="D26" i="63"/>
  <c r="C26" i="63"/>
  <c r="B26" i="63"/>
  <c r="M25" i="63"/>
  <c r="J25" i="63" a="1"/>
  <c r="J25" i="63" s="1"/>
  <c r="G25" i="63"/>
  <c r="D25" i="63"/>
  <c r="C25" i="63"/>
  <c r="B25" i="63"/>
  <c r="M24" i="63"/>
  <c r="J24" i="63" a="1"/>
  <c r="J24" i="63" s="1"/>
  <c r="G24" i="63"/>
  <c r="D24" i="63"/>
  <c r="C24" i="63"/>
  <c r="B24" i="63"/>
  <c r="M23" i="63"/>
  <c r="J23" i="63" a="1"/>
  <c r="J23" i="63" s="1"/>
  <c r="G23" i="63"/>
  <c r="D23" i="63"/>
  <c r="C23" i="63"/>
  <c r="B23" i="63"/>
  <c r="M22" i="63"/>
  <c r="J22" i="63" a="1"/>
  <c r="J22" i="63" s="1"/>
  <c r="G22" i="63"/>
  <c r="D22" i="63"/>
  <c r="C22" i="63"/>
  <c r="B22" i="63"/>
  <c r="A22" i="63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L18" i="63"/>
  <c r="L17" i="63"/>
  <c r="L16" i="63"/>
  <c r="L15" i="63"/>
  <c r="L14" i="63"/>
  <c r="L13" i="63"/>
  <c r="A30" i="62"/>
  <c r="A31" i="62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J41" i="62" a="1"/>
  <c r="J41" i="62" s="1"/>
  <c r="G41" i="62"/>
  <c r="D41" i="62"/>
  <c r="C41" i="62"/>
  <c r="B41" i="62"/>
  <c r="J40" i="62" a="1"/>
  <c r="J40" i="62" s="1"/>
  <c r="G40" i="62"/>
  <c r="D40" i="62"/>
  <c r="C40" i="62"/>
  <c r="B40" i="62"/>
  <c r="J39" i="62" a="1"/>
  <c r="J39" i="62" s="1"/>
  <c r="G39" i="62"/>
  <c r="D39" i="62"/>
  <c r="C39" i="62"/>
  <c r="B39" i="62"/>
  <c r="J38" i="62" a="1"/>
  <c r="J38" i="62" s="1"/>
  <c r="G38" i="62"/>
  <c r="D38" i="62"/>
  <c r="C38" i="62"/>
  <c r="B38" i="62"/>
  <c r="J37" i="62" a="1"/>
  <c r="J37" i="62" s="1"/>
  <c r="G37" i="62"/>
  <c r="D37" i="62"/>
  <c r="C37" i="62"/>
  <c r="B37" i="62"/>
  <c r="J36" i="62" a="1"/>
  <c r="J36" i="62" s="1"/>
  <c r="G36" i="62"/>
  <c r="D36" i="62"/>
  <c r="C36" i="62"/>
  <c r="B36" i="62"/>
  <c r="J35" i="62" a="1"/>
  <c r="J35" i="62" s="1"/>
  <c r="G35" i="62"/>
  <c r="D35" i="62"/>
  <c r="C35" i="62"/>
  <c r="B35" i="62"/>
  <c r="J34" i="62" a="1"/>
  <c r="J34" i="62" s="1"/>
  <c r="G34" i="62"/>
  <c r="D34" i="62"/>
  <c r="C34" i="62"/>
  <c r="B34" i="62"/>
  <c r="J33" i="62" a="1"/>
  <c r="J33" i="62" s="1"/>
  <c r="G33" i="62"/>
  <c r="D33" i="62"/>
  <c r="C33" i="62"/>
  <c r="B33" i="62"/>
  <c r="J32" i="62" a="1"/>
  <c r="J32" i="62" s="1"/>
  <c r="G32" i="62"/>
  <c r="D32" i="62"/>
  <c r="C32" i="62"/>
  <c r="B32" i="62"/>
  <c r="J31" i="62" a="1"/>
  <c r="J31" i="62" s="1"/>
  <c r="G31" i="62"/>
  <c r="D31" i="62"/>
  <c r="C31" i="62"/>
  <c r="B31" i="62"/>
  <c r="J30" i="62" a="1"/>
  <c r="J30" i="62" s="1"/>
  <c r="G30" i="62"/>
  <c r="D30" i="62"/>
  <c r="C30" i="62"/>
  <c r="B30" i="62"/>
  <c r="J29" i="62" a="1"/>
  <c r="J29" i="62" s="1"/>
  <c r="G29" i="62"/>
  <c r="D29" i="62"/>
  <c r="C29" i="62"/>
  <c r="B29" i="62"/>
  <c r="M28" i="62"/>
  <c r="J28" i="62" a="1"/>
  <c r="J28" i="62" s="1"/>
  <c r="G28" i="62"/>
  <c r="D28" i="62"/>
  <c r="C28" i="62"/>
  <c r="B28" i="62"/>
  <c r="M27" i="62"/>
  <c r="J27" i="62" a="1"/>
  <c r="J27" i="62" s="1"/>
  <c r="G27" i="62"/>
  <c r="D27" i="62"/>
  <c r="C27" i="62"/>
  <c r="B27" i="62"/>
  <c r="M26" i="62"/>
  <c r="J26" i="62" a="1"/>
  <c r="J26" i="62" s="1"/>
  <c r="G26" i="62"/>
  <c r="D26" i="62"/>
  <c r="C26" i="62"/>
  <c r="B26" i="62"/>
  <c r="M25" i="62"/>
  <c r="J25" i="62" a="1"/>
  <c r="J25" i="62" s="1"/>
  <c r="G25" i="62"/>
  <c r="D25" i="62"/>
  <c r="C25" i="62"/>
  <c r="B25" i="62"/>
  <c r="M24" i="62"/>
  <c r="J24" i="62" a="1"/>
  <c r="J24" i="62" s="1"/>
  <c r="G24" i="62"/>
  <c r="D24" i="62"/>
  <c r="C24" i="62"/>
  <c r="B24" i="62"/>
  <c r="M23" i="62"/>
  <c r="J23" i="62" a="1"/>
  <c r="J23" i="62" s="1"/>
  <c r="G23" i="62"/>
  <c r="D23" i="62"/>
  <c r="C23" i="62"/>
  <c r="B23" i="62"/>
  <c r="M22" i="62"/>
  <c r="J22" i="62" a="1"/>
  <c r="J22" i="62" s="1"/>
  <c r="G22" i="62"/>
  <c r="D22" i="62"/>
  <c r="C22" i="62"/>
  <c r="B22" i="62"/>
  <c r="F22" i="62" s="1"/>
  <c r="A22" i="62"/>
  <c r="A23" i="62" s="1"/>
  <c r="A24" i="62" s="1"/>
  <c r="A25" i="62" s="1"/>
  <c r="A26" i="62" s="1"/>
  <c r="A27" i="62" s="1"/>
  <c r="A28" i="62" s="1"/>
  <c r="A29" i="62" s="1"/>
  <c r="L19" i="62"/>
  <c r="L18" i="62"/>
  <c r="L17" i="62"/>
  <c r="L16" i="62"/>
  <c r="L15" i="62"/>
  <c r="L14" i="62"/>
  <c r="L13" i="62"/>
  <c r="J37" i="61" a="1"/>
  <c r="J37" i="61" s="1"/>
  <c r="G37" i="61"/>
  <c r="D37" i="61"/>
  <c r="C37" i="61"/>
  <c r="B37" i="61"/>
  <c r="J36" i="61" a="1"/>
  <c r="J36" i="61" s="1"/>
  <c r="G36" i="61"/>
  <c r="D36" i="61"/>
  <c r="C36" i="61"/>
  <c r="B36" i="61"/>
  <c r="J35" i="61" a="1"/>
  <c r="J35" i="61" s="1"/>
  <c r="G35" i="61"/>
  <c r="D35" i="61"/>
  <c r="C35" i="61"/>
  <c r="B35" i="61"/>
  <c r="J34" i="61" a="1"/>
  <c r="J34" i="61" s="1"/>
  <c r="G34" i="61"/>
  <c r="D34" i="61"/>
  <c r="C34" i="61"/>
  <c r="B34" i="61"/>
  <c r="J33" i="61" a="1"/>
  <c r="J33" i="61" s="1"/>
  <c r="G33" i="61"/>
  <c r="D33" i="61"/>
  <c r="C33" i="61"/>
  <c r="B33" i="61"/>
  <c r="J32" i="61" a="1"/>
  <c r="J32" i="61" s="1"/>
  <c r="G32" i="61"/>
  <c r="D32" i="61"/>
  <c r="C32" i="61"/>
  <c r="B32" i="61"/>
  <c r="F32" i="61" s="1"/>
  <c r="J31" i="61" a="1"/>
  <c r="J31" i="61" s="1"/>
  <c r="G31" i="61"/>
  <c r="D31" i="61"/>
  <c r="C31" i="61"/>
  <c r="B31" i="61"/>
  <c r="J30" i="61" a="1"/>
  <c r="J30" i="61" s="1"/>
  <c r="G30" i="61"/>
  <c r="D30" i="61"/>
  <c r="C30" i="61"/>
  <c r="B30" i="61"/>
  <c r="J29" i="61" a="1"/>
  <c r="J29" i="61" s="1"/>
  <c r="G29" i="61"/>
  <c r="D29" i="61"/>
  <c r="C29" i="61"/>
  <c r="B29" i="61"/>
  <c r="M28" i="61"/>
  <c r="J28" i="61" a="1"/>
  <c r="J28" i="61" s="1"/>
  <c r="G28" i="61"/>
  <c r="D28" i="61"/>
  <c r="C28" i="61"/>
  <c r="B28" i="61"/>
  <c r="M27" i="61"/>
  <c r="J27" i="61" a="1"/>
  <c r="J27" i="61" s="1"/>
  <c r="G27" i="61"/>
  <c r="D27" i="61"/>
  <c r="C27" i="61"/>
  <c r="B27" i="61"/>
  <c r="M26" i="61"/>
  <c r="J26" i="61" a="1"/>
  <c r="J26" i="61" s="1"/>
  <c r="G26" i="61"/>
  <c r="D26" i="61"/>
  <c r="C26" i="61"/>
  <c r="B26" i="61"/>
  <c r="M25" i="61"/>
  <c r="J25" i="61" a="1"/>
  <c r="J25" i="61" s="1"/>
  <c r="G25" i="61"/>
  <c r="D25" i="61"/>
  <c r="C25" i="61"/>
  <c r="B25" i="61"/>
  <c r="M24" i="61"/>
  <c r="J24" i="61" a="1"/>
  <c r="J24" i="61" s="1"/>
  <c r="G24" i="61"/>
  <c r="D24" i="61"/>
  <c r="C24" i="61"/>
  <c r="B24" i="61"/>
  <c r="M23" i="61"/>
  <c r="J23" i="61" a="1"/>
  <c r="J23" i="61" s="1"/>
  <c r="G23" i="61"/>
  <c r="D23" i="61"/>
  <c r="C23" i="61"/>
  <c r="B23" i="61"/>
  <c r="M22" i="61"/>
  <c r="J22" i="61" a="1"/>
  <c r="J22" i="61" s="1"/>
  <c r="G22" i="61"/>
  <c r="D22" i="61"/>
  <c r="C22" i="61"/>
  <c r="B22" i="61"/>
  <c r="A22" i="6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A36" i="61" s="1"/>
  <c r="A37" i="61" s="1"/>
  <c r="L18" i="61"/>
  <c r="L17" i="61"/>
  <c r="L16" i="61"/>
  <c r="L15" i="61"/>
  <c r="L14" i="61"/>
  <c r="L13" i="61"/>
  <c r="F36" i="68" l="1"/>
  <c r="F37" i="68" s="1"/>
  <c r="F31" i="68"/>
  <c r="F33" i="68"/>
  <c r="F34" i="68"/>
  <c r="F35" i="68" s="1"/>
  <c r="F24" i="67"/>
  <c r="F26" i="67"/>
  <c r="F27" i="67" s="1"/>
  <c r="F23" i="67"/>
  <c r="F25" i="67"/>
  <c r="F24" i="64"/>
  <c r="F25" i="64" s="1"/>
  <c r="F28" i="64"/>
  <c r="F23" i="66"/>
  <c r="F26" i="66"/>
  <c r="F27" i="66" s="1"/>
  <c r="F25" i="66"/>
  <c r="F34" i="66"/>
  <c r="F35" i="66" s="1"/>
  <c r="F23" i="64"/>
  <c r="F34" i="64"/>
  <c r="F35" i="64" s="1"/>
  <c r="F28" i="66"/>
  <c r="F29" i="66" s="1"/>
  <c r="F32" i="66"/>
  <c r="F33" i="66" s="1"/>
  <c r="F36" i="66"/>
  <c r="F37" i="66" s="1"/>
  <c r="F30" i="66"/>
  <c r="F31" i="66" s="1"/>
  <c r="F36" i="64"/>
  <c r="F37" i="64" s="1"/>
  <c r="F32" i="64"/>
  <c r="F33" i="64" s="1"/>
  <c r="F34" i="62"/>
  <c r="F35" i="62" s="1"/>
  <c r="F36" i="62" s="1"/>
  <c r="F37" i="62" s="1"/>
  <c r="F27" i="64"/>
  <c r="F30" i="64"/>
  <c r="F31" i="64" s="1"/>
  <c r="F38" i="62"/>
  <c r="F39" i="62" s="1"/>
  <c r="F40" i="62" s="1"/>
  <c r="F41" i="62" s="1"/>
  <c r="F28" i="63"/>
  <c r="F29" i="63" s="1"/>
  <c r="F29" i="64"/>
  <c r="F24" i="63"/>
  <c r="F25" i="63" s="1"/>
  <c r="F38" i="63"/>
  <c r="F39" i="63" s="1"/>
  <c r="F36" i="61"/>
  <c r="F37" i="61" s="1"/>
  <c r="F23" i="63"/>
  <c r="F30" i="62"/>
  <c r="F31" i="62" s="1"/>
  <c r="F32" i="62" s="1"/>
  <c r="F33" i="62" s="1"/>
  <c r="F33" i="63"/>
  <c r="F34" i="63" s="1"/>
  <c r="F35" i="63"/>
  <c r="F36" i="63" s="1"/>
  <c r="F31" i="63"/>
  <c r="F32" i="63" s="1"/>
  <c r="F28" i="61"/>
  <c r="F29" i="61" s="1"/>
  <c r="F26" i="63"/>
  <c r="F27" i="63" s="1"/>
  <c r="F26" i="62"/>
  <c r="F28" i="62"/>
  <c r="F29" i="62" s="1"/>
  <c r="F23" i="62"/>
  <c r="F24" i="62" s="1"/>
  <c r="F25" i="62" s="1"/>
  <c r="F26" i="61"/>
  <c r="F27" i="61" s="1"/>
  <c r="F30" i="61"/>
  <c r="F31" i="61" s="1"/>
  <c r="F23" i="61"/>
  <c r="F24" i="61"/>
  <c r="F25" i="61" s="1"/>
  <c r="F34" i="61"/>
  <c r="F35" i="61" s="1"/>
  <c r="F33" i="61"/>
  <c r="J39" i="30" l="1" a="1"/>
  <c r="J39" i="30" s="1"/>
  <c r="J40" i="30" a="1"/>
  <c r="J40" i="30" s="1"/>
  <c r="J41" i="30" a="1"/>
  <c r="J41" i="30" s="1"/>
  <c r="J42" i="30" a="1"/>
  <c r="J42" i="30" s="1"/>
  <c r="J39" i="45" a="1"/>
  <c r="J39" i="45" s="1"/>
  <c r="J40" i="45" a="1"/>
  <c r="J40" i="45" s="1"/>
  <c r="J41" i="45" a="1"/>
  <c r="J41" i="45" s="1"/>
  <c r="J42" i="45" a="1"/>
  <c r="J42" i="45" s="1"/>
  <c r="J43" i="45" a="1"/>
  <c r="J43" i="45" s="1"/>
  <c r="J44" i="45" a="1"/>
  <c r="J44" i="45" s="1"/>
  <c r="J45" i="45" a="1"/>
  <c r="J45" i="45" s="1"/>
  <c r="J46" i="45" a="1"/>
  <c r="J46" i="45" s="1"/>
  <c r="J47" i="45" a="1"/>
  <c r="J47" i="45" s="1"/>
  <c r="J48" i="45" a="1"/>
  <c r="J48" i="45" s="1"/>
  <c r="J49" i="45" a="1"/>
  <c r="J49" i="45" s="1"/>
  <c r="J50" i="45" a="1"/>
  <c r="J50" i="45" s="1"/>
  <c r="J51" i="45" a="1"/>
  <c r="J51" i="45" s="1"/>
  <c r="J52" i="45" a="1"/>
  <c r="J52" i="45" s="1"/>
  <c r="J53" i="45" a="1"/>
  <c r="J53" i="45" s="1"/>
  <c r="J54" i="45" a="1"/>
  <c r="J54" i="45" s="1"/>
  <c r="J55" i="45" a="1"/>
  <c r="J55" i="45" s="1"/>
  <c r="J56" i="45" a="1"/>
  <c r="J56" i="45" s="1"/>
  <c r="J57" i="45" a="1"/>
  <c r="J57" i="45" s="1"/>
  <c r="J58" i="45" a="1"/>
  <c r="J58" i="45" s="1"/>
  <c r="J59" i="45" a="1"/>
  <c r="J59" i="45" s="1"/>
  <c r="J60" i="45" a="1"/>
  <c r="J60" i="45" s="1"/>
  <c r="J61" i="45" a="1"/>
  <c r="J61" i="45" s="1"/>
  <c r="J62" i="45" a="1"/>
  <c r="J62" i="45" s="1"/>
  <c r="J63" i="45" a="1"/>
  <c r="J63" i="45" s="1"/>
  <c r="J64" i="45" a="1"/>
  <c r="J64" i="45" s="1"/>
  <c r="J65" i="45" a="1"/>
  <c r="J65" i="45" s="1"/>
  <c r="J66" i="45" a="1"/>
  <c r="J66" i="45" s="1"/>
  <c r="J39" i="37" a="1"/>
  <c r="J39" i="37" s="1"/>
  <c r="J40" i="37" a="1"/>
  <c r="J40" i="37" s="1"/>
  <c r="J41" i="37" a="1"/>
  <c r="J41" i="37" s="1"/>
  <c r="J42" i="37" a="1"/>
  <c r="J42" i="37" s="1"/>
  <c r="J43" i="37" a="1"/>
  <c r="J43" i="37" s="1"/>
  <c r="J44" i="37" a="1"/>
  <c r="J44" i="37" s="1"/>
  <c r="J45" i="37" a="1"/>
  <c r="J45" i="37" s="1"/>
  <c r="J46" i="37" a="1"/>
  <c r="J46" i="37" s="1"/>
  <c r="J47" i="37" a="1"/>
  <c r="J47" i="37" s="1"/>
  <c r="J48" i="37" a="1"/>
  <c r="J48" i="37" s="1"/>
  <c r="J49" i="37" a="1"/>
  <c r="J49" i="37" s="1"/>
  <c r="J50" i="37" a="1"/>
  <c r="J50" i="37" s="1"/>
  <c r="J51" i="37" a="1"/>
  <c r="J51" i="37" s="1"/>
  <c r="J52" i="37" a="1"/>
  <c r="J52" i="37" s="1"/>
  <c r="J53" i="37" a="1"/>
  <c r="J53" i="37" s="1"/>
  <c r="J54" i="37" a="1"/>
  <c r="J54" i="37" s="1"/>
  <c r="J55" i="37" a="1"/>
  <c r="J55" i="37" s="1"/>
  <c r="J56" i="37" a="1"/>
  <c r="J56" i="37" s="1"/>
  <c r="J57" i="37" a="1"/>
  <c r="J57" i="37" s="1"/>
  <c r="J58" i="37" a="1"/>
  <c r="J58" i="37" s="1"/>
  <c r="J59" i="37" a="1"/>
  <c r="J59" i="37" s="1"/>
  <c r="J60" i="37" a="1"/>
  <c r="J60" i="37" s="1"/>
  <c r="J61" i="37" a="1"/>
  <c r="J61" i="37" s="1"/>
  <c r="J62" i="37" a="1"/>
  <c r="J62" i="37" s="1"/>
  <c r="J39" i="47" a="1"/>
  <c r="J39" i="47" s="1"/>
  <c r="J39" i="36" a="1"/>
  <c r="J39" i="36" s="1"/>
  <c r="J23" i="36" a="1"/>
  <c r="J23" i="36" s="1"/>
  <c r="J24" i="36" a="1"/>
  <c r="J24" i="36" s="1"/>
  <c r="J25" i="36" a="1"/>
  <c r="J25" i="36" s="1"/>
  <c r="J26" i="36" a="1"/>
  <c r="J26" i="36" s="1"/>
  <c r="J27" i="36" a="1"/>
  <c r="J27" i="36" s="1"/>
  <c r="J28" i="36" a="1"/>
  <c r="J28" i="36" s="1"/>
  <c r="J29" i="36" a="1"/>
  <c r="J29" i="36" s="1"/>
  <c r="J30" i="36" a="1"/>
  <c r="J30" i="36" s="1"/>
  <c r="J31" i="36" a="1"/>
  <c r="J31" i="36" s="1"/>
  <c r="J32" i="36" a="1"/>
  <c r="J32" i="36" s="1"/>
  <c r="J33" i="36" a="1"/>
  <c r="J33" i="36" s="1"/>
  <c r="J34" i="36" a="1"/>
  <c r="J34" i="36" s="1"/>
  <c r="J35" i="36" a="1"/>
  <c r="J35" i="36" s="1"/>
  <c r="J36" i="36" a="1"/>
  <c r="J36" i="36" s="1"/>
  <c r="J37" i="36" a="1"/>
  <c r="J37" i="36" s="1"/>
  <c r="J38" i="36" a="1"/>
  <c r="J38" i="36" s="1"/>
  <c r="J23" i="49" a="1"/>
  <c r="J23" i="49" s="1"/>
  <c r="J24" i="49" a="1"/>
  <c r="J24" i="49" s="1"/>
  <c r="J25" i="49" a="1"/>
  <c r="J25" i="49" s="1"/>
  <c r="J26" i="49" a="1"/>
  <c r="J26" i="49" s="1"/>
  <c r="J27" i="49" a="1"/>
  <c r="J27" i="49" s="1"/>
  <c r="J28" i="49" a="1"/>
  <c r="J28" i="49" s="1"/>
  <c r="J29" i="49" a="1"/>
  <c r="J29" i="49" s="1"/>
  <c r="J30" i="49" a="1"/>
  <c r="J30" i="49" s="1"/>
  <c r="J31" i="49" a="1"/>
  <c r="J31" i="49" s="1"/>
  <c r="J23" i="44" a="1"/>
  <c r="J23" i="44" s="1"/>
  <c r="J24" i="44" a="1"/>
  <c r="J24" i="44" s="1"/>
  <c r="J25" i="44" a="1"/>
  <c r="J25" i="44" s="1"/>
  <c r="J26" i="44" a="1"/>
  <c r="J26" i="44" s="1"/>
  <c r="J27" i="44" a="1"/>
  <c r="J27" i="44" s="1"/>
  <c r="J28" i="44" a="1"/>
  <c r="J28" i="44" s="1"/>
  <c r="J29" i="44" a="1"/>
  <c r="J29" i="44" s="1"/>
  <c r="J30" i="44" a="1"/>
  <c r="J30" i="44" s="1"/>
  <c r="J31" i="44" a="1"/>
  <c r="J31" i="44" s="1"/>
  <c r="J32" i="44" a="1"/>
  <c r="J32" i="44" s="1"/>
  <c r="J23" i="42" a="1"/>
  <c r="J23" i="42" s="1"/>
  <c r="J24" i="42" a="1"/>
  <c r="J24" i="42" s="1"/>
  <c r="J25" i="42" a="1"/>
  <c r="J25" i="42" s="1"/>
  <c r="J26" i="42" a="1"/>
  <c r="J26" i="42" s="1"/>
  <c r="J27" i="42" a="1"/>
  <c r="J27" i="42" s="1"/>
  <c r="J28" i="42" a="1"/>
  <c r="J28" i="42" s="1"/>
  <c r="J29" i="42" a="1"/>
  <c r="J29" i="42" s="1"/>
  <c r="J30" i="42" a="1"/>
  <c r="J30" i="42" s="1"/>
  <c r="J31" i="42" a="1"/>
  <c r="J31" i="42" s="1"/>
  <c r="J32" i="42" a="1"/>
  <c r="J32" i="42" s="1"/>
  <c r="J33" i="42" a="1"/>
  <c r="J33" i="42" s="1"/>
  <c r="J23" i="51" a="1"/>
  <c r="J23" i="51" s="1"/>
  <c r="J24" i="51" a="1"/>
  <c r="J24" i="51" s="1"/>
  <c r="J25" i="51" a="1"/>
  <c r="J25" i="51" s="1"/>
  <c r="J26" i="51" a="1"/>
  <c r="J26" i="51" s="1"/>
  <c r="J27" i="51" a="1"/>
  <c r="J27" i="51" s="1"/>
  <c r="J28" i="51" a="1"/>
  <c r="J28" i="51" s="1"/>
  <c r="J29" i="51" a="1"/>
  <c r="J29" i="51" s="1"/>
  <c r="J30" i="51" a="1"/>
  <c r="J30" i="51" s="1"/>
  <c r="J31" i="51" a="1"/>
  <c r="J31" i="51" s="1"/>
  <c r="J32" i="51" a="1"/>
  <c r="J32" i="51" s="1"/>
  <c r="J33" i="51" a="1"/>
  <c r="J33" i="51" s="1"/>
  <c r="J34" i="51" a="1"/>
  <c r="J34" i="51" s="1"/>
  <c r="J35" i="51" a="1"/>
  <c r="J35" i="51" s="1"/>
  <c r="J36" i="51" a="1"/>
  <c r="J36" i="51" s="1"/>
  <c r="J37" i="51" a="1"/>
  <c r="J37" i="51" s="1"/>
  <c r="J23" i="46" a="1"/>
  <c r="J23" i="46" s="1"/>
  <c r="J24" i="46" a="1"/>
  <c r="J24" i="46" s="1"/>
  <c r="J25" i="46" a="1"/>
  <c r="J25" i="46" s="1"/>
  <c r="J26" i="46" a="1"/>
  <c r="J26" i="46" s="1"/>
  <c r="J27" i="46" a="1"/>
  <c r="J27" i="46" s="1"/>
  <c r="J28" i="46" a="1"/>
  <c r="J28" i="46" s="1"/>
  <c r="J29" i="46" a="1"/>
  <c r="J29" i="46" s="1"/>
  <c r="J30" i="46" a="1"/>
  <c r="J30" i="46" s="1"/>
  <c r="J31" i="46" a="1"/>
  <c r="J31" i="46" s="1"/>
  <c r="J32" i="46" a="1"/>
  <c r="J32" i="46" s="1"/>
  <c r="J33" i="46" a="1"/>
  <c r="J33" i="46" s="1"/>
  <c r="J23" i="38" a="1"/>
  <c r="J23" i="38" s="1"/>
  <c r="J24" i="38" a="1"/>
  <c r="J24" i="38" s="1"/>
  <c r="J25" i="38" a="1"/>
  <c r="J25" i="38" s="1"/>
  <c r="J26" i="38" a="1"/>
  <c r="J26" i="38" s="1"/>
  <c r="J27" i="38" a="1"/>
  <c r="J27" i="38" s="1"/>
  <c r="J28" i="38" a="1"/>
  <c r="J28" i="38" s="1"/>
  <c r="J29" i="38" a="1"/>
  <c r="J29" i="38" s="1"/>
  <c r="J30" i="38" a="1"/>
  <c r="J30" i="38" s="1"/>
  <c r="J31" i="38" a="1"/>
  <c r="J31" i="38" s="1"/>
  <c r="J32" i="38" a="1"/>
  <c r="J32" i="38" s="1"/>
  <c r="J33" i="38" a="1"/>
  <c r="J33" i="38" s="1"/>
  <c r="J34" i="38" a="1"/>
  <c r="J34" i="38" s="1"/>
  <c r="J35" i="38" a="1"/>
  <c r="J35" i="38" s="1"/>
  <c r="J23" i="47" a="1"/>
  <c r="J23" i="47" s="1"/>
  <c r="J24" i="47" a="1"/>
  <c r="J24" i="47" s="1"/>
  <c r="J25" i="47" a="1"/>
  <c r="J25" i="47" s="1"/>
  <c r="J26" i="47" a="1"/>
  <c r="J26" i="47" s="1"/>
  <c r="J27" i="47" a="1"/>
  <c r="J27" i="47" s="1"/>
  <c r="J28" i="47" a="1"/>
  <c r="J28" i="47" s="1"/>
  <c r="J29" i="47" a="1"/>
  <c r="J29" i="47" s="1"/>
  <c r="J30" i="47" a="1"/>
  <c r="J30" i="47" s="1"/>
  <c r="J31" i="47" a="1"/>
  <c r="J31" i="47" s="1"/>
  <c r="J32" i="47" a="1"/>
  <c r="J32" i="47" s="1"/>
  <c r="J33" i="47" a="1"/>
  <c r="J33" i="47" s="1"/>
  <c r="J34" i="47" a="1"/>
  <c r="J34" i="47" s="1"/>
  <c r="J35" i="47" a="1"/>
  <c r="J35" i="47" s="1"/>
  <c r="J36" i="47" a="1"/>
  <c r="J36" i="47" s="1"/>
  <c r="J37" i="47" a="1"/>
  <c r="J37" i="47" s="1"/>
  <c r="J38" i="47" a="1"/>
  <c r="J38" i="47" s="1"/>
  <c r="J23" i="60" a="1"/>
  <c r="J23" i="60" s="1"/>
  <c r="J24" i="60" a="1"/>
  <c r="J24" i="60" s="1"/>
  <c r="J25" i="60" a="1"/>
  <c r="J25" i="60" s="1"/>
  <c r="J26" i="60" a="1"/>
  <c r="J26" i="60" s="1"/>
  <c r="J27" i="60" a="1"/>
  <c r="J27" i="60" s="1"/>
  <c r="J28" i="60" a="1"/>
  <c r="J28" i="60" s="1"/>
  <c r="J29" i="60" a="1"/>
  <c r="J29" i="60" s="1"/>
  <c r="J30" i="60" a="1"/>
  <c r="J30" i="60" s="1"/>
  <c r="J31" i="60" a="1"/>
  <c r="J31" i="60" s="1"/>
  <c r="J32" i="60" a="1"/>
  <c r="J32" i="60" s="1"/>
  <c r="J33" i="60" a="1"/>
  <c r="J33" i="60" s="1"/>
  <c r="J34" i="60" a="1"/>
  <c r="J34" i="60" s="1"/>
  <c r="J35" i="60" a="1"/>
  <c r="J35" i="60" s="1"/>
  <c r="J36" i="60" a="1"/>
  <c r="J36" i="60" s="1"/>
  <c r="J37" i="60" a="1"/>
  <c r="J37" i="60" s="1"/>
  <c r="J23" i="52" a="1"/>
  <c r="J23" i="52" s="1"/>
  <c r="J24" i="52" a="1"/>
  <c r="J24" i="52" s="1"/>
  <c r="J25" i="52" a="1"/>
  <c r="J25" i="52" s="1"/>
  <c r="J26" i="52" a="1"/>
  <c r="J26" i="52" s="1"/>
  <c r="J27" i="52" a="1"/>
  <c r="J27" i="52" s="1"/>
  <c r="J28" i="52" a="1"/>
  <c r="J28" i="52" s="1"/>
  <c r="J29" i="52" a="1"/>
  <c r="J29" i="52" s="1"/>
  <c r="J30" i="52" a="1"/>
  <c r="J30" i="52" s="1"/>
  <c r="J31" i="52" a="1"/>
  <c r="J31" i="52" s="1"/>
  <c r="J32" i="52" a="1"/>
  <c r="J32" i="52" s="1"/>
  <c r="J33" i="52" a="1"/>
  <c r="J33" i="52" s="1"/>
  <c r="J34" i="52" a="1"/>
  <c r="J34" i="52" s="1"/>
  <c r="J35" i="52" a="1"/>
  <c r="J35" i="52" s="1"/>
  <c r="J36" i="52" a="1"/>
  <c r="J36" i="52" s="1"/>
  <c r="J37" i="52" a="1"/>
  <c r="J37" i="52" s="1"/>
  <c r="J23" i="28" a="1"/>
  <c r="J23" i="28" s="1"/>
  <c r="J24" i="28" a="1"/>
  <c r="J24" i="28" s="1"/>
  <c r="J25" i="28" a="1"/>
  <c r="J25" i="28" s="1"/>
  <c r="J26" i="28" a="1"/>
  <c r="J26" i="28" s="1"/>
  <c r="J27" i="28" a="1"/>
  <c r="J27" i="28" s="1"/>
  <c r="J28" i="28" a="1"/>
  <c r="J28" i="28" s="1"/>
  <c r="J29" i="28" a="1"/>
  <c r="J29" i="28" s="1"/>
  <c r="J30" i="28" a="1"/>
  <c r="J30" i="28" s="1"/>
  <c r="J31" i="28" a="1"/>
  <c r="J31" i="28" s="1"/>
  <c r="J32" i="28" a="1"/>
  <c r="J32" i="28" s="1"/>
  <c r="J33" i="28" a="1"/>
  <c r="J33" i="28" s="1"/>
  <c r="J34" i="28" a="1"/>
  <c r="J34" i="28" s="1"/>
  <c r="J35" i="28" a="1"/>
  <c r="J35" i="28" s="1"/>
  <c r="J36" i="28" a="1"/>
  <c r="J36" i="28" s="1"/>
  <c r="J37" i="28" a="1"/>
  <c r="J37" i="28" s="1"/>
  <c r="J23" i="31" a="1"/>
  <c r="J23" i="31" s="1"/>
  <c r="J24" i="31" a="1"/>
  <c r="J24" i="31" s="1"/>
  <c r="J25" i="31" a="1"/>
  <c r="J25" i="31" s="1"/>
  <c r="J26" i="31" a="1"/>
  <c r="J26" i="31" s="1"/>
  <c r="J27" i="31" a="1"/>
  <c r="J27" i="31" s="1"/>
  <c r="J28" i="31" a="1"/>
  <c r="J28" i="31" s="1"/>
  <c r="J29" i="31" a="1"/>
  <c r="J29" i="31" s="1"/>
  <c r="J30" i="31" a="1"/>
  <c r="J30" i="31" s="1"/>
  <c r="J31" i="31" a="1"/>
  <c r="J31" i="31" s="1"/>
  <c r="J32" i="31" a="1"/>
  <c r="J32" i="31" s="1"/>
  <c r="J33" i="31" a="1"/>
  <c r="J33" i="31" s="1"/>
  <c r="J34" i="31" a="1"/>
  <c r="J34" i="31" s="1"/>
  <c r="J35" i="31" a="1"/>
  <c r="J35" i="31" s="1"/>
  <c r="J23" i="32" a="1"/>
  <c r="J23" i="32" s="1"/>
  <c r="J24" i="32" a="1"/>
  <c r="J24" i="32" s="1"/>
  <c r="J25" i="32" a="1"/>
  <c r="J25" i="32" s="1"/>
  <c r="J26" i="32" a="1"/>
  <c r="J26" i="32" s="1"/>
  <c r="J27" i="32" a="1"/>
  <c r="J27" i="32" s="1"/>
  <c r="J28" i="32" a="1"/>
  <c r="J28" i="32" s="1"/>
  <c r="J29" i="32" a="1"/>
  <c r="J29" i="32" s="1"/>
  <c r="J30" i="32" a="1"/>
  <c r="J30" i="32" s="1"/>
  <c r="J31" i="32" a="1"/>
  <c r="J31" i="32" s="1"/>
  <c r="J32" i="32" a="1"/>
  <c r="J32" i="32" s="1"/>
  <c r="J33" i="32" a="1"/>
  <c r="J33" i="32" s="1"/>
  <c r="J34" i="32" a="1"/>
  <c r="J34" i="32" s="1"/>
  <c r="J35" i="32" a="1"/>
  <c r="J35" i="32" s="1"/>
  <c r="J36" i="32" a="1"/>
  <c r="J36" i="32" s="1"/>
  <c r="J37" i="32" a="1"/>
  <c r="J37" i="32" s="1"/>
  <c r="J23" i="33" a="1"/>
  <c r="J23" i="33" s="1"/>
  <c r="J24" i="33" a="1"/>
  <c r="J24" i="33" s="1"/>
  <c r="J25" i="33" a="1"/>
  <c r="J25" i="33" s="1"/>
  <c r="J26" i="33" a="1"/>
  <c r="J26" i="33" s="1"/>
  <c r="J27" i="33" a="1"/>
  <c r="J27" i="33" s="1"/>
  <c r="J28" i="33" a="1"/>
  <c r="J28" i="33" s="1"/>
  <c r="J29" i="33" a="1"/>
  <c r="J29" i="33" s="1"/>
  <c r="J30" i="33" a="1"/>
  <c r="J30" i="33" s="1"/>
  <c r="J31" i="33" a="1"/>
  <c r="J31" i="33" s="1"/>
  <c r="J32" i="33" a="1"/>
  <c r="J32" i="33" s="1"/>
  <c r="J33" i="33" a="1"/>
  <c r="J33" i="33" s="1"/>
  <c r="J34" i="33" a="1"/>
  <c r="J34" i="33" s="1"/>
  <c r="J35" i="33" a="1"/>
  <c r="J35" i="33" s="1"/>
  <c r="J23" i="53" a="1"/>
  <c r="J23" i="53" s="1"/>
  <c r="J24" i="53" a="1"/>
  <c r="J24" i="53" s="1"/>
  <c r="J25" i="53" a="1"/>
  <c r="J25" i="53" s="1"/>
  <c r="J26" i="53" a="1"/>
  <c r="J26" i="53" s="1"/>
  <c r="J27" i="53" a="1"/>
  <c r="J27" i="53" s="1"/>
  <c r="J28" i="53" a="1"/>
  <c r="J28" i="53" s="1"/>
  <c r="J29" i="53" a="1"/>
  <c r="J29" i="53" s="1"/>
  <c r="J30" i="53" a="1"/>
  <c r="J30" i="53" s="1"/>
  <c r="J31" i="53" a="1"/>
  <c r="J31" i="53" s="1"/>
  <c r="J32" i="53" a="1"/>
  <c r="J32" i="53" s="1"/>
  <c r="J33" i="53" a="1"/>
  <c r="J33" i="53" s="1"/>
  <c r="J34" i="53" a="1"/>
  <c r="J34" i="53" s="1"/>
  <c r="J35" i="53" a="1"/>
  <c r="J35" i="53" s="1"/>
  <c r="J36" i="53" a="1"/>
  <c r="J36" i="53" s="1"/>
  <c r="J37" i="53" a="1"/>
  <c r="J37" i="53" s="1"/>
  <c r="J23" i="54" a="1"/>
  <c r="J23" i="54" s="1"/>
  <c r="J24" i="54" a="1"/>
  <c r="J24" i="54" s="1"/>
  <c r="J25" i="54" a="1"/>
  <c r="J25" i="54" s="1"/>
  <c r="J26" i="54" a="1"/>
  <c r="J26" i="54" s="1"/>
  <c r="J27" i="54" a="1"/>
  <c r="J27" i="54" s="1"/>
  <c r="J28" i="54" a="1"/>
  <c r="J28" i="54" s="1"/>
  <c r="J29" i="54" a="1"/>
  <c r="J29" i="54" s="1"/>
  <c r="J30" i="54" a="1"/>
  <c r="J30" i="54" s="1"/>
  <c r="J31" i="54" a="1"/>
  <c r="J31" i="54" s="1"/>
  <c r="J32" i="54" a="1"/>
  <c r="J32" i="54" s="1"/>
  <c r="J33" i="54" a="1"/>
  <c r="J33" i="54" s="1"/>
  <c r="J34" i="54" a="1"/>
  <c r="J34" i="54" s="1"/>
  <c r="J35" i="54" a="1"/>
  <c r="J35" i="54" s="1"/>
  <c r="J36" i="54" a="1"/>
  <c r="J36" i="54" s="1"/>
  <c r="J37" i="54" a="1"/>
  <c r="J37" i="54" s="1"/>
  <c r="J23" i="39" a="1"/>
  <c r="J23" i="39" s="1"/>
  <c r="J24" i="39" a="1"/>
  <c r="J24" i="39" s="1"/>
  <c r="J25" i="39" a="1"/>
  <c r="J25" i="39" s="1"/>
  <c r="J26" i="39" a="1"/>
  <c r="J26" i="39" s="1"/>
  <c r="J27" i="39" a="1"/>
  <c r="J27" i="39" s="1"/>
  <c r="J28" i="39" a="1"/>
  <c r="J28" i="39" s="1"/>
  <c r="J29" i="39" a="1"/>
  <c r="J29" i="39" s="1"/>
  <c r="J30" i="39" a="1"/>
  <c r="J30" i="39" s="1"/>
  <c r="J31" i="39" a="1"/>
  <c r="J31" i="39" s="1"/>
  <c r="J32" i="39" a="1"/>
  <c r="J32" i="39" s="1"/>
  <c r="J33" i="39" a="1"/>
  <c r="J33" i="39" s="1"/>
  <c r="J34" i="39" a="1"/>
  <c r="J34" i="39" s="1"/>
  <c r="J35" i="39" a="1"/>
  <c r="J35" i="39" s="1"/>
  <c r="J23" i="41" a="1"/>
  <c r="J23" i="41" s="1"/>
  <c r="J24" i="41" a="1"/>
  <c r="J24" i="41" s="1"/>
  <c r="J25" i="41" a="1"/>
  <c r="J25" i="41" s="1"/>
  <c r="J26" i="41" a="1"/>
  <c r="J26" i="41" s="1"/>
  <c r="J27" i="41" a="1"/>
  <c r="J27" i="41" s="1"/>
  <c r="J28" i="41" a="1"/>
  <c r="J28" i="41" s="1"/>
  <c r="J29" i="41" a="1"/>
  <c r="J29" i="41" s="1"/>
  <c r="J30" i="41" a="1"/>
  <c r="J30" i="41" s="1"/>
  <c r="J31" i="41" a="1"/>
  <c r="J31" i="41" s="1"/>
  <c r="J32" i="41" a="1"/>
  <c r="J32" i="41" s="1"/>
  <c r="J33" i="41" a="1"/>
  <c r="J33" i="41" s="1"/>
  <c r="J34" i="41" a="1"/>
  <c r="J34" i="41" s="1"/>
  <c r="J35" i="41" a="1"/>
  <c r="J35" i="41" s="1"/>
  <c r="J23" i="55" a="1"/>
  <c r="J23" i="55" s="1"/>
  <c r="J24" i="55" a="1"/>
  <c r="J24" i="55" s="1"/>
  <c r="J25" i="55" a="1"/>
  <c r="J25" i="55" s="1"/>
  <c r="J26" i="55" a="1"/>
  <c r="J26" i="55" s="1"/>
  <c r="J27" i="55" a="1"/>
  <c r="J27" i="55" s="1"/>
  <c r="J28" i="55" a="1"/>
  <c r="J28" i="55" s="1"/>
  <c r="J29" i="55" a="1"/>
  <c r="J29" i="55" s="1"/>
  <c r="J30" i="55" a="1"/>
  <c r="J30" i="55" s="1"/>
  <c r="J31" i="55" a="1"/>
  <c r="J31" i="55" s="1"/>
  <c r="J32" i="55" a="1"/>
  <c r="J32" i="55" s="1"/>
  <c r="J33" i="55" a="1"/>
  <c r="J33" i="55" s="1"/>
  <c r="J34" i="55" a="1"/>
  <c r="J34" i="55" s="1"/>
  <c r="J35" i="55" a="1"/>
  <c r="J35" i="55" s="1"/>
  <c r="J36" i="55" a="1"/>
  <c r="J36" i="55" s="1"/>
  <c r="J37" i="55" a="1"/>
  <c r="J37" i="55" s="1"/>
  <c r="J23" i="56" a="1"/>
  <c r="J23" i="56" s="1"/>
  <c r="J24" i="56" a="1"/>
  <c r="J24" i="56" s="1"/>
  <c r="J25" i="56" a="1"/>
  <c r="J25" i="56" s="1"/>
  <c r="J26" i="56" a="1"/>
  <c r="J26" i="56" s="1"/>
  <c r="J27" i="56" a="1"/>
  <c r="J27" i="56" s="1"/>
  <c r="J28" i="56" a="1"/>
  <c r="J28" i="56" s="1"/>
  <c r="J29" i="56" a="1"/>
  <c r="J29" i="56" s="1"/>
  <c r="J30" i="56" a="1"/>
  <c r="J30" i="56" s="1"/>
  <c r="J31" i="56" a="1"/>
  <c r="J31" i="56" s="1"/>
  <c r="J32" i="56" a="1"/>
  <c r="J32" i="56" s="1"/>
  <c r="J33" i="56" a="1"/>
  <c r="J33" i="56" s="1"/>
  <c r="J34" i="56" a="1"/>
  <c r="J34" i="56" s="1"/>
  <c r="J35" i="56" a="1"/>
  <c r="J35" i="56" s="1"/>
  <c r="J36" i="56" a="1"/>
  <c r="J36" i="56" s="1"/>
  <c r="J37" i="56" a="1"/>
  <c r="J37" i="56" s="1"/>
  <c r="J23" i="57" a="1"/>
  <c r="J23" i="57" s="1"/>
  <c r="J24" i="57" a="1"/>
  <c r="J24" i="57" s="1"/>
  <c r="J25" i="57" a="1"/>
  <c r="J25" i="57" s="1"/>
  <c r="J26" i="57" a="1"/>
  <c r="J26" i="57" s="1"/>
  <c r="J27" i="57" a="1"/>
  <c r="J27" i="57" s="1"/>
  <c r="J28" i="57" a="1"/>
  <c r="J28" i="57" s="1"/>
  <c r="J29" i="57" a="1"/>
  <c r="J29" i="57" s="1"/>
  <c r="J30" i="57" a="1"/>
  <c r="J30" i="57" s="1"/>
  <c r="J31" i="57" a="1"/>
  <c r="J31" i="57" s="1"/>
  <c r="J32" i="57" a="1"/>
  <c r="J32" i="57" s="1"/>
  <c r="J33" i="57" a="1"/>
  <c r="J33" i="57" s="1"/>
  <c r="J34" i="57" a="1"/>
  <c r="J34" i="57" s="1"/>
  <c r="J35" i="57" a="1"/>
  <c r="J35" i="57" s="1"/>
  <c r="J36" i="57" a="1"/>
  <c r="J36" i="57" s="1"/>
  <c r="J37" i="57" a="1"/>
  <c r="J37" i="57" s="1"/>
  <c r="J23" i="43" a="1"/>
  <c r="J23" i="43" s="1"/>
  <c r="J24" i="43" a="1"/>
  <c r="J24" i="43" s="1"/>
  <c r="J25" i="43" a="1"/>
  <c r="J25" i="43" s="1"/>
  <c r="J26" i="43" a="1"/>
  <c r="J26" i="43" s="1"/>
  <c r="J27" i="43" a="1"/>
  <c r="J27" i="43" s="1"/>
  <c r="J28" i="43" a="1"/>
  <c r="J28" i="43" s="1"/>
  <c r="J29" i="43" a="1"/>
  <c r="J29" i="43" s="1"/>
  <c r="J30" i="43" a="1"/>
  <c r="J30" i="43" s="1"/>
  <c r="J31" i="43" a="1"/>
  <c r="J31" i="43" s="1"/>
  <c r="J32" i="43" a="1"/>
  <c r="J32" i="43" s="1"/>
  <c r="J33" i="43" a="1"/>
  <c r="J33" i="43" s="1"/>
  <c r="J34" i="43" a="1"/>
  <c r="J34" i="43" s="1"/>
  <c r="J35" i="43" a="1"/>
  <c r="J35" i="43" s="1"/>
  <c r="J23" i="35" a="1"/>
  <c r="J23" i="35" s="1"/>
  <c r="J24" i="35" a="1"/>
  <c r="J24" i="35" s="1"/>
  <c r="J25" i="35" a="1"/>
  <c r="J25" i="35" s="1"/>
  <c r="J26" i="35" a="1"/>
  <c r="J26" i="35" s="1"/>
  <c r="J27" i="35" a="1"/>
  <c r="J27" i="35" s="1"/>
  <c r="J28" i="35" a="1"/>
  <c r="J28" i="35" s="1"/>
  <c r="J29" i="35" a="1"/>
  <c r="J29" i="35" s="1"/>
  <c r="J30" i="35" a="1"/>
  <c r="J30" i="35" s="1"/>
  <c r="J31" i="35" a="1"/>
  <c r="J31" i="35" s="1"/>
  <c r="J32" i="35" a="1"/>
  <c r="J32" i="35" s="1"/>
  <c r="J33" i="35" a="1"/>
  <c r="J33" i="35" s="1"/>
  <c r="J34" i="35" a="1"/>
  <c r="J34" i="35" s="1"/>
  <c r="J35" i="35" a="1"/>
  <c r="J35" i="35" s="1"/>
  <c r="J23" i="59" a="1"/>
  <c r="J23" i="59" s="1"/>
  <c r="J24" i="59" a="1"/>
  <c r="J24" i="59" s="1"/>
  <c r="J25" i="59" a="1"/>
  <c r="J25" i="59" s="1"/>
  <c r="J26" i="59" a="1"/>
  <c r="J26" i="59" s="1"/>
  <c r="J27" i="59" a="1"/>
  <c r="J27" i="59" s="1"/>
  <c r="J28" i="59" a="1"/>
  <c r="J28" i="59" s="1"/>
  <c r="J29" i="59" a="1"/>
  <c r="J29" i="59" s="1"/>
  <c r="J30" i="59" a="1"/>
  <c r="J30" i="59" s="1"/>
  <c r="J31" i="59" a="1"/>
  <c r="J31" i="59" s="1"/>
  <c r="J32" i="59" a="1"/>
  <c r="J32" i="59" s="1"/>
  <c r="J33" i="59" a="1"/>
  <c r="J33" i="59" s="1"/>
  <c r="J34" i="59" a="1"/>
  <c r="J34" i="59" s="1"/>
  <c r="J35" i="59" a="1"/>
  <c r="J35" i="59" s="1"/>
  <c r="J36" i="59" a="1"/>
  <c r="J36" i="59" s="1"/>
  <c r="J37" i="59" a="1"/>
  <c r="J37" i="59" s="1"/>
  <c r="J23" i="29" a="1"/>
  <c r="J23" i="29" s="1"/>
  <c r="J24" i="29" a="1"/>
  <c r="J24" i="29" s="1"/>
  <c r="J25" i="29" a="1"/>
  <c r="J25" i="29" s="1"/>
  <c r="J26" i="29" a="1"/>
  <c r="J26" i="29" s="1"/>
  <c r="J27" i="29" a="1"/>
  <c r="J27" i="29" s="1"/>
  <c r="J28" i="29" a="1"/>
  <c r="J28" i="29" s="1"/>
  <c r="J29" i="29" a="1"/>
  <c r="J29" i="29" s="1"/>
  <c r="J30" i="29" a="1"/>
  <c r="J30" i="29" s="1"/>
  <c r="J31" i="29" a="1"/>
  <c r="J31" i="29" s="1"/>
  <c r="J32" i="29" a="1"/>
  <c r="J32" i="29" s="1"/>
  <c r="J33" i="29" a="1"/>
  <c r="J33" i="29" s="1"/>
  <c r="J34" i="29" a="1"/>
  <c r="J34" i="29" s="1"/>
  <c r="J35" i="29" a="1"/>
  <c r="J35" i="29" s="1"/>
  <c r="J36" i="29" a="1"/>
  <c r="J36" i="29" s="1"/>
  <c r="J37" i="29" a="1"/>
  <c r="J37" i="29" s="1"/>
  <c r="J23" i="27" a="1"/>
  <c r="J23" i="27" s="1"/>
  <c r="J24" i="27" a="1"/>
  <c r="J24" i="27" s="1"/>
  <c r="J25" i="27" a="1"/>
  <c r="J25" i="27" s="1"/>
  <c r="J26" i="27" a="1"/>
  <c r="J26" i="27" s="1"/>
  <c r="J27" i="27" a="1"/>
  <c r="J27" i="27" s="1"/>
  <c r="J28" i="27" a="1"/>
  <c r="J28" i="27" s="1"/>
  <c r="J29" i="27" a="1"/>
  <c r="J29" i="27" s="1"/>
  <c r="J30" i="27" a="1"/>
  <c r="J30" i="27" s="1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23" i="34" a="1"/>
  <c r="J23" i="34" s="1"/>
  <c r="J24" i="34" a="1"/>
  <c r="J24" i="34" s="1"/>
  <c r="J25" i="34" a="1"/>
  <c r="J25" i="34" s="1"/>
  <c r="J26" i="34" a="1"/>
  <c r="J26" i="34" s="1"/>
  <c r="J27" i="34" a="1"/>
  <c r="J27" i="34" s="1"/>
  <c r="J28" i="34" a="1"/>
  <c r="J28" i="34" s="1"/>
  <c r="J29" i="34" a="1"/>
  <c r="J29" i="34" s="1"/>
  <c r="J30" i="34" a="1"/>
  <c r="J30" i="34" s="1"/>
  <c r="J31" i="34" a="1"/>
  <c r="J31" i="34" s="1"/>
  <c r="J32" i="34" a="1"/>
  <c r="J32" i="34" s="1"/>
  <c r="J33" i="34" a="1"/>
  <c r="J33" i="34" s="1"/>
  <c r="J34" i="34" a="1"/>
  <c r="J34" i="34" s="1"/>
  <c r="J35" i="34" a="1"/>
  <c r="J35" i="34" s="1"/>
  <c r="J36" i="34" a="1"/>
  <c r="J36" i="34" s="1"/>
  <c r="J37" i="34" a="1"/>
  <c r="J37" i="34" s="1"/>
  <c r="J23" i="37" a="1"/>
  <c r="J23" i="37" s="1"/>
  <c r="J24" i="37" a="1"/>
  <c r="J24" i="37" s="1"/>
  <c r="J25" i="37" a="1"/>
  <c r="J25" i="37" s="1"/>
  <c r="J26" i="37" a="1"/>
  <c r="J26" i="37" s="1"/>
  <c r="J27" i="37" a="1"/>
  <c r="J27" i="37" s="1"/>
  <c r="J28" i="37" a="1"/>
  <c r="J28" i="37" s="1"/>
  <c r="J29" i="37" a="1"/>
  <c r="J29" i="37" s="1"/>
  <c r="J30" i="37" a="1"/>
  <c r="J30" i="37" s="1"/>
  <c r="J31" i="37" a="1"/>
  <c r="J31" i="37" s="1"/>
  <c r="J32" i="37" a="1"/>
  <c r="J32" i="37" s="1"/>
  <c r="J33" i="37" a="1"/>
  <c r="J33" i="37" s="1"/>
  <c r="J34" i="37" a="1"/>
  <c r="J34" i="37" s="1"/>
  <c r="J35" i="37" a="1"/>
  <c r="J35" i="37" s="1"/>
  <c r="J36" i="37" a="1"/>
  <c r="J36" i="37" s="1"/>
  <c r="J37" i="37" a="1"/>
  <c r="J37" i="37" s="1"/>
  <c r="J38" i="37" a="1"/>
  <c r="J38" i="37" s="1"/>
  <c r="J23" i="45" a="1"/>
  <c r="J23" i="45" s="1"/>
  <c r="J24" i="45" a="1"/>
  <c r="J24" i="45" s="1"/>
  <c r="J25" i="45" a="1"/>
  <c r="J25" i="45" s="1"/>
  <c r="J26" i="45" a="1"/>
  <c r="J26" i="45" s="1"/>
  <c r="J27" i="45" a="1"/>
  <c r="J27" i="45" s="1"/>
  <c r="J28" i="45" a="1"/>
  <c r="J28" i="45" s="1"/>
  <c r="J29" i="45" a="1"/>
  <c r="J29" i="45" s="1"/>
  <c r="J30" i="45" a="1"/>
  <c r="J30" i="45" s="1"/>
  <c r="J31" i="45" a="1"/>
  <c r="J31" i="45" s="1"/>
  <c r="J32" i="45" a="1"/>
  <c r="J32" i="45" s="1"/>
  <c r="J33" i="45" a="1"/>
  <c r="J33" i="45" s="1"/>
  <c r="J34" i="45" a="1"/>
  <c r="J34" i="45" s="1"/>
  <c r="J35" i="45" a="1"/>
  <c r="J35" i="45" s="1"/>
  <c r="J36" i="45" a="1"/>
  <c r="J36" i="45" s="1"/>
  <c r="J37" i="45" a="1"/>
  <c r="J37" i="45" s="1"/>
  <c r="J38" i="45" a="1"/>
  <c r="J38" i="45" s="1"/>
  <c r="J23" i="30" a="1"/>
  <c r="J23" i="30" s="1"/>
  <c r="J24" i="30" a="1"/>
  <c r="J24" i="30" s="1"/>
  <c r="J25" i="30" a="1"/>
  <c r="J25" i="30" s="1"/>
  <c r="J26" i="30" a="1"/>
  <c r="J26" i="30" s="1"/>
  <c r="J27" i="30" a="1"/>
  <c r="J27" i="30" s="1"/>
  <c r="J28" i="30" a="1"/>
  <c r="J28" i="30" s="1"/>
  <c r="J29" i="30" a="1"/>
  <c r="J29" i="30" s="1"/>
  <c r="J30" i="30" a="1"/>
  <c r="J30" i="30" s="1"/>
  <c r="J31" i="30" a="1"/>
  <c r="J31" i="30" s="1"/>
  <c r="J32" i="30" a="1"/>
  <c r="J32" i="30" s="1"/>
  <c r="J33" i="30" a="1"/>
  <c r="J33" i="30" s="1"/>
  <c r="J34" i="30" a="1"/>
  <c r="J34" i="30" s="1"/>
  <c r="J35" i="30" a="1"/>
  <c r="J35" i="30" s="1"/>
  <c r="J36" i="30" a="1"/>
  <c r="J36" i="30" s="1"/>
  <c r="J37" i="30" a="1"/>
  <c r="J37" i="30" s="1"/>
  <c r="J38" i="30" a="1"/>
  <c r="J38" i="30" s="1"/>
  <c r="J23" i="50" a="1"/>
  <c r="J23" i="50" s="1"/>
  <c r="J24" i="50" a="1"/>
  <c r="J24" i="50" s="1"/>
  <c r="J25" i="50" a="1"/>
  <c r="J25" i="50" s="1"/>
  <c r="J26" i="50" a="1"/>
  <c r="J26" i="50" s="1"/>
  <c r="J27" i="50" a="1"/>
  <c r="J27" i="50" s="1"/>
  <c r="J28" i="50" a="1"/>
  <c r="J28" i="50" s="1"/>
  <c r="J29" i="50" a="1"/>
  <c r="J29" i="50" s="1"/>
  <c r="J30" i="50" a="1"/>
  <c r="J30" i="50" s="1"/>
  <c r="J31" i="50" a="1"/>
  <c r="J31" i="50" s="1"/>
  <c r="J32" i="50" a="1"/>
  <c r="J32" i="50" s="1"/>
  <c r="J33" i="50" a="1"/>
  <c r="J33" i="50" s="1"/>
  <c r="J34" i="50" a="1"/>
  <c r="J34" i="50" s="1"/>
  <c r="J35" i="50" a="1"/>
  <c r="J35" i="50" s="1"/>
  <c r="J36" i="50" a="1"/>
  <c r="J36" i="50" s="1"/>
  <c r="J37" i="50" a="1"/>
  <c r="J37" i="50" s="1"/>
  <c r="J38" i="50" a="1"/>
  <c r="J38" i="50" s="1"/>
  <c r="J22" i="36" a="1"/>
  <c r="J22" i="36" s="1"/>
  <c r="J22" i="49" a="1"/>
  <c r="J22" i="49" s="1"/>
  <c r="J22" i="44" a="1"/>
  <c r="J22" i="44" s="1"/>
  <c r="J22" i="42" a="1"/>
  <c r="J22" i="42" s="1"/>
  <c r="J22" i="51" a="1"/>
  <c r="J22" i="51" s="1"/>
  <c r="J22" i="46" a="1"/>
  <c r="J22" i="46" s="1"/>
  <c r="J22" i="38" a="1"/>
  <c r="J22" i="38" s="1"/>
  <c r="J22" i="47" a="1"/>
  <c r="J22" i="47" s="1"/>
  <c r="J22" i="60" a="1"/>
  <c r="J22" i="60" s="1"/>
  <c r="J22" i="52" a="1"/>
  <c r="J22" i="52" s="1"/>
  <c r="J22" i="28" a="1"/>
  <c r="J22" i="28" s="1"/>
  <c r="J22" i="31" a="1"/>
  <c r="J22" i="31" s="1"/>
  <c r="J22" i="32" a="1"/>
  <c r="J22" i="32" s="1"/>
  <c r="J22" i="33" a="1"/>
  <c r="J22" i="33" s="1"/>
  <c r="J22" i="53" a="1"/>
  <c r="J22" i="53" s="1"/>
  <c r="J22" i="54" a="1"/>
  <c r="J22" i="54" s="1"/>
  <c r="J22" i="39" a="1"/>
  <c r="J22" i="39" s="1"/>
  <c r="J22" i="41" a="1"/>
  <c r="J22" i="41" s="1"/>
  <c r="J22" i="55" a="1"/>
  <c r="J22" i="55" s="1"/>
  <c r="J22" i="56" a="1"/>
  <c r="J22" i="56" s="1"/>
  <c r="J22" i="57" a="1"/>
  <c r="J22" i="57" s="1"/>
  <c r="J22" i="43" a="1"/>
  <c r="J22" i="43" s="1"/>
  <c r="J22" i="35" a="1"/>
  <c r="J22" i="35" s="1"/>
  <c r="J22" i="59" a="1"/>
  <c r="J22" i="59" s="1"/>
  <c r="J22" i="29" a="1"/>
  <c r="J22" i="29" s="1"/>
  <c r="J22" i="27" a="1"/>
  <c r="J22" i="27" s="1"/>
  <c r="J22" i="34" a="1"/>
  <c r="J22" i="34" s="1"/>
  <c r="J22" i="37" a="1"/>
  <c r="J22" i="37" s="1"/>
  <c r="J22" i="45" a="1"/>
  <c r="J22" i="45" s="1"/>
  <c r="J22" i="30" a="1"/>
  <c r="J22" i="30" s="1"/>
  <c r="J22" i="50" a="1"/>
  <c r="J22" i="50" s="1"/>
  <c r="J23" i="40" a="1"/>
  <c r="J23" i="40" s="1"/>
  <c r="J24" i="40" a="1"/>
  <c r="J24" i="40" s="1"/>
  <c r="J25" i="40" a="1"/>
  <c r="J25" i="40" s="1"/>
  <c r="J26" i="40" a="1"/>
  <c r="J26" i="40" s="1"/>
  <c r="J27" i="40" a="1"/>
  <c r="J27" i="40" s="1"/>
  <c r="J28" i="40" a="1"/>
  <c r="J28" i="40" s="1"/>
  <c r="J29" i="40" a="1"/>
  <c r="J29" i="40" s="1"/>
  <c r="J30" i="40" a="1"/>
  <c r="J30" i="40" s="1"/>
  <c r="J31" i="40" a="1"/>
  <c r="J31" i="40" s="1"/>
  <c r="J32" i="40" a="1"/>
  <c r="J32" i="40" s="1"/>
  <c r="J33" i="40" a="1"/>
  <c r="J33" i="40" s="1"/>
  <c r="J34" i="40" a="1"/>
  <c r="J34" i="40" s="1"/>
  <c r="J35" i="40" a="1"/>
  <c r="J35" i="40" s="1"/>
  <c r="J36" i="40" a="1"/>
  <c r="J36" i="40" s="1"/>
  <c r="J37" i="40" a="1"/>
  <c r="J37" i="40" s="1"/>
  <c r="J38" i="40" a="1"/>
  <c r="J38" i="40" s="1"/>
  <c r="J39" i="40" a="1"/>
  <c r="J39" i="40" s="1"/>
  <c r="J40" i="40" a="1"/>
  <c r="J40" i="40" s="1"/>
  <c r="J41" i="40" a="1"/>
  <c r="J41" i="40" s="1"/>
  <c r="J42" i="40" a="1"/>
  <c r="J42" i="40" s="1"/>
  <c r="J43" i="40" a="1"/>
  <c r="J43" i="40" s="1"/>
  <c r="J44" i="40" a="1"/>
  <c r="J44" i="40" s="1"/>
  <c r="J45" i="40" a="1"/>
  <c r="J45" i="40" s="1"/>
  <c r="J46" i="40" a="1"/>
  <c r="J46" i="40" s="1"/>
  <c r="J47" i="40" a="1"/>
  <c r="J47" i="40" s="1"/>
  <c r="J48" i="40" a="1"/>
  <c r="J48" i="40" s="1"/>
  <c r="J49" i="40" a="1"/>
  <c r="J49" i="40" s="1"/>
  <c r="J50" i="40" a="1"/>
  <c r="J50" i="40" s="1"/>
  <c r="J51" i="40" a="1"/>
  <c r="J51" i="40" s="1"/>
  <c r="J52" i="40" a="1"/>
  <c r="J52" i="40" s="1"/>
  <c r="J22" i="40" a="1"/>
  <c r="J22" i="40" s="1"/>
  <c r="G36" i="59"/>
  <c r="D36" i="59"/>
  <c r="C36" i="59"/>
  <c r="B36" i="59"/>
  <c r="A36" i="59"/>
  <c r="G37" i="59"/>
  <c r="D37" i="59"/>
  <c r="C37" i="59"/>
  <c r="B37" i="59"/>
  <c r="A37" i="59"/>
  <c r="G32" i="59"/>
  <c r="D32" i="59"/>
  <c r="C32" i="59"/>
  <c r="B32" i="59"/>
  <c r="A32" i="59"/>
  <c r="G30" i="59"/>
  <c r="D30" i="59"/>
  <c r="C30" i="59"/>
  <c r="B30" i="59"/>
  <c r="A30" i="59"/>
  <c r="G35" i="59"/>
  <c r="D35" i="59"/>
  <c r="C35" i="59"/>
  <c r="B35" i="59"/>
  <c r="G34" i="59"/>
  <c r="D34" i="59"/>
  <c r="C34" i="59"/>
  <c r="B34" i="59"/>
  <c r="G33" i="59"/>
  <c r="D33" i="59"/>
  <c r="C33" i="59"/>
  <c r="B33" i="59"/>
  <c r="G31" i="59"/>
  <c r="D31" i="59"/>
  <c r="C31" i="59"/>
  <c r="B31" i="59"/>
  <c r="G29" i="59"/>
  <c r="D29" i="59"/>
  <c r="C29" i="59"/>
  <c r="B29" i="59"/>
  <c r="M28" i="59"/>
  <c r="G28" i="59"/>
  <c r="D28" i="59"/>
  <c r="C28" i="59"/>
  <c r="B28" i="59"/>
  <c r="M27" i="59"/>
  <c r="G27" i="59"/>
  <c r="D27" i="59"/>
  <c r="C27" i="59"/>
  <c r="B27" i="59"/>
  <c r="M26" i="59"/>
  <c r="G26" i="59"/>
  <c r="D26" i="59"/>
  <c r="C26" i="59"/>
  <c r="B26" i="59"/>
  <c r="M25" i="59"/>
  <c r="G25" i="59"/>
  <c r="D25" i="59"/>
  <c r="C25" i="59"/>
  <c r="B25" i="59"/>
  <c r="M24" i="59"/>
  <c r="G24" i="59"/>
  <c r="D24" i="59"/>
  <c r="C24" i="59"/>
  <c r="B24" i="59"/>
  <c r="M23" i="59"/>
  <c r="G23" i="59"/>
  <c r="D23" i="59"/>
  <c r="C23" i="59"/>
  <c r="B23" i="59"/>
  <c r="M22" i="59"/>
  <c r="G22" i="59"/>
  <c r="D22" i="59"/>
  <c r="C22" i="59"/>
  <c r="B22" i="59"/>
  <c r="A22" i="59"/>
  <c r="A23" i="59" s="1"/>
  <c r="A24" i="59" s="1"/>
  <c r="A25" i="59" s="1"/>
  <c r="A26" i="59" s="1"/>
  <c r="A27" i="59" s="1"/>
  <c r="A28" i="59" s="1"/>
  <c r="A29" i="59" s="1"/>
  <c r="A31" i="59" s="1"/>
  <c r="L18" i="59"/>
  <c r="L17" i="59"/>
  <c r="L16" i="59"/>
  <c r="L15" i="59"/>
  <c r="L14" i="59"/>
  <c r="L13" i="59"/>
  <c r="G37" i="57"/>
  <c r="D37" i="57"/>
  <c r="C37" i="57"/>
  <c r="B37" i="57"/>
  <c r="G36" i="57"/>
  <c r="D36" i="57"/>
  <c r="C36" i="57"/>
  <c r="B36" i="57"/>
  <c r="G35" i="57"/>
  <c r="D35" i="57"/>
  <c r="C35" i="57"/>
  <c r="B35" i="57"/>
  <c r="G34" i="57"/>
  <c r="D34" i="57"/>
  <c r="C34" i="57"/>
  <c r="B34" i="57"/>
  <c r="G33" i="57"/>
  <c r="D33" i="57"/>
  <c r="C33" i="57"/>
  <c r="B33" i="57"/>
  <c r="G32" i="57"/>
  <c r="D32" i="57"/>
  <c r="C32" i="57"/>
  <c r="B32" i="57"/>
  <c r="G31" i="57"/>
  <c r="D31" i="57"/>
  <c r="C31" i="57"/>
  <c r="B31" i="57"/>
  <c r="G30" i="57"/>
  <c r="D30" i="57"/>
  <c r="C30" i="57"/>
  <c r="B30" i="57"/>
  <c r="G29" i="57"/>
  <c r="D29" i="57"/>
  <c r="C29" i="57"/>
  <c r="B29" i="57"/>
  <c r="M28" i="57"/>
  <c r="G28" i="57"/>
  <c r="D28" i="57"/>
  <c r="C28" i="57"/>
  <c r="B28" i="57"/>
  <c r="M27" i="57"/>
  <c r="G27" i="57"/>
  <c r="D27" i="57"/>
  <c r="C27" i="57"/>
  <c r="B27" i="57"/>
  <c r="M26" i="57"/>
  <c r="G26" i="57"/>
  <c r="D26" i="57"/>
  <c r="C26" i="57"/>
  <c r="B26" i="57"/>
  <c r="M25" i="57"/>
  <c r="G25" i="57"/>
  <c r="D25" i="57"/>
  <c r="C25" i="57"/>
  <c r="B25" i="57"/>
  <c r="M24" i="57"/>
  <c r="G24" i="57"/>
  <c r="D24" i="57"/>
  <c r="C24" i="57"/>
  <c r="B24" i="57"/>
  <c r="M23" i="57"/>
  <c r="G23" i="57"/>
  <c r="D23" i="57"/>
  <c r="C23" i="57"/>
  <c r="B23" i="57"/>
  <c r="A23" i="57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36" i="57" s="1"/>
  <c r="A37" i="57" s="1"/>
  <c r="M22" i="57"/>
  <c r="G22" i="57"/>
  <c r="D22" i="57"/>
  <c r="C22" i="57"/>
  <c r="B22" i="57"/>
  <c r="A22" i="57"/>
  <c r="L18" i="57"/>
  <c r="L17" i="57"/>
  <c r="L16" i="57"/>
  <c r="L15" i="57"/>
  <c r="L14" i="57"/>
  <c r="L13" i="57"/>
  <c r="G37" i="56"/>
  <c r="D37" i="56"/>
  <c r="C37" i="56"/>
  <c r="B37" i="56"/>
  <c r="G36" i="56"/>
  <c r="D36" i="56"/>
  <c r="C36" i="56"/>
  <c r="B36" i="56"/>
  <c r="G35" i="56"/>
  <c r="D35" i="56"/>
  <c r="C35" i="56"/>
  <c r="B35" i="56"/>
  <c r="G34" i="56"/>
  <c r="D34" i="56"/>
  <c r="C34" i="56"/>
  <c r="B34" i="56"/>
  <c r="G33" i="56"/>
  <c r="D33" i="56"/>
  <c r="C33" i="56"/>
  <c r="B33" i="56"/>
  <c r="G32" i="56"/>
  <c r="D32" i="56"/>
  <c r="C32" i="56"/>
  <c r="B32" i="56"/>
  <c r="G31" i="56"/>
  <c r="D31" i="56"/>
  <c r="C31" i="56"/>
  <c r="B31" i="56"/>
  <c r="G30" i="56"/>
  <c r="D30" i="56"/>
  <c r="C30" i="56"/>
  <c r="B30" i="56"/>
  <c r="G29" i="56"/>
  <c r="D29" i="56"/>
  <c r="C29" i="56"/>
  <c r="B29" i="56"/>
  <c r="M28" i="56"/>
  <c r="G28" i="56"/>
  <c r="D28" i="56"/>
  <c r="C28" i="56"/>
  <c r="B28" i="56"/>
  <c r="M27" i="56"/>
  <c r="G27" i="56"/>
  <c r="D27" i="56"/>
  <c r="C27" i="56"/>
  <c r="B27" i="56"/>
  <c r="M26" i="56"/>
  <c r="G26" i="56"/>
  <c r="D26" i="56"/>
  <c r="C26" i="56"/>
  <c r="B26" i="56"/>
  <c r="M25" i="56"/>
  <c r="G25" i="56"/>
  <c r="D25" i="56"/>
  <c r="C25" i="56"/>
  <c r="B25" i="56"/>
  <c r="M24" i="56"/>
  <c r="G24" i="56"/>
  <c r="D24" i="56"/>
  <c r="C24" i="56"/>
  <c r="B24" i="56"/>
  <c r="M23" i="56"/>
  <c r="G23" i="56"/>
  <c r="D23" i="56"/>
  <c r="C23" i="56"/>
  <c r="B23" i="56"/>
  <c r="A23" i="56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A36" i="56" s="1"/>
  <c r="A37" i="56" s="1"/>
  <c r="M22" i="56"/>
  <c r="G22" i="56"/>
  <c r="D22" i="56"/>
  <c r="C22" i="56"/>
  <c r="B22" i="56"/>
  <c r="A22" i="56"/>
  <c r="L18" i="56"/>
  <c r="L17" i="56"/>
  <c r="L16" i="56"/>
  <c r="L15" i="56"/>
  <c r="L14" i="56"/>
  <c r="L13" i="56"/>
  <c r="G37" i="55"/>
  <c r="D37" i="55"/>
  <c r="C37" i="55"/>
  <c r="B37" i="55"/>
  <c r="A37" i="55"/>
  <c r="G36" i="55"/>
  <c r="D36" i="55"/>
  <c r="C36" i="55"/>
  <c r="B36" i="55"/>
  <c r="A36" i="55"/>
  <c r="G35" i="55"/>
  <c r="D35" i="55"/>
  <c r="C35" i="55"/>
  <c r="B35" i="55"/>
  <c r="G34" i="55"/>
  <c r="D34" i="55"/>
  <c r="C34" i="55"/>
  <c r="B34" i="55"/>
  <c r="G33" i="55"/>
  <c r="D33" i="55"/>
  <c r="C33" i="55"/>
  <c r="B33" i="55"/>
  <c r="G32" i="55"/>
  <c r="D32" i="55"/>
  <c r="C32" i="55"/>
  <c r="B32" i="55"/>
  <c r="G31" i="55"/>
  <c r="D31" i="55"/>
  <c r="C31" i="55"/>
  <c r="B31" i="55"/>
  <c r="G30" i="55"/>
  <c r="D30" i="55"/>
  <c r="C30" i="55"/>
  <c r="B30" i="55"/>
  <c r="G29" i="55"/>
  <c r="D29" i="55"/>
  <c r="C29" i="55"/>
  <c r="B29" i="55"/>
  <c r="M28" i="55"/>
  <c r="G28" i="55"/>
  <c r="D28" i="55"/>
  <c r="C28" i="55"/>
  <c r="B28" i="55"/>
  <c r="M27" i="55"/>
  <c r="G27" i="55"/>
  <c r="D27" i="55"/>
  <c r="C27" i="55"/>
  <c r="B27" i="55"/>
  <c r="M26" i="55"/>
  <c r="G26" i="55"/>
  <c r="D26" i="55"/>
  <c r="C26" i="55"/>
  <c r="B26" i="55"/>
  <c r="M25" i="55"/>
  <c r="G25" i="55"/>
  <c r="D25" i="55"/>
  <c r="C25" i="55"/>
  <c r="B25" i="55"/>
  <c r="M24" i="55"/>
  <c r="G24" i="55"/>
  <c r="D24" i="55"/>
  <c r="C24" i="55"/>
  <c r="B24" i="55"/>
  <c r="M23" i="55"/>
  <c r="G23" i="55"/>
  <c r="D23" i="55"/>
  <c r="C23" i="55"/>
  <c r="B23" i="55"/>
  <c r="M22" i="55"/>
  <c r="G22" i="55"/>
  <c r="D22" i="55"/>
  <c r="C22" i="55"/>
  <c r="B22" i="55"/>
  <c r="A22" i="55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18" i="55"/>
  <c r="L17" i="55"/>
  <c r="L16" i="55"/>
  <c r="L15" i="55"/>
  <c r="L14" i="55"/>
  <c r="L13" i="55"/>
  <c r="G37" i="54"/>
  <c r="D37" i="54"/>
  <c r="C37" i="54"/>
  <c r="B37" i="54"/>
  <c r="G36" i="54"/>
  <c r="D36" i="54"/>
  <c r="C36" i="54"/>
  <c r="B36" i="54"/>
  <c r="G35" i="54"/>
  <c r="D35" i="54"/>
  <c r="C35" i="54"/>
  <c r="B35" i="54"/>
  <c r="G34" i="54"/>
  <c r="D34" i="54"/>
  <c r="C34" i="54"/>
  <c r="B34" i="54"/>
  <c r="G33" i="54"/>
  <c r="D33" i="54"/>
  <c r="C33" i="54"/>
  <c r="B33" i="54"/>
  <c r="G32" i="54"/>
  <c r="D32" i="54"/>
  <c r="C32" i="54"/>
  <c r="B32" i="54"/>
  <c r="G31" i="54"/>
  <c r="D31" i="54"/>
  <c r="C31" i="54"/>
  <c r="B31" i="54"/>
  <c r="G30" i="54"/>
  <c r="D30" i="54"/>
  <c r="C30" i="54"/>
  <c r="B30" i="54"/>
  <c r="G29" i="54"/>
  <c r="D29" i="54"/>
  <c r="C29" i="54"/>
  <c r="B29" i="54"/>
  <c r="M28" i="54"/>
  <c r="G28" i="54"/>
  <c r="D28" i="54"/>
  <c r="C28" i="54"/>
  <c r="B28" i="54"/>
  <c r="M27" i="54"/>
  <c r="G27" i="54"/>
  <c r="D27" i="54"/>
  <c r="C27" i="54"/>
  <c r="B27" i="54"/>
  <c r="M26" i="54"/>
  <c r="G26" i="54"/>
  <c r="D26" i="54"/>
  <c r="C26" i="54"/>
  <c r="B26" i="54"/>
  <c r="M25" i="54"/>
  <c r="G25" i="54"/>
  <c r="D25" i="54"/>
  <c r="C25" i="54"/>
  <c r="B25" i="54"/>
  <c r="M24" i="54"/>
  <c r="G24" i="54"/>
  <c r="D24" i="54"/>
  <c r="C24" i="54"/>
  <c r="B24" i="54"/>
  <c r="M23" i="54"/>
  <c r="G23" i="54"/>
  <c r="D23" i="54"/>
  <c r="C23" i="54"/>
  <c r="B23" i="54"/>
  <c r="A23" i="54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A36" i="54" s="1"/>
  <c r="A37" i="54" s="1"/>
  <c r="M22" i="54"/>
  <c r="G22" i="54"/>
  <c r="D22" i="54"/>
  <c r="C22" i="54"/>
  <c r="B22" i="54"/>
  <c r="A22" i="54"/>
  <c r="L18" i="54"/>
  <c r="L17" i="54"/>
  <c r="L16" i="54"/>
  <c r="L15" i="54"/>
  <c r="L14" i="54"/>
  <c r="L13" i="54"/>
  <c r="A36" i="53"/>
  <c r="B36" i="53"/>
  <c r="C36" i="53"/>
  <c r="D36" i="53"/>
  <c r="G36" i="53"/>
  <c r="A37" i="53"/>
  <c r="B37" i="53"/>
  <c r="C37" i="53"/>
  <c r="D37" i="53"/>
  <c r="G37" i="53"/>
  <c r="G35" i="53"/>
  <c r="D35" i="53"/>
  <c r="C35" i="53"/>
  <c r="B35" i="53"/>
  <c r="G34" i="53"/>
  <c r="D34" i="53"/>
  <c r="C34" i="53"/>
  <c r="B34" i="53"/>
  <c r="G33" i="53"/>
  <c r="D33" i="53"/>
  <c r="C33" i="53"/>
  <c r="B33" i="53"/>
  <c r="G32" i="53"/>
  <c r="D32" i="53"/>
  <c r="C32" i="53"/>
  <c r="B32" i="53"/>
  <c r="G31" i="53"/>
  <c r="D31" i="53"/>
  <c r="C31" i="53"/>
  <c r="B31" i="53"/>
  <c r="G30" i="53"/>
  <c r="D30" i="53"/>
  <c r="C30" i="53"/>
  <c r="B30" i="53"/>
  <c r="G29" i="53"/>
  <c r="D29" i="53"/>
  <c r="C29" i="53"/>
  <c r="B29" i="53"/>
  <c r="M28" i="53"/>
  <c r="G28" i="53"/>
  <c r="D28" i="53"/>
  <c r="C28" i="53"/>
  <c r="B28" i="53"/>
  <c r="M27" i="53"/>
  <c r="G27" i="53"/>
  <c r="D27" i="53"/>
  <c r="C27" i="53"/>
  <c r="B27" i="53"/>
  <c r="M26" i="53"/>
  <c r="G26" i="53"/>
  <c r="D26" i="53"/>
  <c r="C26" i="53"/>
  <c r="B26" i="53"/>
  <c r="M25" i="53"/>
  <c r="G25" i="53"/>
  <c r="D25" i="53"/>
  <c r="C25" i="53"/>
  <c r="B25" i="53"/>
  <c r="M24" i="53"/>
  <c r="G24" i="53"/>
  <c r="D24" i="53"/>
  <c r="C24" i="53"/>
  <c r="B24" i="53"/>
  <c r="M23" i="53"/>
  <c r="G23" i="53"/>
  <c r="D23" i="53"/>
  <c r="C23" i="53"/>
  <c r="B23" i="53"/>
  <c r="M22" i="53"/>
  <c r="G22" i="53"/>
  <c r="D22" i="53"/>
  <c r="C22" i="53"/>
  <c r="B22" i="53"/>
  <c r="A22" i="53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18" i="53"/>
  <c r="L17" i="53"/>
  <c r="L16" i="53"/>
  <c r="L15" i="53"/>
  <c r="L14" i="53"/>
  <c r="L13" i="53"/>
  <c r="G37" i="60"/>
  <c r="D37" i="60"/>
  <c r="C37" i="60"/>
  <c r="B37" i="60"/>
  <c r="G36" i="60"/>
  <c r="D36" i="60"/>
  <c r="C36" i="60"/>
  <c r="B36" i="60"/>
  <c r="G35" i="60"/>
  <c r="D35" i="60"/>
  <c r="C35" i="60"/>
  <c r="B35" i="60"/>
  <c r="G34" i="60"/>
  <c r="D34" i="60"/>
  <c r="C34" i="60"/>
  <c r="B34" i="60"/>
  <c r="G33" i="60"/>
  <c r="D33" i="60"/>
  <c r="C33" i="60"/>
  <c r="B33" i="60"/>
  <c r="G32" i="60"/>
  <c r="D32" i="60"/>
  <c r="C32" i="60"/>
  <c r="B32" i="60"/>
  <c r="G31" i="60"/>
  <c r="D31" i="60"/>
  <c r="C31" i="60"/>
  <c r="B31" i="60"/>
  <c r="G30" i="60"/>
  <c r="D30" i="60"/>
  <c r="C30" i="60"/>
  <c r="B30" i="60"/>
  <c r="G29" i="60"/>
  <c r="D29" i="60"/>
  <c r="C29" i="60"/>
  <c r="B29" i="60"/>
  <c r="M28" i="60"/>
  <c r="G28" i="60"/>
  <c r="D28" i="60"/>
  <c r="C28" i="60"/>
  <c r="B28" i="60"/>
  <c r="M27" i="60"/>
  <c r="G27" i="60"/>
  <c r="D27" i="60"/>
  <c r="C27" i="60"/>
  <c r="B27" i="60"/>
  <c r="M26" i="60"/>
  <c r="G26" i="60"/>
  <c r="D26" i="60"/>
  <c r="C26" i="60"/>
  <c r="B26" i="60"/>
  <c r="M25" i="60"/>
  <c r="G25" i="60"/>
  <c r="D25" i="60"/>
  <c r="C25" i="60"/>
  <c r="B25" i="60"/>
  <c r="M24" i="60"/>
  <c r="G24" i="60"/>
  <c r="D24" i="60"/>
  <c r="C24" i="60"/>
  <c r="B24" i="60"/>
  <c r="M23" i="60"/>
  <c r="G23" i="60"/>
  <c r="D23" i="60"/>
  <c r="C23" i="60"/>
  <c r="B23" i="60"/>
  <c r="A23" i="60"/>
  <c r="A24" i="60" s="1"/>
  <c r="A25" i="60" s="1"/>
  <c r="A26" i="60" s="1"/>
  <c r="A27" i="60" s="1"/>
  <c r="A28" i="60" s="1"/>
  <c r="A29" i="60" s="1"/>
  <c r="A30" i="60" s="1"/>
  <c r="A31" i="60" s="1"/>
  <c r="A32" i="60" s="1"/>
  <c r="A33" i="60" s="1"/>
  <c r="A34" i="60" s="1"/>
  <c r="A35" i="60" s="1"/>
  <c r="A36" i="60" s="1"/>
  <c r="A37" i="60" s="1"/>
  <c r="M22" i="60"/>
  <c r="G22" i="60"/>
  <c r="D22" i="60"/>
  <c r="C22" i="60"/>
  <c r="B22" i="60"/>
  <c r="A22" i="60"/>
  <c r="L18" i="60"/>
  <c r="L17" i="60"/>
  <c r="L16" i="60"/>
  <c r="L15" i="60"/>
  <c r="L14" i="60"/>
  <c r="L13" i="60"/>
  <c r="G37" i="52"/>
  <c r="D37" i="52"/>
  <c r="C37" i="52"/>
  <c r="B37" i="52"/>
  <c r="G36" i="52"/>
  <c r="D36" i="52"/>
  <c r="C36" i="52"/>
  <c r="B36" i="52"/>
  <c r="G35" i="52"/>
  <c r="D35" i="52"/>
  <c r="C35" i="52"/>
  <c r="B35" i="52"/>
  <c r="G34" i="52"/>
  <c r="D34" i="52"/>
  <c r="C34" i="52"/>
  <c r="B34" i="52"/>
  <c r="G33" i="52"/>
  <c r="D33" i="52"/>
  <c r="C33" i="52"/>
  <c r="B33" i="52"/>
  <c r="G32" i="52"/>
  <c r="D32" i="52"/>
  <c r="C32" i="52"/>
  <c r="B32" i="52"/>
  <c r="G31" i="52"/>
  <c r="D31" i="52"/>
  <c r="C31" i="52"/>
  <c r="B31" i="52"/>
  <c r="G30" i="52"/>
  <c r="D30" i="52"/>
  <c r="C30" i="52"/>
  <c r="B30" i="52"/>
  <c r="G29" i="52"/>
  <c r="D29" i="52"/>
  <c r="C29" i="52"/>
  <c r="B29" i="52"/>
  <c r="M28" i="52"/>
  <c r="G28" i="52"/>
  <c r="D28" i="52"/>
  <c r="C28" i="52"/>
  <c r="B28" i="52"/>
  <c r="M27" i="52"/>
  <c r="G27" i="52"/>
  <c r="D27" i="52"/>
  <c r="C27" i="52"/>
  <c r="B27" i="52"/>
  <c r="M26" i="52"/>
  <c r="G26" i="52"/>
  <c r="D26" i="52"/>
  <c r="C26" i="52"/>
  <c r="B26" i="52"/>
  <c r="M25" i="52"/>
  <c r="G25" i="52"/>
  <c r="D25" i="52"/>
  <c r="C25" i="52"/>
  <c r="B25" i="52"/>
  <c r="M24" i="52"/>
  <c r="G24" i="52"/>
  <c r="D24" i="52"/>
  <c r="C24" i="52"/>
  <c r="B24" i="52"/>
  <c r="M23" i="52"/>
  <c r="G23" i="52"/>
  <c r="D23" i="52"/>
  <c r="C23" i="52"/>
  <c r="B23" i="52"/>
  <c r="A23" i="52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36" i="52" s="1"/>
  <c r="A37" i="52" s="1"/>
  <c r="M22" i="52"/>
  <c r="G22" i="52"/>
  <c r="D22" i="52"/>
  <c r="C22" i="52"/>
  <c r="B22" i="52"/>
  <c r="A22" i="52"/>
  <c r="L18" i="52"/>
  <c r="L17" i="52"/>
  <c r="L16" i="52"/>
  <c r="L15" i="52"/>
  <c r="L14" i="52"/>
  <c r="L13" i="52"/>
  <c r="A34" i="51"/>
  <c r="B34" i="51"/>
  <c r="C34" i="51"/>
  <c r="D34" i="51"/>
  <c r="G34" i="51"/>
  <c r="A35" i="51"/>
  <c r="A36" i="51" s="1"/>
  <c r="A37" i="51" s="1"/>
  <c r="B35" i="51"/>
  <c r="C35" i="51"/>
  <c r="D35" i="51"/>
  <c r="G35" i="51"/>
  <c r="B36" i="51"/>
  <c r="C36" i="51"/>
  <c r="D36" i="51"/>
  <c r="G36" i="51"/>
  <c r="B37" i="51"/>
  <c r="C37" i="51"/>
  <c r="D37" i="51"/>
  <c r="G37" i="51"/>
  <c r="G33" i="51"/>
  <c r="D33" i="51"/>
  <c r="C33" i="51"/>
  <c r="B33" i="51"/>
  <c r="G32" i="51"/>
  <c r="D32" i="51"/>
  <c r="C32" i="51"/>
  <c r="B32" i="51"/>
  <c r="G31" i="51"/>
  <c r="D31" i="51"/>
  <c r="C31" i="51"/>
  <c r="B31" i="51"/>
  <c r="G30" i="51"/>
  <c r="D30" i="51"/>
  <c r="C30" i="51"/>
  <c r="B30" i="51"/>
  <c r="G29" i="51"/>
  <c r="D29" i="51"/>
  <c r="C29" i="51"/>
  <c r="B29" i="51"/>
  <c r="M28" i="51"/>
  <c r="G28" i="51"/>
  <c r="D28" i="51"/>
  <c r="C28" i="51"/>
  <c r="B28" i="51"/>
  <c r="M27" i="51"/>
  <c r="G27" i="51"/>
  <c r="D27" i="51"/>
  <c r="C27" i="51"/>
  <c r="B27" i="51"/>
  <c r="M26" i="51"/>
  <c r="G26" i="51"/>
  <c r="D26" i="51"/>
  <c r="C26" i="51"/>
  <c r="B26" i="51"/>
  <c r="M25" i="51"/>
  <c r="G25" i="51"/>
  <c r="D25" i="51"/>
  <c r="C25" i="51"/>
  <c r="B25" i="51"/>
  <c r="M24" i="51"/>
  <c r="G24" i="51"/>
  <c r="D24" i="51"/>
  <c r="C24" i="51"/>
  <c r="B24" i="51"/>
  <c r="M23" i="51"/>
  <c r="G23" i="51"/>
  <c r="D23" i="51"/>
  <c r="C23" i="51"/>
  <c r="B23" i="51"/>
  <c r="A23" i="5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M22" i="51"/>
  <c r="G22" i="51"/>
  <c r="D22" i="51"/>
  <c r="C22" i="51"/>
  <c r="B22" i="51"/>
  <c r="A22" i="51"/>
  <c r="L18" i="51"/>
  <c r="L17" i="51"/>
  <c r="L16" i="51"/>
  <c r="L15" i="51"/>
  <c r="L14" i="51"/>
  <c r="L13" i="51"/>
  <c r="G38" i="50"/>
  <c r="D38" i="50"/>
  <c r="C38" i="50"/>
  <c r="B38" i="50"/>
  <c r="G37" i="50"/>
  <c r="D37" i="50"/>
  <c r="C37" i="50"/>
  <c r="B37" i="50"/>
  <c r="G36" i="50"/>
  <c r="D36" i="50"/>
  <c r="C36" i="50"/>
  <c r="B36" i="50"/>
  <c r="G35" i="50"/>
  <c r="D35" i="50"/>
  <c r="C35" i="50"/>
  <c r="B35" i="50"/>
  <c r="G34" i="50"/>
  <c r="D34" i="50"/>
  <c r="C34" i="50"/>
  <c r="B34" i="50"/>
  <c r="G33" i="50"/>
  <c r="D33" i="50"/>
  <c r="C33" i="50"/>
  <c r="B33" i="50"/>
  <c r="G32" i="50"/>
  <c r="D32" i="50"/>
  <c r="C32" i="50"/>
  <c r="B32" i="50"/>
  <c r="G31" i="50"/>
  <c r="D31" i="50"/>
  <c r="C31" i="50"/>
  <c r="B31" i="50"/>
  <c r="G30" i="50"/>
  <c r="D30" i="50"/>
  <c r="C30" i="50"/>
  <c r="B30" i="50"/>
  <c r="G29" i="50"/>
  <c r="D29" i="50"/>
  <c r="C29" i="50"/>
  <c r="B29" i="50"/>
  <c r="M28" i="50"/>
  <c r="G28" i="50"/>
  <c r="D28" i="50"/>
  <c r="C28" i="50"/>
  <c r="B28" i="50"/>
  <c r="M27" i="50"/>
  <c r="G27" i="50"/>
  <c r="D27" i="50"/>
  <c r="C27" i="50"/>
  <c r="B27" i="50"/>
  <c r="M26" i="50"/>
  <c r="G26" i="50"/>
  <c r="D26" i="50"/>
  <c r="C26" i="50"/>
  <c r="B26" i="50"/>
  <c r="M25" i="50"/>
  <c r="G25" i="50"/>
  <c r="D25" i="50"/>
  <c r="C25" i="50"/>
  <c r="B25" i="50"/>
  <c r="M24" i="50"/>
  <c r="G24" i="50"/>
  <c r="D24" i="50"/>
  <c r="C24" i="50"/>
  <c r="B24" i="50"/>
  <c r="M23" i="50"/>
  <c r="G23" i="50"/>
  <c r="D23" i="50"/>
  <c r="C23" i="50"/>
  <c r="B23" i="50"/>
  <c r="M22" i="50"/>
  <c r="G22" i="50"/>
  <c r="D22" i="50"/>
  <c r="C22" i="50"/>
  <c r="B22" i="50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L18" i="50"/>
  <c r="L17" i="50"/>
  <c r="L16" i="50"/>
  <c r="L15" i="50"/>
  <c r="L14" i="50"/>
  <c r="L13" i="50"/>
  <c r="F30" i="56" l="1"/>
  <c r="F32" i="56"/>
  <c r="F33" i="56" s="1"/>
  <c r="F34" i="56"/>
  <c r="F36" i="56"/>
  <c r="F37" i="56" s="1"/>
  <c r="F30" i="50"/>
  <c r="F26" i="57"/>
  <c r="F27" i="57" s="1"/>
  <c r="F30" i="57"/>
  <c r="F31" i="57" s="1"/>
  <c r="F32" i="57"/>
  <c r="F34" i="57"/>
  <c r="F35" i="57" s="1"/>
  <c r="F36" i="57"/>
  <c r="F37" i="57" s="1"/>
  <c r="F30" i="54"/>
  <c r="F32" i="54"/>
  <c r="F34" i="54"/>
  <c r="F35" i="54" s="1"/>
  <c r="F36" i="54"/>
  <c r="F37" i="54" s="1"/>
  <c r="F36" i="60"/>
  <c r="F37" i="60" s="1"/>
  <c r="F24" i="55"/>
  <c r="F25" i="55" s="1"/>
  <c r="F28" i="55"/>
  <c r="F29" i="55" s="1"/>
  <c r="F23" i="52"/>
  <c r="F26" i="54"/>
  <c r="F33" i="50"/>
  <c r="F34" i="50" s="1"/>
  <c r="F35" i="50"/>
  <c r="F36" i="50" s="1"/>
  <c r="F24" i="54"/>
  <c r="F25" i="54" s="1"/>
  <c r="F26" i="52"/>
  <c r="F27" i="52" s="1"/>
  <c r="F32" i="60"/>
  <c r="F33" i="60" s="1"/>
  <c r="F26" i="53"/>
  <c r="F27" i="53" s="1"/>
  <c r="F26" i="60"/>
  <c r="F27" i="60" s="1"/>
  <c r="F24" i="57"/>
  <c r="F25" i="57" s="1"/>
  <c r="F23" i="60"/>
  <c r="F23" i="56"/>
  <c r="F24" i="59"/>
  <c r="F25" i="59" s="1"/>
  <c r="F23" i="55"/>
  <c r="F37" i="50"/>
  <c r="F38" i="50" s="1"/>
  <c r="F28" i="51"/>
  <c r="F29" i="51" s="1"/>
  <c r="F28" i="60"/>
  <c r="F29" i="60" s="1"/>
  <c r="F28" i="59"/>
  <c r="F28" i="52"/>
  <c r="F29" i="52" s="1"/>
  <c r="F26" i="50"/>
  <c r="F27" i="50" s="1"/>
  <c r="F28" i="56"/>
  <c r="F29" i="56" s="1"/>
  <c r="F28" i="50"/>
  <c r="F29" i="50" s="1"/>
  <c r="F36" i="52"/>
  <c r="F37" i="52" s="1"/>
  <c r="F24" i="50"/>
  <c r="F25" i="50" s="1"/>
  <c r="F24" i="60"/>
  <c r="F25" i="60" s="1"/>
  <c r="F23" i="57"/>
  <c r="F31" i="50"/>
  <c r="F32" i="50" s="1"/>
  <c r="F34" i="55"/>
  <c r="F35" i="55" s="1"/>
  <c r="F36" i="55" s="1"/>
  <c r="F37" i="55" s="1"/>
  <c r="F24" i="56"/>
  <c r="F25" i="56" s="1"/>
  <c r="F33" i="57"/>
  <c r="F29" i="59"/>
  <c r="F24" i="53"/>
  <c r="F25" i="53" s="1"/>
  <c r="F32" i="52"/>
  <c r="F33" i="52" s="1"/>
  <c r="F28" i="57"/>
  <c r="F29" i="57" s="1"/>
  <c r="F23" i="59"/>
  <c r="F28" i="54"/>
  <c r="F30" i="60"/>
  <c r="F31" i="60" s="1"/>
  <c r="F24" i="51"/>
  <c r="F25" i="51" s="1"/>
  <c r="F34" i="60"/>
  <c r="F35" i="60" s="1"/>
  <c r="F23" i="53"/>
  <c r="F28" i="53"/>
  <c r="F29" i="53" s="1"/>
  <c r="F23" i="54"/>
  <c r="F27" i="54"/>
  <c r="F29" i="54"/>
  <c r="F34" i="59"/>
  <c r="F35" i="59" s="1"/>
  <c r="F36" i="59" s="1"/>
  <c r="F37" i="59" s="1"/>
  <c r="F30" i="59"/>
  <c r="F31" i="59" s="1"/>
  <c r="F32" i="59" s="1"/>
  <c r="F33" i="59" s="1"/>
  <c r="A33" i="59"/>
  <c r="A34" i="59" s="1"/>
  <c r="A35" i="59" s="1"/>
  <c r="F26" i="59"/>
  <c r="F27" i="59" s="1"/>
  <c r="F35" i="56"/>
  <c r="F31" i="56"/>
  <c r="F26" i="56"/>
  <c r="F27" i="56" s="1"/>
  <c r="F32" i="55"/>
  <c r="F33" i="55" s="1"/>
  <c r="F30" i="55"/>
  <c r="F31" i="55" s="1"/>
  <c r="F26" i="55"/>
  <c r="F27" i="55" s="1"/>
  <c r="F33" i="54"/>
  <c r="F31" i="54"/>
  <c r="F36" i="53"/>
  <c r="F37" i="53" s="1"/>
  <c r="F34" i="53"/>
  <c r="F35" i="53" s="1"/>
  <c r="F32" i="53"/>
  <c r="F33" i="53" s="1"/>
  <c r="F30" i="53"/>
  <c r="F31" i="53" s="1"/>
  <c r="F30" i="52"/>
  <c r="F31" i="52" s="1"/>
  <c r="F34" i="52"/>
  <c r="F35" i="52" s="1"/>
  <c r="F24" i="52"/>
  <c r="F25" i="52" s="1"/>
  <c r="F23" i="51"/>
  <c r="F23" i="50"/>
  <c r="F32" i="51"/>
  <c r="F33" i="51" s="1"/>
  <c r="F34" i="51" s="1"/>
  <c r="F35" i="51" s="1"/>
  <c r="F36" i="51" s="1"/>
  <c r="F37" i="51" s="1"/>
  <c r="F30" i="51"/>
  <c r="F31" i="51" s="1"/>
  <c r="F26" i="51"/>
  <c r="F27" i="51" s="1"/>
  <c r="D22" i="40" l="1"/>
  <c r="P9" i="7" l="1"/>
  <c r="N3" i="7"/>
  <c r="A32" i="46"/>
  <c r="B32" i="46"/>
  <c r="C32" i="46"/>
  <c r="D32" i="46"/>
  <c r="G32" i="46"/>
  <c r="A33" i="46"/>
  <c r="B33" i="46"/>
  <c r="C33" i="46"/>
  <c r="D33" i="46"/>
  <c r="G33" i="46"/>
  <c r="G31" i="49"/>
  <c r="D31" i="49"/>
  <c r="C31" i="49"/>
  <c r="B31" i="49"/>
  <c r="G30" i="49"/>
  <c r="D30" i="49"/>
  <c r="C30" i="49"/>
  <c r="B30" i="49"/>
  <c r="G29" i="49"/>
  <c r="D29" i="49"/>
  <c r="C29" i="49"/>
  <c r="B29" i="49"/>
  <c r="M28" i="49"/>
  <c r="G28" i="49"/>
  <c r="D28" i="49"/>
  <c r="C28" i="49"/>
  <c r="B28" i="49"/>
  <c r="M27" i="49"/>
  <c r="G27" i="49"/>
  <c r="D27" i="49"/>
  <c r="C27" i="49"/>
  <c r="B27" i="49"/>
  <c r="M26" i="49"/>
  <c r="G26" i="49"/>
  <c r="D26" i="49"/>
  <c r="C26" i="49"/>
  <c r="B26" i="49"/>
  <c r="M25" i="49"/>
  <c r="G25" i="49"/>
  <c r="D25" i="49"/>
  <c r="C25" i="49"/>
  <c r="B25" i="49"/>
  <c r="M24" i="49"/>
  <c r="G24" i="49"/>
  <c r="D24" i="49"/>
  <c r="C24" i="49"/>
  <c r="B24" i="49"/>
  <c r="M23" i="49"/>
  <c r="G23" i="49"/>
  <c r="D23" i="49"/>
  <c r="C23" i="49"/>
  <c r="B23" i="49"/>
  <c r="M22" i="49"/>
  <c r="G22" i="49"/>
  <c r="D22" i="49"/>
  <c r="C22" i="49"/>
  <c r="B22" i="49"/>
  <c r="A22" i="49"/>
  <c r="A23" i="49" s="1"/>
  <c r="A24" i="49" s="1"/>
  <c r="A25" i="49" s="1"/>
  <c r="A26" i="49" s="1"/>
  <c r="A27" i="49" s="1"/>
  <c r="A28" i="49" s="1"/>
  <c r="A29" i="49" s="1"/>
  <c r="A30" i="49" s="1"/>
  <c r="A31" i="49" s="1"/>
  <c r="L18" i="49"/>
  <c r="L17" i="49"/>
  <c r="L16" i="49"/>
  <c r="L15" i="49"/>
  <c r="L14" i="49"/>
  <c r="L13" i="49"/>
  <c r="A23" i="45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A38" i="45" s="1"/>
  <c r="A39" i="45" s="1"/>
  <c r="A40" i="45" s="1"/>
  <c r="A41" i="45" s="1"/>
  <c r="A42" i="45" s="1"/>
  <c r="A43" i="45" s="1"/>
  <c r="A44" i="45" s="1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B23" i="45"/>
  <c r="C23" i="45"/>
  <c r="D23" i="45"/>
  <c r="G23" i="45"/>
  <c r="B24" i="45"/>
  <c r="C24" i="45"/>
  <c r="D24" i="45"/>
  <c r="G24" i="45"/>
  <c r="B25" i="45"/>
  <c r="C25" i="45"/>
  <c r="D25" i="45"/>
  <c r="G25" i="45"/>
  <c r="B26" i="45"/>
  <c r="C26" i="45"/>
  <c r="D26" i="45"/>
  <c r="G26" i="45"/>
  <c r="B27" i="45"/>
  <c r="C27" i="45"/>
  <c r="D27" i="45"/>
  <c r="G27" i="45"/>
  <c r="B28" i="45"/>
  <c r="C28" i="45"/>
  <c r="D28" i="45"/>
  <c r="G28" i="45"/>
  <c r="B29" i="45"/>
  <c r="C29" i="45"/>
  <c r="D29" i="45"/>
  <c r="G29" i="45"/>
  <c r="B30" i="45"/>
  <c r="C30" i="45"/>
  <c r="D30" i="45"/>
  <c r="G30" i="45"/>
  <c r="B31" i="45"/>
  <c r="C31" i="45"/>
  <c r="D31" i="45"/>
  <c r="G31" i="45"/>
  <c r="B32" i="45"/>
  <c r="C32" i="45"/>
  <c r="D32" i="45"/>
  <c r="G32" i="45"/>
  <c r="B33" i="45"/>
  <c r="C33" i="45"/>
  <c r="D33" i="45"/>
  <c r="G33" i="45"/>
  <c r="B34" i="45"/>
  <c r="C34" i="45"/>
  <c r="D34" i="45"/>
  <c r="G34" i="45"/>
  <c r="B35" i="45"/>
  <c r="C35" i="45"/>
  <c r="D35" i="45"/>
  <c r="G35" i="45"/>
  <c r="B36" i="45"/>
  <c r="C36" i="45"/>
  <c r="D36" i="45"/>
  <c r="G36" i="45"/>
  <c r="B37" i="45"/>
  <c r="C37" i="45"/>
  <c r="D37" i="45"/>
  <c r="G37" i="45"/>
  <c r="B38" i="45"/>
  <c r="C38" i="45"/>
  <c r="D38" i="45"/>
  <c r="G38" i="45"/>
  <c r="B39" i="45"/>
  <c r="C39" i="45"/>
  <c r="D39" i="45"/>
  <c r="G39" i="45"/>
  <c r="B40" i="45"/>
  <c r="C40" i="45"/>
  <c r="D40" i="45"/>
  <c r="G40" i="45"/>
  <c r="B41" i="45"/>
  <c r="C41" i="45"/>
  <c r="D41" i="45"/>
  <c r="G41" i="45"/>
  <c r="B42" i="45"/>
  <c r="C42" i="45"/>
  <c r="D42" i="45"/>
  <c r="G42" i="45"/>
  <c r="B43" i="45"/>
  <c r="C43" i="45"/>
  <c r="D43" i="45"/>
  <c r="G43" i="45"/>
  <c r="B44" i="45"/>
  <c r="C44" i="45"/>
  <c r="D44" i="45"/>
  <c r="G44" i="45"/>
  <c r="B45" i="45"/>
  <c r="C45" i="45"/>
  <c r="D45" i="45"/>
  <c r="G45" i="45"/>
  <c r="B46" i="45"/>
  <c r="C46" i="45"/>
  <c r="D46" i="45"/>
  <c r="G46" i="45"/>
  <c r="B47" i="45"/>
  <c r="C47" i="45"/>
  <c r="D47" i="45"/>
  <c r="G47" i="45"/>
  <c r="B48" i="45"/>
  <c r="C48" i="45"/>
  <c r="D48" i="45"/>
  <c r="G48" i="45"/>
  <c r="B49" i="45"/>
  <c r="C49" i="45"/>
  <c r="D49" i="45"/>
  <c r="G49" i="45"/>
  <c r="B50" i="45"/>
  <c r="C50" i="45"/>
  <c r="D50" i="45"/>
  <c r="G50" i="45"/>
  <c r="B51" i="45"/>
  <c r="C51" i="45"/>
  <c r="D51" i="45"/>
  <c r="G51" i="45"/>
  <c r="B52" i="45"/>
  <c r="C52" i="45"/>
  <c r="D52" i="45"/>
  <c r="G52" i="45"/>
  <c r="B53" i="45"/>
  <c r="C53" i="45"/>
  <c r="D53" i="45"/>
  <c r="G53" i="45"/>
  <c r="B54" i="45"/>
  <c r="C54" i="45"/>
  <c r="D54" i="45"/>
  <c r="G54" i="45"/>
  <c r="B55" i="45"/>
  <c r="C55" i="45"/>
  <c r="D55" i="45"/>
  <c r="G55" i="45"/>
  <c r="B56" i="45"/>
  <c r="C56" i="45"/>
  <c r="D56" i="45"/>
  <c r="G56" i="45"/>
  <c r="B57" i="45"/>
  <c r="C57" i="45"/>
  <c r="D57" i="45"/>
  <c r="G57" i="45"/>
  <c r="B58" i="45"/>
  <c r="C58" i="45"/>
  <c r="D58" i="45"/>
  <c r="G58" i="45"/>
  <c r="B59" i="45"/>
  <c r="C59" i="45"/>
  <c r="D59" i="45"/>
  <c r="G59" i="45"/>
  <c r="B60" i="45"/>
  <c r="C60" i="45"/>
  <c r="D60" i="45"/>
  <c r="G60" i="45"/>
  <c r="B61" i="45"/>
  <c r="C61" i="45"/>
  <c r="D61" i="45"/>
  <c r="G61" i="45"/>
  <c r="B62" i="45"/>
  <c r="C62" i="45"/>
  <c r="D62" i="45"/>
  <c r="G62" i="45"/>
  <c r="B63" i="45"/>
  <c r="C63" i="45"/>
  <c r="D63" i="45"/>
  <c r="G63" i="45"/>
  <c r="B64" i="45"/>
  <c r="C64" i="45"/>
  <c r="D64" i="45"/>
  <c r="G64" i="45"/>
  <c r="B65" i="45"/>
  <c r="C65" i="45"/>
  <c r="D65" i="45"/>
  <c r="G65" i="45"/>
  <c r="B66" i="45"/>
  <c r="C66" i="45"/>
  <c r="D66" i="45"/>
  <c r="G66" i="45"/>
  <c r="M28" i="45"/>
  <c r="M27" i="45"/>
  <c r="M26" i="45"/>
  <c r="M25" i="45"/>
  <c r="M24" i="45"/>
  <c r="M23" i="45"/>
  <c r="M22" i="45"/>
  <c r="G22" i="45"/>
  <c r="D22" i="45"/>
  <c r="C22" i="45"/>
  <c r="B22" i="45"/>
  <c r="A22" i="45"/>
  <c r="A23" i="37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B23" i="37"/>
  <c r="C23" i="37"/>
  <c r="D23" i="37"/>
  <c r="G23" i="37"/>
  <c r="B24" i="37"/>
  <c r="C24" i="37"/>
  <c r="D24" i="37"/>
  <c r="G24" i="37"/>
  <c r="B25" i="37"/>
  <c r="C25" i="37"/>
  <c r="D25" i="37"/>
  <c r="G25" i="37"/>
  <c r="B26" i="37"/>
  <c r="C26" i="37"/>
  <c r="D26" i="37"/>
  <c r="G26" i="37"/>
  <c r="B27" i="37"/>
  <c r="C27" i="37"/>
  <c r="D27" i="37"/>
  <c r="G27" i="37"/>
  <c r="B28" i="37"/>
  <c r="C28" i="37"/>
  <c r="D28" i="37"/>
  <c r="G28" i="37"/>
  <c r="B29" i="37"/>
  <c r="C29" i="37"/>
  <c r="D29" i="37"/>
  <c r="G29" i="37"/>
  <c r="B30" i="37"/>
  <c r="C30" i="37"/>
  <c r="D30" i="37"/>
  <c r="G30" i="37"/>
  <c r="B31" i="37"/>
  <c r="C31" i="37"/>
  <c r="D31" i="37"/>
  <c r="G31" i="37"/>
  <c r="B32" i="37"/>
  <c r="C32" i="37"/>
  <c r="D32" i="37"/>
  <c r="G32" i="37"/>
  <c r="B33" i="37"/>
  <c r="C33" i="37"/>
  <c r="D33" i="37"/>
  <c r="G33" i="37"/>
  <c r="B34" i="37"/>
  <c r="C34" i="37"/>
  <c r="D34" i="37"/>
  <c r="G34" i="37"/>
  <c r="B35" i="37"/>
  <c r="C35" i="37"/>
  <c r="D35" i="37"/>
  <c r="G35" i="37"/>
  <c r="B36" i="37"/>
  <c r="C36" i="37"/>
  <c r="D36" i="37"/>
  <c r="G36" i="37"/>
  <c r="B37" i="37"/>
  <c r="C37" i="37"/>
  <c r="D37" i="37"/>
  <c r="G37" i="37"/>
  <c r="B38" i="37"/>
  <c r="C38" i="37"/>
  <c r="D38" i="37"/>
  <c r="G38" i="37"/>
  <c r="B39" i="37"/>
  <c r="C39" i="37"/>
  <c r="D39" i="37"/>
  <c r="G39" i="37"/>
  <c r="B40" i="37"/>
  <c r="C40" i="37"/>
  <c r="D40" i="37"/>
  <c r="G40" i="37"/>
  <c r="B41" i="37"/>
  <c r="C41" i="37"/>
  <c r="D41" i="37"/>
  <c r="G41" i="37"/>
  <c r="B42" i="37"/>
  <c r="C42" i="37"/>
  <c r="D42" i="37"/>
  <c r="G42" i="37"/>
  <c r="B43" i="37"/>
  <c r="C43" i="37"/>
  <c r="D43" i="37"/>
  <c r="G43" i="37"/>
  <c r="B44" i="37"/>
  <c r="C44" i="37"/>
  <c r="D44" i="37"/>
  <c r="G44" i="37"/>
  <c r="B45" i="37"/>
  <c r="C45" i="37"/>
  <c r="D45" i="37"/>
  <c r="G45" i="37"/>
  <c r="B46" i="37"/>
  <c r="C46" i="37"/>
  <c r="D46" i="37"/>
  <c r="G46" i="37"/>
  <c r="B47" i="37"/>
  <c r="C47" i="37"/>
  <c r="D47" i="37"/>
  <c r="G47" i="37"/>
  <c r="B48" i="37"/>
  <c r="C48" i="37"/>
  <c r="D48" i="37"/>
  <c r="G48" i="37"/>
  <c r="B49" i="37"/>
  <c r="C49" i="37"/>
  <c r="D49" i="37"/>
  <c r="G49" i="37"/>
  <c r="B50" i="37"/>
  <c r="C50" i="37"/>
  <c r="D50" i="37"/>
  <c r="G50" i="37"/>
  <c r="B51" i="37"/>
  <c r="C51" i="37"/>
  <c r="D51" i="37"/>
  <c r="G51" i="37"/>
  <c r="B52" i="37"/>
  <c r="C52" i="37"/>
  <c r="D52" i="37"/>
  <c r="G52" i="37"/>
  <c r="B53" i="37"/>
  <c r="C53" i="37"/>
  <c r="D53" i="37"/>
  <c r="G53" i="37"/>
  <c r="B54" i="37"/>
  <c r="C54" i="37"/>
  <c r="D54" i="37"/>
  <c r="G54" i="37"/>
  <c r="B55" i="37"/>
  <c r="C55" i="37"/>
  <c r="D55" i="37"/>
  <c r="G55" i="37"/>
  <c r="B56" i="37"/>
  <c r="C56" i="37"/>
  <c r="D56" i="37"/>
  <c r="G56" i="37"/>
  <c r="B57" i="37"/>
  <c r="C57" i="37"/>
  <c r="D57" i="37"/>
  <c r="G57" i="37"/>
  <c r="B58" i="37"/>
  <c r="C58" i="37"/>
  <c r="D58" i="37"/>
  <c r="G58" i="37"/>
  <c r="B59" i="37"/>
  <c r="C59" i="37"/>
  <c r="D59" i="37"/>
  <c r="G59" i="37"/>
  <c r="B60" i="37"/>
  <c r="C60" i="37"/>
  <c r="D60" i="37"/>
  <c r="G60" i="37"/>
  <c r="B61" i="37"/>
  <c r="C61" i="37"/>
  <c r="D61" i="37"/>
  <c r="G61" i="37"/>
  <c r="B62" i="37"/>
  <c r="C62" i="37"/>
  <c r="D62" i="37"/>
  <c r="G62" i="37"/>
  <c r="G22" i="37"/>
  <c r="D22" i="37"/>
  <c r="C22" i="37"/>
  <c r="B22" i="37"/>
  <c r="A22" i="37"/>
  <c r="A23" i="40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B23" i="40"/>
  <c r="C23" i="40"/>
  <c r="D23" i="40"/>
  <c r="G23" i="40"/>
  <c r="B24" i="40"/>
  <c r="C24" i="40"/>
  <c r="D24" i="40"/>
  <c r="G24" i="40"/>
  <c r="B25" i="40"/>
  <c r="C25" i="40"/>
  <c r="D25" i="40"/>
  <c r="G25" i="40"/>
  <c r="B26" i="40"/>
  <c r="C26" i="40"/>
  <c r="D26" i="40"/>
  <c r="G26" i="40"/>
  <c r="B27" i="40"/>
  <c r="C27" i="40"/>
  <c r="D27" i="40"/>
  <c r="G27" i="40"/>
  <c r="B28" i="40"/>
  <c r="C28" i="40"/>
  <c r="D28" i="40"/>
  <c r="G28" i="40"/>
  <c r="B29" i="40"/>
  <c r="C29" i="40"/>
  <c r="D29" i="40"/>
  <c r="G29" i="40"/>
  <c r="B30" i="40"/>
  <c r="C30" i="40"/>
  <c r="D30" i="40"/>
  <c r="G30" i="40"/>
  <c r="B31" i="40"/>
  <c r="C31" i="40"/>
  <c r="D31" i="40"/>
  <c r="G31" i="40"/>
  <c r="B32" i="40"/>
  <c r="C32" i="40"/>
  <c r="D32" i="40"/>
  <c r="G32" i="40"/>
  <c r="B33" i="40"/>
  <c r="C33" i="40"/>
  <c r="D33" i="40"/>
  <c r="G33" i="40"/>
  <c r="B34" i="40"/>
  <c r="C34" i="40"/>
  <c r="D34" i="40"/>
  <c r="G34" i="40"/>
  <c r="B35" i="40"/>
  <c r="C35" i="40"/>
  <c r="D35" i="40"/>
  <c r="G35" i="40"/>
  <c r="B36" i="40"/>
  <c r="C36" i="40"/>
  <c r="D36" i="40"/>
  <c r="G36" i="40"/>
  <c r="B37" i="40"/>
  <c r="C37" i="40"/>
  <c r="D37" i="40"/>
  <c r="G37" i="40"/>
  <c r="B38" i="40"/>
  <c r="C38" i="40"/>
  <c r="D38" i="40"/>
  <c r="G38" i="40"/>
  <c r="B39" i="40"/>
  <c r="C39" i="40"/>
  <c r="D39" i="40"/>
  <c r="G39" i="40"/>
  <c r="B40" i="40"/>
  <c r="C40" i="40"/>
  <c r="D40" i="40"/>
  <c r="G40" i="40"/>
  <c r="B41" i="40"/>
  <c r="C41" i="40"/>
  <c r="D41" i="40"/>
  <c r="G41" i="40"/>
  <c r="B42" i="40"/>
  <c r="C42" i="40"/>
  <c r="D42" i="40"/>
  <c r="G42" i="40"/>
  <c r="B43" i="40"/>
  <c r="C43" i="40"/>
  <c r="D43" i="40"/>
  <c r="G43" i="40"/>
  <c r="B44" i="40"/>
  <c r="C44" i="40"/>
  <c r="D44" i="40"/>
  <c r="G44" i="40"/>
  <c r="B45" i="40"/>
  <c r="C45" i="40"/>
  <c r="D45" i="40"/>
  <c r="G45" i="40"/>
  <c r="B46" i="40"/>
  <c r="C46" i="40"/>
  <c r="D46" i="40"/>
  <c r="G46" i="40"/>
  <c r="B47" i="40"/>
  <c r="C47" i="40"/>
  <c r="D47" i="40"/>
  <c r="G47" i="40"/>
  <c r="B48" i="40"/>
  <c r="C48" i="40"/>
  <c r="D48" i="40"/>
  <c r="G48" i="40"/>
  <c r="B49" i="40"/>
  <c r="C49" i="40"/>
  <c r="D49" i="40"/>
  <c r="G49" i="40"/>
  <c r="B50" i="40"/>
  <c r="C50" i="40"/>
  <c r="D50" i="40"/>
  <c r="G50" i="40"/>
  <c r="B51" i="40"/>
  <c r="C51" i="40"/>
  <c r="D51" i="40"/>
  <c r="G51" i="40"/>
  <c r="B52" i="40"/>
  <c r="C52" i="40"/>
  <c r="D52" i="40"/>
  <c r="G52" i="40"/>
  <c r="G22" i="40"/>
  <c r="C22" i="40"/>
  <c r="B22" i="40"/>
  <c r="A22" i="40"/>
  <c r="F30" i="49" l="1"/>
  <c r="F28" i="49"/>
  <c r="F29" i="49" s="1"/>
  <c r="F34" i="40"/>
  <c r="F26" i="40"/>
  <c r="F27" i="40" s="1"/>
  <c r="F28" i="40" s="1"/>
  <c r="F29" i="40" s="1"/>
  <c r="F50" i="40"/>
  <c r="F51" i="40" s="1"/>
  <c r="F52" i="40" s="1"/>
  <c r="F23" i="40"/>
  <c r="F24" i="40" s="1"/>
  <c r="F25" i="40" s="1"/>
  <c r="F23" i="49"/>
  <c r="F23" i="45"/>
  <c r="F24" i="45" s="1"/>
  <c r="F25" i="45" s="1"/>
  <c r="F26" i="45" s="1"/>
  <c r="F24" i="49"/>
  <c r="F25" i="49" s="1"/>
  <c r="F62" i="45"/>
  <c r="F63" i="45" s="1"/>
  <c r="F64" i="45" s="1"/>
  <c r="F66" i="45" s="1"/>
  <c r="F50" i="45"/>
  <c r="F51" i="45" s="1"/>
  <c r="F52" i="45" s="1"/>
  <c r="F53" i="45" s="1"/>
  <c r="F54" i="45" s="1"/>
  <c r="F55" i="45" s="1"/>
  <c r="F56" i="45" s="1"/>
  <c r="F44" i="45"/>
  <c r="F45" i="45" s="1"/>
  <c r="F46" i="45" s="1"/>
  <c r="F48" i="45" s="1"/>
  <c r="F49" i="45" s="1"/>
  <c r="F38" i="45"/>
  <c r="F39" i="45" s="1"/>
  <c r="F40" i="45" s="1"/>
  <c r="F41" i="45" s="1"/>
  <c r="F43" i="45" s="1"/>
  <c r="F32" i="45"/>
  <c r="F33" i="45" s="1"/>
  <c r="F34" i="45" s="1"/>
  <c r="F36" i="45" s="1"/>
  <c r="F37" i="45" s="1"/>
  <c r="F31" i="49"/>
  <c r="F26" i="49"/>
  <c r="F27" i="49" s="1"/>
  <c r="F57" i="45"/>
  <c r="F58" i="45" s="1"/>
  <c r="F59" i="45" s="1"/>
  <c r="F61" i="45" s="1"/>
  <c r="F27" i="45"/>
  <c r="F28" i="45" s="1"/>
  <c r="F29" i="45" s="1"/>
  <c r="F30" i="45" s="1"/>
  <c r="F31" i="45" s="1"/>
  <c r="F36" i="40"/>
  <c r="F37" i="40" s="1"/>
  <c r="F38" i="40"/>
  <c r="F39" i="40" s="1"/>
  <c r="F40" i="40" s="1"/>
  <c r="F41" i="40" s="1"/>
  <c r="F42" i="40" s="1"/>
  <c r="F43" i="40" s="1"/>
  <c r="F44" i="40" s="1"/>
  <c r="F45" i="40" s="1"/>
  <c r="F46" i="40" s="1"/>
  <c r="F47" i="40" s="1"/>
  <c r="F48" i="40" s="1"/>
  <c r="F49" i="40" s="1"/>
  <c r="F30" i="40"/>
  <c r="F31" i="40" s="1"/>
  <c r="F32" i="40" s="1"/>
  <c r="F33" i="40" s="1"/>
  <c r="G39" i="47" l="1"/>
  <c r="D39" i="47"/>
  <c r="C39" i="47"/>
  <c r="B39" i="47"/>
  <c r="G38" i="47"/>
  <c r="D38" i="47"/>
  <c r="C38" i="47"/>
  <c r="B38" i="47"/>
  <c r="A38" i="47"/>
  <c r="A39" i="47" s="1"/>
  <c r="G37" i="47"/>
  <c r="D37" i="47"/>
  <c r="C37" i="47"/>
  <c r="B37" i="47"/>
  <c r="A37" i="47"/>
  <c r="G36" i="47"/>
  <c r="D36" i="47"/>
  <c r="C36" i="47"/>
  <c r="B36" i="47"/>
  <c r="A36" i="47"/>
  <c r="G35" i="47"/>
  <c r="D35" i="47"/>
  <c r="C35" i="47"/>
  <c r="B35" i="47"/>
  <c r="A35" i="47"/>
  <c r="G34" i="47"/>
  <c r="D34" i="47"/>
  <c r="C34" i="47"/>
  <c r="B34" i="47"/>
  <c r="A34" i="47"/>
  <c r="G33" i="47"/>
  <c r="D33" i="47"/>
  <c r="C33" i="47"/>
  <c r="B33" i="47"/>
  <c r="A33" i="47"/>
  <c r="G32" i="47"/>
  <c r="D32" i="47"/>
  <c r="C32" i="47"/>
  <c r="B32" i="47"/>
  <c r="A32" i="47"/>
  <c r="G31" i="47"/>
  <c r="D31" i="47"/>
  <c r="C31" i="47"/>
  <c r="B31" i="47"/>
  <c r="G30" i="47"/>
  <c r="D30" i="47"/>
  <c r="C30" i="47"/>
  <c r="B30" i="47"/>
  <c r="G29" i="47"/>
  <c r="D29" i="47"/>
  <c r="C29" i="47"/>
  <c r="B29" i="47"/>
  <c r="M28" i="47"/>
  <c r="G28" i="47"/>
  <c r="D28" i="47"/>
  <c r="C28" i="47"/>
  <c r="B28" i="47"/>
  <c r="M27" i="47"/>
  <c r="G27" i="47"/>
  <c r="D27" i="47"/>
  <c r="C27" i="47"/>
  <c r="B27" i="47"/>
  <c r="M26" i="47"/>
  <c r="G26" i="47"/>
  <c r="D26" i="47"/>
  <c r="C26" i="47"/>
  <c r="B26" i="47"/>
  <c r="M25" i="47"/>
  <c r="G25" i="47"/>
  <c r="D25" i="47"/>
  <c r="C25" i="47"/>
  <c r="B25" i="47"/>
  <c r="M24" i="47"/>
  <c r="G24" i="47"/>
  <c r="D24" i="47"/>
  <c r="C24" i="47"/>
  <c r="B24" i="47"/>
  <c r="M23" i="47"/>
  <c r="G23" i="47"/>
  <c r="D23" i="47"/>
  <c r="C23" i="47"/>
  <c r="B23" i="47"/>
  <c r="M22" i="47"/>
  <c r="G22" i="47"/>
  <c r="D22" i="47"/>
  <c r="C22" i="47"/>
  <c r="B22" i="47"/>
  <c r="A22" i="47"/>
  <c r="A23" i="47" s="1"/>
  <c r="A24" i="47" s="1"/>
  <c r="A25" i="47" s="1"/>
  <c r="A26" i="47" s="1"/>
  <c r="A27" i="47" s="1"/>
  <c r="A28" i="47" s="1"/>
  <c r="A29" i="47" s="1"/>
  <c r="A30" i="47" s="1"/>
  <c r="A31" i="47" s="1"/>
  <c r="A22" i="46"/>
  <c r="B22" i="46"/>
  <c r="C22" i="46"/>
  <c r="D22" i="46"/>
  <c r="G22" i="46"/>
  <c r="M22" i="46"/>
  <c r="A23" i="46"/>
  <c r="B23" i="46"/>
  <c r="C23" i="46"/>
  <c r="D23" i="46"/>
  <c r="G23" i="46"/>
  <c r="M23" i="46"/>
  <c r="A24" i="46"/>
  <c r="B24" i="46"/>
  <c r="C24" i="46"/>
  <c r="D24" i="46"/>
  <c r="G24" i="46"/>
  <c r="M24" i="46"/>
  <c r="A25" i="46"/>
  <c r="B25" i="46"/>
  <c r="C25" i="46"/>
  <c r="D25" i="46"/>
  <c r="G25" i="46"/>
  <c r="M25" i="46"/>
  <c r="A26" i="46"/>
  <c r="B26" i="46"/>
  <c r="C26" i="46"/>
  <c r="D26" i="46"/>
  <c r="G26" i="46"/>
  <c r="M26" i="46"/>
  <c r="A27" i="46"/>
  <c r="B27" i="46"/>
  <c r="C27" i="46"/>
  <c r="D27" i="46"/>
  <c r="G27" i="46"/>
  <c r="M27" i="46"/>
  <c r="A28" i="46"/>
  <c r="B28" i="46"/>
  <c r="C28" i="46"/>
  <c r="D28" i="46"/>
  <c r="G28" i="46"/>
  <c r="M28" i="46"/>
  <c r="A29" i="46"/>
  <c r="B29" i="46"/>
  <c r="C29" i="46"/>
  <c r="D29" i="46"/>
  <c r="G29" i="46"/>
  <c r="A30" i="46"/>
  <c r="A31" i="46" s="1"/>
  <c r="B30" i="46"/>
  <c r="C30" i="46"/>
  <c r="D30" i="46"/>
  <c r="G30" i="46"/>
  <c r="B31" i="46"/>
  <c r="C31" i="46"/>
  <c r="D31" i="46"/>
  <c r="G31" i="46"/>
  <c r="G32" i="44"/>
  <c r="D32" i="44"/>
  <c r="C32" i="44"/>
  <c r="B32" i="44"/>
  <c r="G31" i="44"/>
  <c r="D31" i="44"/>
  <c r="C31" i="44"/>
  <c r="B31" i="44"/>
  <c r="G30" i="44"/>
  <c r="D30" i="44"/>
  <c r="C30" i="44"/>
  <c r="B30" i="44"/>
  <c r="G29" i="44"/>
  <c r="D29" i="44"/>
  <c r="C29" i="44"/>
  <c r="B29" i="44"/>
  <c r="M28" i="44"/>
  <c r="G28" i="44"/>
  <c r="D28" i="44"/>
  <c r="C28" i="44"/>
  <c r="B28" i="44"/>
  <c r="M27" i="44"/>
  <c r="G27" i="44"/>
  <c r="D27" i="44"/>
  <c r="C27" i="44"/>
  <c r="B27" i="44"/>
  <c r="M26" i="44"/>
  <c r="G26" i="44"/>
  <c r="D26" i="44"/>
  <c r="C26" i="44"/>
  <c r="B26" i="44"/>
  <c r="M25" i="44"/>
  <c r="G25" i="44"/>
  <c r="D25" i="44"/>
  <c r="C25" i="44"/>
  <c r="B25" i="44"/>
  <c r="M24" i="44"/>
  <c r="G24" i="44"/>
  <c r="D24" i="44"/>
  <c r="C24" i="44"/>
  <c r="B24" i="44"/>
  <c r="M23" i="44"/>
  <c r="G23" i="44"/>
  <c r="D23" i="44"/>
  <c r="C23" i="44"/>
  <c r="B23" i="44"/>
  <c r="M22" i="44"/>
  <c r="G22" i="44"/>
  <c r="D22" i="44"/>
  <c r="C22" i="44"/>
  <c r="B22" i="44"/>
  <c r="A22" i="44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G35" i="43"/>
  <c r="D35" i="43"/>
  <c r="C35" i="43"/>
  <c r="B35" i="43"/>
  <c r="G34" i="43"/>
  <c r="D34" i="43"/>
  <c r="C34" i="43"/>
  <c r="B34" i="43"/>
  <c r="G33" i="43"/>
  <c r="D33" i="43"/>
  <c r="C33" i="43"/>
  <c r="B33" i="43"/>
  <c r="G32" i="43"/>
  <c r="D32" i="43"/>
  <c r="C32" i="43"/>
  <c r="B32" i="43"/>
  <c r="G31" i="43"/>
  <c r="D31" i="43"/>
  <c r="C31" i="43"/>
  <c r="B31" i="43"/>
  <c r="G30" i="43"/>
  <c r="D30" i="43"/>
  <c r="C30" i="43"/>
  <c r="B30" i="43"/>
  <c r="G29" i="43"/>
  <c r="D29" i="43"/>
  <c r="C29" i="43"/>
  <c r="B29" i="43"/>
  <c r="M28" i="43"/>
  <c r="G28" i="43"/>
  <c r="D28" i="43"/>
  <c r="C28" i="43"/>
  <c r="B28" i="43"/>
  <c r="M27" i="43"/>
  <c r="G27" i="43"/>
  <c r="D27" i="43"/>
  <c r="C27" i="43"/>
  <c r="B27" i="43"/>
  <c r="M26" i="43"/>
  <c r="G26" i="43"/>
  <c r="D26" i="43"/>
  <c r="C26" i="43"/>
  <c r="B26" i="43"/>
  <c r="M25" i="43"/>
  <c r="G25" i="43"/>
  <c r="D25" i="43"/>
  <c r="C25" i="43"/>
  <c r="B25" i="43"/>
  <c r="M24" i="43"/>
  <c r="G24" i="43"/>
  <c r="D24" i="43"/>
  <c r="C24" i="43"/>
  <c r="B24" i="43"/>
  <c r="M23" i="43"/>
  <c r="G23" i="43"/>
  <c r="D23" i="43"/>
  <c r="C23" i="43"/>
  <c r="B23" i="43"/>
  <c r="M22" i="43"/>
  <c r="G22" i="43"/>
  <c r="D22" i="43"/>
  <c r="C22" i="43"/>
  <c r="B22" i="43"/>
  <c r="A22" i="43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G33" i="42"/>
  <c r="D33" i="42"/>
  <c r="C33" i="42"/>
  <c r="B33" i="42"/>
  <c r="G32" i="42"/>
  <c r="D32" i="42"/>
  <c r="C32" i="42"/>
  <c r="B32" i="42"/>
  <c r="G31" i="42"/>
  <c r="D31" i="42"/>
  <c r="C31" i="42"/>
  <c r="B31" i="42"/>
  <c r="G30" i="42"/>
  <c r="D30" i="42"/>
  <c r="C30" i="42"/>
  <c r="B30" i="42"/>
  <c r="G29" i="42"/>
  <c r="D29" i="42"/>
  <c r="C29" i="42"/>
  <c r="B29" i="42"/>
  <c r="M28" i="42"/>
  <c r="G28" i="42"/>
  <c r="D28" i="42"/>
  <c r="C28" i="42"/>
  <c r="B28" i="42"/>
  <c r="M27" i="42"/>
  <c r="G27" i="42"/>
  <c r="D27" i="42"/>
  <c r="C27" i="42"/>
  <c r="B27" i="42"/>
  <c r="M26" i="42"/>
  <c r="G26" i="42"/>
  <c r="D26" i="42"/>
  <c r="C26" i="42"/>
  <c r="B26" i="42"/>
  <c r="M25" i="42"/>
  <c r="G25" i="42"/>
  <c r="D25" i="42"/>
  <c r="C25" i="42"/>
  <c r="B25" i="42"/>
  <c r="M24" i="42"/>
  <c r="G24" i="42"/>
  <c r="D24" i="42"/>
  <c r="C24" i="42"/>
  <c r="B24" i="42"/>
  <c r="M23" i="42"/>
  <c r="G23" i="42"/>
  <c r="D23" i="42"/>
  <c r="C23" i="42"/>
  <c r="B23" i="42"/>
  <c r="M22" i="42"/>
  <c r="G22" i="42"/>
  <c r="D22" i="42"/>
  <c r="C22" i="42"/>
  <c r="B22" i="42"/>
  <c r="A22" i="42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G35" i="41"/>
  <c r="D35" i="41"/>
  <c r="C35" i="41"/>
  <c r="B35" i="41"/>
  <c r="G34" i="41"/>
  <c r="D34" i="41"/>
  <c r="C34" i="41"/>
  <c r="B34" i="41"/>
  <c r="G33" i="41"/>
  <c r="D33" i="41"/>
  <c r="C33" i="41"/>
  <c r="B33" i="41"/>
  <c r="G32" i="41"/>
  <c r="D32" i="41"/>
  <c r="C32" i="41"/>
  <c r="B32" i="41"/>
  <c r="G31" i="41"/>
  <c r="D31" i="41"/>
  <c r="C31" i="41"/>
  <c r="B31" i="41"/>
  <c r="G30" i="41"/>
  <c r="D30" i="41"/>
  <c r="C30" i="41"/>
  <c r="B30" i="41"/>
  <c r="G29" i="41"/>
  <c r="D29" i="41"/>
  <c r="C29" i="41"/>
  <c r="B29" i="41"/>
  <c r="M28" i="41"/>
  <c r="G28" i="41"/>
  <c r="D28" i="41"/>
  <c r="C28" i="41"/>
  <c r="B28" i="41"/>
  <c r="M27" i="41"/>
  <c r="G27" i="41"/>
  <c r="D27" i="41"/>
  <c r="C27" i="41"/>
  <c r="B27" i="41"/>
  <c r="M26" i="41"/>
  <c r="G26" i="41"/>
  <c r="D26" i="41"/>
  <c r="C26" i="41"/>
  <c r="B26" i="41"/>
  <c r="M25" i="41"/>
  <c r="G25" i="41"/>
  <c r="D25" i="41"/>
  <c r="C25" i="41"/>
  <c r="B25" i="41"/>
  <c r="M24" i="41"/>
  <c r="G24" i="41"/>
  <c r="D24" i="41"/>
  <c r="C24" i="41"/>
  <c r="B24" i="41"/>
  <c r="M23" i="41"/>
  <c r="G23" i="41"/>
  <c r="D23" i="41"/>
  <c r="C23" i="41"/>
  <c r="B23" i="41"/>
  <c r="M22" i="41"/>
  <c r="G22" i="41"/>
  <c r="D22" i="41"/>
  <c r="C22" i="41"/>
  <c r="B22" i="41"/>
  <c r="A22" i="4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G35" i="39"/>
  <c r="D35" i="39"/>
  <c r="C35" i="39"/>
  <c r="B35" i="39"/>
  <c r="G34" i="39"/>
  <c r="D34" i="39"/>
  <c r="C34" i="39"/>
  <c r="B34" i="39"/>
  <c r="G33" i="39"/>
  <c r="D33" i="39"/>
  <c r="C33" i="39"/>
  <c r="B33" i="39"/>
  <c r="G32" i="39"/>
  <c r="D32" i="39"/>
  <c r="C32" i="39"/>
  <c r="B32" i="39"/>
  <c r="G31" i="39"/>
  <c r="D31" i="39"/>
  <c r="C31" i="39"/>
  <c r="B31" i="39"/>
  <c r="G30" i="39"/>
  <c r="D30" i="39"/>
  <c r="C30" i="39"/>
  <c r="B30" i="39"/>
  <c r="G29" i="39"/>
  <c r="D29" i="39"/>
  <c r="C29" i="39"/>
  <c r="B29" i="39"/>
  <c r="M28" i="39"/>
  <c r="G28" i="39"/>
  <c r="D28" i="39"/>
  <c r="C28" i="39"/>
  <c r="B28" i="39"/>
  <c r="M27" i="39"/>
  <c r="G27" i="39"/>
  <c r="D27" i="39"/>
  <c r="C27" i="39"/>
  <c r="B27" i="39"/>
  <c r="M26" i="39"/>
  <c r="G26" i="39"/>
  <c r="D26" i="39"/>
  <c r="C26" i="39"/>
  <c r="B26" i="39"/>
  <c r="M25" i="39"/>
  <c r="G25" i="39"/>
  <c r="D25" i="39"/>
  <c r="C25" i="39"/>
  <c r="B25" i="39"/>
  <c r="M24" i="39"/>
  <c r="G24" i="39"/>
  <c r="D24" i="39"/>
  <c r="C24" i="39"/>
  <c r="B24" i="39"/>
  <c r="M23" i="39"/>
  <c r="G23" i="39"/>
  <c r="D23" i="39"/>
  <c r="C23" i="39"/>
  <c r="B23" i="39"/>
  <c r="M22" i="39"/>
  <c r="G22" i="39"/>
  <c r="D22" i="39"/>
  <c r="C22" i="39"/>
  <c r="B22" i="39"/>
  <c r="A22" i="39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G35" i="38"/>
  <c r="D35" i="38"/>
  <c r="C35" i="38"/>
  <c r="B35" i="38"/>
  <c r="G34" i="38"/>
  <c r="D34" i="38"/>
  <c r="C34" i="38"/>
  <c r="B34" i="38"/>
  <c r="G33" i="38"/>
  <c r="D33" i="38"/>
  <c r="C33" i="38"/>
  <c r="B33" i="38"/>
  <c r="G32" i="38"/>
  <c r="D32" i="38"/>
  <c r="C32" i="38"/>
  <c r="B32" i="38"/>
  <c r="G31" i="38"/>
  <c r="D31" i="38"/>
  <c r="C31" i="38"/>
  <c r="B31" i="38"/>
  <c r="G30" i="38"/>
  <c r="D30" i="38"/>
  <c r="C30" i="38"/>
  <c r="B30" i="38"/>
  <c r="G29" i="38"/>
  <c r="D29" i="38"/>
  <c r="C29" i="38"/>
  <c r="B29" i="38"/>
  <c r="M28" i="38"/>
  <c r="G28" i="38"/>
  <c r="D28" i="38"/>
  <c r="C28" i="38"/>
  <c r="B28" i="38"/>
  <c r="M27" i="38"/>
  <c r="G27" i="38"/>
  <c r="D27" i="38"/>
  <c r="C27" i="38"/>
  <c r="B27" i="38"/>
  <c r="M26" i="38"/>
  <c r="G26" i="38"/>
  <c r="D26" i="38"/>
  <c r="C26" i="38"/>
  <c r="B26" i="38"/>
  <c r="M25" i="38"/>
  <c r="G25" i="38"/>
  <c r="D25" i="38"/>
  <c r="C25" i="38"/>
  <c r="B25" i="38"/>
  <c r="M24" i="38"/>
  <c r="G24" i="38"/>
  <c r="D24" i="38"/>
  <c r="C24" i="38"/>
  <c r="B24" i="38"/>
  <c r="M23" i="38"/>
  <c r="G23" i="38"/>
  <c r="D23" i="38"/>
  <c r="C23" i="38"/>
  <c r="B23" i="38"/>
  <c r="M22" i="38"/>
  <c r="G22" i="38"/>
  <c r="D22" i="38"/>
  <c r="C22" i="38"/>
  <c r="B22" i="38"/>
  <c r="A22" i="38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7" i="36"/>
  <c r="A38" i="36" s="1"/>
  <c r="A39" i="36" s="1"/>
  <c r="G39" i="36"/>
  <c r="D39" i="36"/>
  <c r="C39" i="36"/>
  <c r="B39" i="36"/>
  <c r="G38" i="36"/>
  <c r="D38" i="36"/>
  <c r="C38" i="36"/>
  <c r="B38" i="36"/>
  <c r="G37" i="36"/>
  <c r="D37" i="36"/>
  <c r="C37" i="36"/>
  <c r="B37" i="36"/>
  <c r="G36" i="36"/>
  <c r="D36" i="36"/>
  <c r="C36" i="36"/>
  <c r="B36" i="36"/>
  <c r="G35" i="36"/>
  <c r="D35" i="36"/>
  <c r="C35" i="36"/>
  <c r="B35" i="36"/>
  <c r="G34" i="36"/>
  <c r="D34" i="36"/>
  <c r="C34" i="36"/>
  <c r="B34" i="36"/>
  <c r="G33" i="36"/>
  <c r="D33" i="36"/>
  <c r="C33" i="36"/>
  <c r="B33" i="36"/>
  <c r="G32" i="36"/>
  <c r="D32" i="36"/>
  <c r="C32" i="36"/>
  <c r="B32" i="36"/>
  <c r="G31" i="36"/>
  <c r="D31" i="36"/>
  <c r="C31" i="36"/>
  <c r="B31" i="36"/>
  <c r="G30" i="36"/>
  <c r="D30" i="36"/>
  <c r="C30" i="36"/>
  <c r="B30" i="36"/>
  <c r="G29" i="36"/>
  <c r="D29" i="36"/>
  <c r="C29" i="36"/>
  <c r="B29" i="36"/>
  <c r="M28" i="36"/>
  <c r="G28" i="36"/>
  <c r="D28" i="36"/>
  <c r="C28" i="36"/>
  <c r="B28" i="36"/>
  <c r="M27" i="36"/>
  <c r="G27" i="36"/>
  <c r="D27" i="36"/>
  <c r="C27" i="36"/>
  <c r="B27" i="36"/>
  <c r="M26" i="36"/>
  <c r="G26" i="36"/>
  <c r="D26" i="36"/>
  <c r="C26" i="36"/>
  <c r="B26" i="36"/>
  <c r="M25" i="36"/>
  <c r="G25" i="36"/>
  <c r="D25" i="36"/>
  <c r="C25" i="36"/>
  <c r="B25" i="36"/>
  <c r="M24" i="36"/>
  <c r="G24" i="36"/>
  <c r="D24" i="36"/>
  <c r="C24" i="36"/>
  <c r="B24" i="36"/>
  <c r="M23" i="36"/>
  <c r="G23" i="36"/>
  <c r="D23" i="36"/>
  <c r="C23" i="36"/>
  <c r="B23" i="36"/>
  <c r="M22" i="36"/>
  <c r="G22" i="36"/>
  <c r="D22" i="36"/>
  <c r="C22" i="36"/>
  <c r="B22" i="36"/>
  <c r="A22" i="36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G35" i="35"/>
  <c r="D35" i="35"/>
  <c r="C35" i="35"/>
  <c r="B35" i="35"/>
  <c r="G34" i="35"/>
  <c r="D34" i="35"/>
  <c r="C34" i="35"/>
  <c r="B34" i="35"/>
  <c r="G33" i="35"/>
  <c r="D33" i="35"/>
  <c r="C33" i="35"/>
  <c r="B33" i="35"/>
  <c r="G32" i="35"/>
  <c r="D32" i="35"/>
  <c r="C32" i="35"/>
  <c r="B32" i="35"/>
  <c r="G31" i="35"/>
  <c r="D31" i="35"/>
  <c r="C31" i="35"/>
  <c r="B31" i="35"/>
  <c r="G30" i="35"/>
  <c r="D30" i="35"/>
  <c r="C30" i="35"/>
  <c r="B30" i="35"/>
  <c r="G29" i="35"/>
  <c r="D29" i="35"/>
  <c r="C29" i="35"/>
  <c r="B29" i="35"/>
  <c r="M28" i="35"/>
  <c r="G28" i="35"/>
  <c r="D28" i="35"/>
  <c r="C28" i="35"/>
  <c r="B28" i="35"/>
  <c r="M27" i="35"/>
  <c r="G27" i="35"/>
  <c r="D27" i="35"/>
  <c r="C27" i="35"/>
  <c r="B27" i="35"/>
  <c r="M26" i="35"/>
  <c r="G26" i="35"/>
  <c r="D26" i="35"/>
  <c r="C26" i="35"/>
  <c r="B26" i="35"/>
  <c r="M25" i="35"/>
  <c r="G25" i="35"/>
  <c r="D25" i="35"/>
  <c r="C25" i="35"/>
  <c r="B25" i="35"/>
  <c r="M24" i="35"/>
  <c r="G24" i="35"/>
  <c r="D24" i="35"/>
  <c r="C24" i="35"/>
  <c r="B24" i="35"/>
  <c r="M23" i="35"/>
  <c r="G23" i="35"/>
  <c r="D23" i="35"/>
  <c r="C23" i="35"/>
  <c r="B23" i="35"/>
  <c r="M22" i="35"/>
  <c r="G22" i="35"/>
  <c r="D22" i="35"/>
  <c r="C22" i="35"/>
  <c r="B22" i="35"/>
  <c r="A22" i="35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G37" i="34"/>
  <c r="D37" i="34"/>
  <c r="C37" i="34"/>
  <c r="B37" i="34"/>
  <c r="G36" i="34"/>
  <c r="D36" i="34"/>
  <c r="C36" i="34"/>
  <c r="B36" i="34"/>
  <c r="G35" i="34"/>
  <c r="D35" i="34"/>
  <c r="C35" i="34"/>
  <c r="B35" i="34"/>
  <c r="G34" i="34"/>
  <c r="D34" i="34"/>
  <c r="C34" i="34"/>
  <c r="B34" i="34"/>
  <c r="G33" i="34"/>
  <c r="D33" i="34"/>
  <c r="C33" i="34"/>
  <c r="B33" i="34"/>
  <c r="G32" i="34"/>
  <c r="D32" i="34"/>
  <c r="C32" i="34"/>
  <c r="B32" i="34"/>
  <c r="G31" i="34"/>
  <c r="D31" i="34"/>
  <c r="C31" i="34"/>
  <c r="B31" i="34"/>
  <c r="G30" i="34"/>
  <c r="D30" i="34"/>
  <c r="C30" i="34"/>
  <c r="B30" i="34"/>
  <c r="G29" i="34"/>
  <c r="D29" i="34"/>
  <c r="C29" i="34"/>
  <c r="B29" i="34"/>
  <c r="M28" i="34"/>
  <c r="G28" i="34"/>
  <c r="D28" i="34"/>
  <c r="C28" i="34"/>
  <c r="B28" i="34"/>
  <c r="M27" i="34"/>
  <c r="G27" i="34"/>
  <c r="D27" i="34"/>
  <c r="C27" i="34"/>
  <c r="B27" i="34"/>
  <c r="M26" i="34"/>
  <c r="G26" i="34"/>
  <c r="D26" i="34"/>
  <c r="C26" i="34"/>
  <c r="B26" i="34"/>
  <c r="M25" i="34"/>
  <c r="G25" i="34"/>
  <c r="D25" i="34"/>
  <c r="C25" i="34"/>
  <c r="B25" i="34"/>
  <c r="M24" i="34"/>
  <c r="G24" i="34"/>
  <c r="D24" i="34"/>
  <c r="C24" i="34"/>
  <c r="B24" i="34"/>
  <c r="M23" i="34"/>
  <c r="G23" i="34"/>
  <c r="D23" i="34"/>
  <c r="C23" i="34"/>
  <c r="B23" i="34"/>
  <c r="M22" i="34"/>
  <c r="G22" i="34"/>
  <c r="D22" i="34"/>
  <c r="C22" i="34"/>
  <c r="B22" i="34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G35" i="33"/>
  <c r="D35" i="33"/>
  <c r="C35" i="33"/>
  <c r="B35" i="33"/>
  <c r="G34" i="33"/>
  <c r="D34" i="33"/>
  <c r="C34" i="33"/>
  <c r="B34" i="33"/>
  <c r="G33" i="33"/>
  <c r="D33" i="33"/>
  <c r="C33" i="33"/>
  <c r="B33" i="33"/>
  <c r="G32" i="33"/>
  <c r="D32" i="33"/>
  <c r="C32" i="33"/>
  <c r="B32" i="33"/>
  <c r="G31" i="33"/>
  <c r="D31" i="33"/>
  <c r="C31" i="33"/>
  <c r="B31" i="33"/>
  <c r="G30" i="33"/>
  <c r="D30" i="33"/>
  <c r="C30" i="33"/>
  <c r="B30" i="33"/>
  <c r="G29" i="33"/>
  <c r="D29" i="33"/>
  <c r="C29" i="33"/>
  <c r="B29" i="33"/>
  <c r="M28" i="33"/>
  <c r="G28" i="33"/>
  <c r="D28" i="33"/>
  <c r="C28" i="33"/>
  <c r="B28" i="33"/>
  <c r="M27" i="33"/>
  <c r="G27" i="33"/>
  <c r="D27" i="33"/>
  <c r="C27" i="33"/>
  <c r="B27" i="33"/>
  <c r="M26" i="33"/>
  <c r="G26" i="33"/>
  <c r="D26" i="33"/>
  <c r="C26" i="33"/>
  <c r="B26" i="33"/>
  <c r="M25" i="33"/>
  <c r="G25" i="33"/>
  <c r="D25" i="33"/>
  <c r="C25" i="33"/>
  <c r="B25" i="33"/>
  <c r="M24" i="33"/>
  <c r="G24" i="33"/>
  <c r="D24" i="33"/>
  <c r="C24" i="33"/>
  <c r="B24" i="33"/>
  <c r="M23" i="33"/>
  <c r="G23" i="33"/>
  <c r="D23" i="33"/>
  <c r="C23" i="33"/>
  <c r="B23" i="33"/>
  <c r="M22" i="33"/>
  <c r="G22" i="33"/>
  <c r="D22" i="33"/>
  <c r="C22" i="33"/>
  <c r="B22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23" i="32"/>
  <c r="B23" i="32"/>
  <c r="C23" i="32"/>
  <c r="D23" i="32"/>
  <c r="G23" i="32"/>
  <c r="A24" i="32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B24" i="32"/>
  <c r="C24" i="32"/>
  <c r="D24" i="32"/>
  <c r="G24" i="32"/>
  <c r="B25" i="32"/>
  <c r="C25" i="32"/>
  <c r="D25" i="32"/>
  <c r="G25" i="32"/>
  <c r="B26" i="32"/>
  <c r="C26" i="32"/>
  <c r="D26" i="32"/>
  <c r="G26" i="32"/>
  <c r="B27" i="32"/>
  <c r="C27" i="32"/>
  <c r="D27" i="32"/>
  <c r="G27" i="32"/>
  <c r="B28" i="32"/>
  <c r="C28" i="32"/>
  <c r="D28" i="32"/>
  <c r="G28" i="32"/>
  <c r="B29" i="32"/>
  <c r="C29" i="32"/>
  <c r="D29" i="32"/>
  <c r="G29" i="32"/>
  <c r="B30" i="32"/>
  <c r="C30" i="32"/>
  <c r="D30" i="32"/>
  <c r="G30" i="32"/>
  <c r="B31" i="32"/>
  <c r="C31" i="32"/>
  <c r="D31" i="32"/>
  <c r="G31" i="32"/>
  <c r="B32" i="32"/>
  <c r="C32" i="32"/>
  <c r="D32" i="32"/>
  <c r="G32" i="32"/>
  <c r="B33" i="32"/>
  <c r="C33" i="32"/>
  <c r="D33" i="32"/>
  <c r="G33" i="32"/>
  <c r="B34" i="32"/>
  <c r="C34" i="32"/>
  <c r="D34" i="32"/>
  <c r="G34" i="32"/>
  <c r="B35" i="32"/>
  <c r="C35" i="32"/>
  <c r="D35" i="32"/>
  <c r="G35" i="32"/>
  <c r="B36" i="32"/>
  <c r="C36" i="32"/>
  <c r="D36" i="32"/>
  <c r="G36" i="32"/>
  <c r="B37" i="32"/>
  <c r="C37" i="32"/>
  <c r="D37" i="32"/>
  <c r="G37" i="32"/>
  <c r="M28" i="32"/>
  <c r="M27" i="32"/>
  <c r="M26" i="32"/>
  <c r="M25" i="32"/>
  <c r="M24" i="32"/>
  <c r="M23" i="32"/>
  <c r="M22" i="32"/>
  <c r="G22" i="32"/>
  <c r="D22" i="32"/>
  <c r="C22" i="32"/>
  <c r="B22" i="32"/>
  <c r="A22" i="32"/>
  <c r="A29" i="31"/>
  <c r="B29" i="31"/>
  <c r="C29" i="31"/>
  <c r="D29" i="31"/>
  <c r="G29" i="31"/>
  <c r="A30" i="31"/>
  <c r="A31" i="31" s="1"/>
  <c r="A32" i="31" s="1"/>
  <c r="A33" i="31" s="1"/>
  <c r="A34" i="31" s="1"/>
  <c r="A35" i="31" s="1"/>
  <c r="B30" i="31"/>
  <c r="C30" i="31"/>
  <c r="D30" i="31"/>
  <c r="G30" i="31"/>
  <c r="B31" i="31"/>
  <c r="C31" i="31"/>
  <c r="D31" i="31"/>
  <c r="G31" i="31"/>
  <c r="B32" i="31"/>
  <c r="C32" i="31"/>
  <c r="D32" i="31"/>
  <c r="G32" i="31"/>
  <c r="B33" i="31"/>
  <c r="C33" i="31"/>
  <c r="D33" i="31"/>
  <c r="G33" i="31"/>
  <c r="B34" i="31"/>
  <c r="C34" i="31"/>
  <c r="D34" i="31"/>
  <c r="G34" i="31"/>
  <c r="B35" i="31"/>
  <c r="C35" i="31"/>
  <c r="D35" i="31"/>
  <c r="G35" i="31"/>
  <c r="M28" i="31"/>
  <c r="G28" i="31"/>
  <c r="D28" i="31"/>
  <c r="C28" i="31"/>
  <c r="B28" i="31"/>
  <c r="M27" i="31"/>
  <c r="G27" i="31"/>
  <c r="D27" i="31"/>
  <c r="C27" i="31"/>
  <c r="B27" i="31"/>
  <c r="M26" i="31"/>
  <c r="G26" i="31"/>
  <c r="D26" i="31"/>
  <c r="C26" i="31"/>
  <c r="B26" i="31"/>
  <c r="M25" i="31"/>
  <c r="G25" i="31"/>
  <c r="D25" i="31"/>
  <c r="C25" i="31"/>
  <c r="B25" i="31"/>
  <c r="M24" i="31"/>
  <c r="G24" i="31"/>
  <c r="D24" i="31"/>
  <c r="C24" i="31"/>
  <c r="B24" i="31"/>
  <c r="M23" i="31"/>
  <c r="G23" i="31"/>
  <c r="D23" i="31"/>
  <c r="C23" i="31"/>
  <c r="B23" i="31"/>
  <c r="M22" i="31"/>
  <c r="G22" i="31"/>
  <c r="D22" i="31"/>
  <c r="C22" i="31"/>
  <c r="B22" i="31"/>
  <c r="A22" i="31"/>
  <c r="A23" i="31" s="1"/>
  <c r="A24" i="31" s="1"/>
  <c r="A25" i="31" s="1"/>
  <c r="A26" i="31" s="1"/>
  <c r="A27" i="31" s="1"/>
  <c r="A28" i="31" s="1"/>
  <c r="B26" i="30"/>
  <c r="C26" i="30"/>
  <c r="D26" i="30"/>
  <c r="G26" i="30"/>
  <c r="B27" i="30"/>
  <c r="C27" i="30"/>
  <c r="D27" i="30"/>
  <c r="G27" i="30"/>
  <c r="B28" i="30"/>
  <c r="C28" i="30"/>
  <c r="D28" i="30"/>
  <c r="G28" i="30"/>
  <c r="B29" i="30"/>
  <c r="C29" i="30"/>
  <c r="D29" i="30"/>
  <c r="G29" i="30"/>
  <c r="B30" i="30"/>
  <c r="C30" i="30"/>
  <c r="D30" i="30"/>
  <c r="G30" i="30"/>
  <c r="B31" i="30"/>
  <c r="C31" i="30"/>
  <c r="D31" i="30"/>
  <c r="G31" i="30"/>
  <c r="B32" i="30"/>
  <c r="C32" i="30"/>
  <c r="D32" i="30"/>
  <c r="G32" i="30"/>
  <c r="B33" i="30"/>
  <c r="C33" i="30"/>
  <c r="D33" i="30"/>
  <c r="G33" i="30"/>
  <c r="B34" i="30"/>
  <c r="C34" i="30"/>
  <c r="D34" i="30"/>
  <c r="G34" i="30"/>
  <c r="B35" i="30"/>
  <c r="C35" i="30"/>
  <c r="D35" i="30"/>
  <c r="G35" i="30"/>
  <c r="B36" i="30"/>
  <c r="C36" i="30"/>
  <c r="D36" i="30"/>
  <c r="G36" i="30"/>
  <c r="B37" i="30"/>
  <c r="C37" i="30"/>
  <c r="D37" i="30"/>
  <c r="G37" i="30"/>
  <c r="B38" i="30"/>
  <c r="C38" i="30"/>
  <c r="D38" i="30"/>
  <c r="G38" i="30"/>
  <c r="B39" i="30"/>
  <c r="C39" i="30"/>
  <c r="D39" i="30"/>
  <c r="G39" i="30"/>
  <c r="B40" i="30"/>
  <c r="C40" i="30"/>
  <c r="D40" i="30"/>
  <c r="G40" i="30"/>
  <c r="B41" i="30"/>
  <c r="C41" i="30"/>
  <c r="D41" i="30"/>
  <c r="G41" i="30"/>
  <c r="B42" i="30"/>
  <c r="C42" i="30"/>
  <c r="D42" i="30"/>
  <c r="G42" i="30"/>
  <c r="M26" i="30"/>
  <c r="M28" i="30"/>
  <c r="M27" i="30"/>
  <c r="M25" i="30"/>
  <c r="G25" i="30"/>
  <c r="D25" i="30"/>
  <c r="C25" i="30"/>
  <c r="B25" i="30"/>
  <c r="M24" i="30"/>
  <c r="G24" i="30"/>
  <c r="D24" i="30"/>
  <c r="C24" i="30"/>
  <c r="B24" i="30"/>
  <c r="M23" i="30"/>
  <c r="G23" i="30"/>
  <c r="D23" i="30"/>
  <c r="C23" i="30"/>
  <c r="B23" i="30"/>
  <c r="M22" i="30"/>
  <c r="G22" i="30"/>
  <c r="D22" i="30"/>
  <c r="C22" i="30"/>
  <c r="B22" i="30"/>
  <c r="F22" i="30" s="1"/>
  <c r="A22" i="30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G37" i="29"/>
  <c r="D37" i="29"/>
  <c r="C37" i="29"/>
  <c r="B37" i="29"/>
  <c r="G36" i="29"/>
  <c r="D36" i="29"/>
  <c r="C36" i="29"/>
  <c r="B36" i="29"/>
  <c r="G35" i="29"/>
  <c r="D35" i="29"/>
  <c r="C35" i="29"/>
  <c r="B35" i="29"/>
  <c r="G34" i="29"/>
  <c r="D34" i="29"/>
  <c r="C34" i="29"/>
  <c r="B34" i="29"/>
  <c r="G33" i="29"/>
  <c r="D33" i="29"/>
  <c r="C33" i="29"/>
  <c r="B33" i="29"/>
  <c r="G32" i="29"/>
  <c r="D32" i="29"/>
  <c r="C32" i="29"/>
  <c r="B32" i="29"/>
  <c r="G31" i="29"/>
  <c r="D31" i="29"/>
  <c r="C31" i="29"/>
  <c r="B31" i="29"/>
  <c r="G30" i="29"/>
  <c r="D30" i="29"/>
  <c r="C30" i="29"/>
  <c r="B30" i="29"/>
  <c r="G29" i="29"/>
  <c r="D29" i="29"/>
  <c r="C29" i="29"/>
  <c r="B29" i="29"/>
  <c r="M28" i="29"/>
  <c r="G28" i="29"/>
  <c r="D28" i="29"/>
  <c r="C28" i="29"/>
  <c r="B28" i="29"/>
  <c r="M27" i="29"/>
  <c r="G27" i="29"/>
  <c r="D27" i="29"/>
  <c r="C27" i="29"/>
  <c r="B27" i="29"/>
  <c r="M26" i="29"/>
  <c r="G26" i="29"/>
  <c r="D26" i="29"/>
  <c r="C26" i="29"/>
  <c r="B26" i="29"/>
  <c r="M25" i="29"/>
  <c r="G25" i="29"/>
  <c r="D25" i="29"/>
  <c r="C25" i="29"/>
  <c r="B25" i="29"/>
  <c r="M24" i="29"/>
  <c r="G24" i="29"/>
  <c r="D24" i="29"/>
  <c r="C24" i="29"/>
  <c r="B24" i="29"/>
  <c r="M23" i="29"/>
  <c r="G23" i="29"/>
  <c r="D23" i="29"/>
  <c r="C23" i="29"/>
  <c r="B23" i="29"/>
  <c r="M22" i="29"/>
  <c r="G22" i="29"/>
  <c r="D22" i="29"/>
  <c r="C22" i="29"/>
  <c r="B22" i="29"/>
  <c r="A22" i="29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G37" i="28"/>
  <c r="D37" i="28"/>
  <c r="C37" i="28"/>
  <c r="B37" i="28"/>
  <c r="G36" i="28"/>
  <c r="D36" i="28"/>
  <c r="C36" i="28"/>
  <c r="B36" i="28"/>
  <c r="G35" i="28"/>
  <c r="D35" i="28"/>
  <c r="C35" i="28"/>
  <c r="B35" i="28"/>
  <c r="G34" i="28"/>
  <c r="D34" i="28"/>
  <c r="C34" i="28"/>
  <c r="B34" i="28"/>
  <c r="G33" i="28"/>
  <c r="D33" i="28"/>
  <c r="C33" i="28"/>
  <c r="B33" i="28"/>
  <c r="G32" i="28"/>
  <c r="D32" i="28"/>
  <c r="C32" i="28"/>
  <c r="B32" i="28"/>
  <c r="G31" i="28"/>
  <c r="D31" i="28"/>
  <c r="C31" i="28"/>
  <c r="B31" i="28"/>
  <c r="G30" i="28"/>
  <c r="D30" i="28"/>
  <c r="C30" i="28"/>
  <c r="B30" i="28"/>
  <c r="G29" i="28"/>
  <c r="D29" i="28"/>
  <c r="C29" i="28"/>
  <c r="B29" i="28"/>
  <c r="M28" i="28"/>
  <c r="G28" i="28"/>
  <c r="D28" i="28"/>
  <c r="C28" i="28"/>
  <c r="B28" i="28"/>
  <c r="M27" i="28"/>
  <c r="G27" i="28"/>
  <c r="D27" i="28"/>
  <c r="C27" i="28"/>
  <c r="B27" i="28"/>
  <c r="M26" i="28"/>
  <c r="G26" i="28"/>
  <c r="D26" i="28"/>
  <c r="C26" i="28"/>
  <c r="B26" i="28"/>
  <c r="M25" i="28"/>
  <c r="G25" i="28"/>
  <c r="D25" i="28"/>
  <c r="C25" i="28"/>
  <c r="B25" i="28"/>
  <c r="M24" i="28"/>
  <c r="G24" i="28"/>
  <c r="D24" i="28"/>
  <c r="C24" i="28"/>
  <c r="B24" i="28"/>
  <c r="M23" i="28"/>
  <c r="G23" i="28"/>
  <c r="D23" i="28"/>
  <c r="C23" i="28"/>
  <c r="B23" i="28"/>
  <c r="M22" i="28"/>
  <c r="G22" i="28"/>
  <c r="D22" i="28"/>
  <c r="C22" i="28"/>
  <c r="B22" i="28"/>
  <c r="A22" i="28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23" i="27"/>
  <c r="B23" i="27"/>
  <c r="C23" i="27"/>
  <c r="D23" i="27"/>
  <c r="G23" i="27"/>
  <c r="A24" i="27"/>
  <c r="B24" i="27"/>
  <c r="C24" i="27"/>
  <c r="D24" i="27"/>
  <c r="G24" i="27"/>
  <c r="A25" i="27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B25" i="27"/>
  <c r="C25" i="27"/>
  <c r="D25" i="27"/>
  <c r="G25" i="27"/>
  <c r="B26" i="27"/>
  <c r="C26" i="27"/>
  <c r="D26" i="27"/>
  <c r="G26" i="27"/>
  <c r="B27" i="27"/>
  <c r="C27" i="27"/>
  <c r="D27" i="27"/>
  <c r="G27" i="27"/>
  <c r="B28" i="27"/>
  <c r="C28" i="27"/>
  <c r="D28" i="27"/>
  <c r="G28" i="27"/>
  <c r="B29" i="27"/>
  <c r="C29" i="27"/>
  <c r="D29" i="27"/>
  <c r="G29" i="27"/>
  <c r="B30" i="27"/>
  <c r="C30" i="27"/>
  <c r="D30" i="27"/>
  <c r="G30" i="27"/>
  <c r="B31" i="27"/>
  <c r="C31" i="27"/>
  <c r="D31" i="27"/>
  <c r="G31" i="27"/>
  <c r="B32" i="27"/>
  <c r="C32" i="27"/>
  <c r="D32" i="27"/>
  <c r="G32" i="27"/>
  <c r="B33" i="27"/>
  <c r="C33" i="27"/>
  <c r="D33" i="27"/>
  <c r="G33" i="27"/>
  <c r="B34" i="27"/>
  <c r="C34" i="27"/>
  <c r="D34" i="27"/>
  <c r="G34" i="27"/>
  <c r="B35" i="27"/>
  <c r="C35" i="27"/>
  <c r="D35" i="27"/>
  <c r="G35" i="27"/>
  <c r="B36" i="27"/>
  <c r="C36" i="27"/>
  <c r="D36" i="27"/>
  <c r="G36" i="27"/>
  <c r="B37" i="27"/>
  <c r="C37" i="27"/>
  <c r="D37" i="27"/>
  <c r="G37" i="27"/>
  <c r="B22" i="27"/>
  <c r="K32" i="9"/>
  <c r="K33" i="9"/>
  <c r="K34" i="9"/>
  <c r="K35" i="9"/>
  <c r="K36" i="9"/>
  <c r="K25" i="9"/>
  <c r="K26" i="9"/>
  <c r="K27" i="9"/>
  <c r="K28" i="9"/>
  <c r="K29" i="9"/>
  <c r="K30" i="9"/>
  <c r="K31" i="9"/>
  <c r="F25" i="9"/>
  <c r="G25" i="9" s="1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" i="9"/>
  <c r="F33" i="9"/>
  <c r="G33" i="9" s="1"/>
  <c r="L19" i="47"/>
  <c r="L18" i="47"/>
  <c r="L17" i="47"/>
  <c r="L16" i="47"/>
  <c r="L15" i="47"/>
  <c r="L14" i="47"/>
  <c r="L13" i="47"/>
  <c r="L18" i="46"/>
  <c r="L17" i="46"/>
  <c r="L16" i="46"/>
  <c r="L15" i="46"/>
  <c r="L14" i="46"/>
  <c r="L13" i="46"/>
  <c r="L18" i="45"/>
  <c r="L17" i="45"/>
  <c r="L16" i="45"/>
  <c r="L15" i="45"/>
  <c r="L14" i="45"/>
  <c r="L13" i="45"/>
  <c r="L18" i="44"/>
  <c r="L17" i="44"/>
  <c r="L16" i="44"/>
  <c r="L15" i="44"/>
  <c r="L14" i="44"/>
  <c r="L13" i="44"/>
  <c r="L18" i="43"/>
  <c r="L17" i="43"/>
  <c r="L16" i="43"/>
  <c r="L15" i="43"/>
  <c r="L14" i="43"/>
  <c r="L13" i="43"/>
  <c r="L18" i="42"/>
  <c r="L17" i="42"/>
  <c r="L16" i="42"/>
  <c r="L15" i="42"/>
  <c r="L14" i="42"/>
  <c r="L13" i="42"/>
  <c r="L18" i="41"/>
  <c r="L17" i="41"/>
  <c r="L16" i="41"/>
  <c r="L15" i="41"/>
  <c r="L14" i="41"/>
  <c r="L13" i="41"/>
  <c r="L19" i="40"/>
  <c r="M28" i="40"/>
  <c r="M27" i="40"/>
  <c r="M26" i="40"/>
  <c r="M25" i="40"/>
  <c r="M24" i="40"/>
  <c r="M23" i="40"/>
  <c r="M22" i="40"/>
  <c r="L18" i="40"/>
  <c r="L17" i="40"/>
  <c r="L16" i="40"/>
  <c r="L15" i="40"/>
  <c r="L14" i="40"/>
  <c r="L13" i="40"/>
  <c r="L18" i="39"/>
  <c r="L17" i="39"/>
  <c r="L16" i="39"/>
  <c r="L15" i="39"/>
  <c r="L14" i="39"/>
  <c r="L13" i="39"/>
  <c r="L18" i="38"/>
  <c r="L17" i="38"/>
  <c r="L16" i="38"/>
  <c r="L15" i="38"/>
  <c r="L14" i="38"/>
  <c r="L13" i="38"/>
  <c r="L19" i="37"/>
  <c r="M28" i="37"/>
  <c r="M27" i="37"/>
  <c r="M26" i="37"/>
  <c r="M25" i="37"/>
  <c r="M24" i="37"/>
  <c r="M23" i="37"/>
  <c r="M22" i="37"/>
  <c r="L18" i="37"/>
  <c r="L17" i="37"/>
  <c r="L16" i="37"/>
  <c r="L15" i="37"/>
  <c r="L14" i="37"/>
  <c r="L13" i="37"/>
  <c r="L18" i="36"/>
  <c r="L17" i="36"/>
  <c r="L16" i="36"/>
  <c r="L15" i="36"/>
  <c r="L14" i="36"/>
  <c r="L13" i="36"/>
  <c r="L18" i="35"/>
  <c r="L17" i="35"/>
  <c r="L16" i="35"/>
  <c r="L15" i="35"/>
  <c r="L14" i="35"/>
  <c r="L13" i="35"/>
  <c r="L18" i="34"/>
  <c r="L17" i="34"/>
  <c r="L16" i="34"/>
  <c r="L15" i="34"/>
  <c r="L14" i="34"/>
  <c r="L13" i="34"/>
  <c r="L18" i="33"/>
  <c r="L17" i="33"/>
  <c r="L16" i="33"/>
  <c r="L15" i="33"/>
  <c r="L14" i="33"/>
  <c r="L13" i="33"/>
  <c r="L18" i="32"/>
  <c r="L17" i="32"/>
  <c r="L16" i="32"/>
  <c r="L15" i="32"/>
  <c r="L14" i="32"/>
  <c r="L13" i="32"/>
  <c r="L18" i="31"/>
  <c r="L17" i="31"/>
  <c r="L16" i="31"/>
  <c r="L15" i="31"/>
  <c r="L14" i="31"/>
  <c r="L13" i="31"/>
  <c r="L19" i="30"/>
  <c r="L18" i="30"/>
  <c r="L17" i="30"/>
  <c r="L16" i="30"/>
  <c r="L15" i="30"/>
  <c r="L14" i="30"/>
  <c r="L13" i="30"/>
  <c r="L18" i="29"/>
  <c r="L17" i="29"/>
  <c r="L16" i="29"/>
  <c r="L15" i="29"/>
  <c r="L14" i="29"/>
  <c r="L13" i="29"/>
  <c r="L18" i="28"/>
  <c r="L17" i="28"/>
  <c r="L16" i="28"/>
  <c r="L15" i="28"/>
  <c r="L14" i="28"/>
  <c r="L13" i="28"/>
  <c r="L18" i="27"/>
  <c r="L17" i="27"/>
  <c r="L16" i="27"/>
  <c r="L15" i="27"/>
  <c r="L14" i="27"/>
  <c r="L13" i="27"/>
  <c r="M28" i="27"/>
  <c r="M27" i="27"/>
  <c r="M26" i="27"/>
  <c r="M25" i="27"/>
  <c r="M24" i="27"/>
  <c r="M23" i="27"/>
  <c r="M22" i="27"/>
  <c r="G22" i="27"/>
  <c r="D22" i="27"/>
  <c r="C22" i="27"/>
  <c r="A22" i="27"/>
  <c r="F28" i="46" l="1"/>
  <c r="F24" i="46"/>
  <c r="F25" i="46" s="1"/>
  <c r="F35" i="36"/>
  <c r="F37" i="36"/>
  <c r="F38" i="36" s="1"/>
  <c r="F39" i="36" s="1"/>
  <c r="F26" i="46"/>
  <c r="F27" i="46" s="1"/>
  <c r="F36" i="32"/>
  <c r="F37" i="32" s="1"/>
  <c r="F34" i="32"/>
  <c r="F30" i="38"/>
  <c r="F31" i="38" s="1"/>
  <c r="F31" i="47"/>
  <c r="F32" i="47" s="1"/>
  <c r="F33" i="47" s="1"/>
  <c r="F26" i="47"/>
  <c r="F27" i="47" s="1"/>
  <c r="F28" i="47" s="1"/>
  <c r="F36" i="47"/>
  <c r="F30" i="46"/>
  <c r="F31" i="46" s="1"/>
  <c r="F26" i="38"/>
  <c r="F27" i="38" s="1"/>
  <c r="F26" i="39"/>
  <c r="F27" i="39" s="1"/>
  <c r="F26" i="41"/>
  <c r="F26" i="42"/>
  <c r="F26" i="43"/>
  <c r="F26" i="44"/>
  <c r="F23" i="31"/>
  <c r="F26" i="28"/>
  <c r="F27" i="28" s="1"/>
  <c r="F26" i="29"/>
  <c r="F27" i="29" s="1"/>
  <c r="F26" i="33"/>
  <c r="F27" i="33" s="1"/>
  <c r="F26" i="34"/>
  <c r="F27" i="34" s="1"/>
  <c r="F26" i="35"/>
  <c r="F27" i="35" s="1"/>
  <c r="F26" i="36"/>
  <c r="F27" i="36" s="1"/>
  <c r="F29" i="41"/>
  <c r="F29" i="42"/>
  <c r="F29" i="43"/>
  <c r="F29" i="31"/>
  <c r="F29" i="33"/>
  <c r="F29" i="35"/>
  <c r="F24" i="38"/>
  <c r="F25" i="38" s="1"/>
  <c r="F24" i="39"/>
  <c r="F24" i="41"/>
  <c r="F25" i="41" s="1"/>
  <c r="F24" i="42"/>
  <c r="F25" i="42" s="1"/>
  <c r="F24" i="43"/>
  <c r="F25" i="43" s="1"/>
  <c r="F24" i="44"/>
  <c r="F25" i="44" s="1"/>
  <c r="F38" i="47"/>
  <c r="F39" i="47" s="1"/>
  <c r="F24" i="28"/>
  <c r="F25" i="28" s="1"/>
  <c r="F24" i="29"/>
  <c r="F25" i="29" s="1"/>
  <c r="F29" i="44"/>
  <c r="F30" i="44" s="1"/>
  <c r="F23" i="38"/>
  <c r="F32" i="31"/>
  <c r="F33" i="31" s="1"/>
  <c r="F34" i="31"/>
  <c r="F35" i="31" s="1"/>
  <c r="F24" i="27"/>
  <c r="F25" i="27" s="1"/>
  <c r="F32" i="32"/>
  <c r="F33" i="32" s="1"/>
  <c r="F35" i="32"/>
  <c r="F31" i="44"/>
  <c r="F32" i="44" s="1"/>
  <c r="F23" i="46"/>
  <c r="F23" i="27"/>
  <c r="F23" i="28"/>
  <c r="F23" i="29"/>
  <c r="F23" i="32"/>
  <c r="F23" i="33"/>
  <c r="F23" i="34"/>
  <c r="F23" i="35"/>
  <c r="F23" i="36"/>
  <c r="F28" i="28"/>
  <c r="F29" i="28" s="1"/>
  <c r="F28" i="29"/>
  <c r="F29" i="29" s="1"/>
  <c r="F24" i="31"/>
  <c r="F25" i="31" s="1"/>
  <c r="F30" i="31"/>
  <c r="F31" i="31" s="1"/>
  <c r="F28" i="33"/>
  <c r="F28" i="34"/>
  <c r="F29" i="34" s="1"/>
  <c r="F28" i="35"/>
  <c r="F28" i="36"/>
  <c r="F29" i="36" s="1"/>
  <c r="F23" i="39"/>
  <c r="F23" i="41"/>
  <c r="F23" i="42"/>
  <c r="F23" i="43"/>
  <c r="F23" i="44"/>
  <c r="F29" i="46"/>
  <c r="F37" i="47"/>
  <c r="F36" i="27"/>
  <c r="F37" i="27" s="1"/>
  <c r="F34" i="27"/>
  <c r="F35" i="27" s="1"/>
  <c r="F32" i="27"/>
  <c r="F33" i="27" s="1"/>
  <c r="F30" i="27"/>
  <c r="F31" i="27" s="1"/>
  <c r="F28" i="27"/>
  <c r="F29" i="27" s="1"/>
  <c r="F26" i="27"/>
  <c r="F27" i="27" s="1"/>
  <c r="F30" i="28"/>
  <c r="F31" i="28" s="1"/>
  <c r="F32" i="28"/>
  <c r="F33" i="28" s="1"/>
  <c r="F34" i="28"/>
  <c r="F35" i="28" s="1"/>
  <c r="F36" i="28"/>
  <c r="F37" i="28" s="1"/>
  <c r="F30" i="29"/>
  <c r="F31" i="29" s="1"/>
  <c r="F32" i="29"/>
  <c r="F33" i="29" s="1"/>
  <c r="F34" i="29"/>
  <c r="F35" i="29" s="1"/>
  <c r="F36" i="29"/>
  <c r="F37" i="29" s="1"/>
  <c r="F30" i="33"/>
  <c r="F31" i="33" s="1"/>
  <c r="F32" i="33"/>
  <c r="F33" i="33" s="1"/>
  <c r="F34" i="33"/>
  <c r="F35" i="33" s="1"/>
  <c r="F30" i="34"/>
  <c r="F31" i="34" s="1"/>
  <c r="F32" i="34"/>
  <c r="F33" i="34" s="1"/>
  <c r="F34" i="34"/>
  <c r="F35" i="34" s="1"/>
  <c r="F36" i="34"/>
  <c r="F37" i="34" s="1"/>
  <c r="F30" i="35"/>
  <c r="F31" i="35" s="1"/>
  <c r="F32" i="35"/>
  <c r="F33" i="35" s="1"/>
  <c r="F34" i="35"/>
  <c r="F35" i="35" s="1"/>
  <c r="F30" i="36"/>
  <c r="F31" i="36" s="1"/>
  <c r="F32" i="36"/>
  <c r="F33" i="36" s="1"/>
  <c r="F34" i="36" s="1"/>
  <c r="F36" i="36"/>
  <c r="F28" i="38"/>
  <c r="F29" i="38" s="1"/>
  <c r="F28" i="39"/>
  <c r="F29" i="39" s="1"/>
  <c r="F28" i="41"/>
  <c r="F28" i="42"/>
  <c r="F28" i="43"/>
  <c r="F28" i="44"/>
  <c r="F32" i="46"/>
  <c r="F33" i="46" s="1"/>
  <c r="F24" i="47"/>
  <c r="F25" i="47" s="1"/>
  <c r="F34" i="47"/>
  <c r="F35" i="47" s="1"/>
  <c r="F26" i="31"/>
  <c r="F27" i="31" s="1"/>
  <c r="F30" i="32"/>
  <c r="F31" i="32" s="1"/>
  <c r="F28" i="32"/>
  <c r="F29" i="32" s="1"/>
  <c r="F26" i="32"/>
  <c r="F27" i="32" s="1"/>
  <c r="F24" i="32"/>
  <c r="F25" i="32" s="1"/>
  <c r="F32" i="38"/>
  <c r="F33" i="38" s="1"/>
  <c r="F34" i="38"/>
  <c r="F35" i="38" s="1"/>
  <c r="F25" i="39"/>
  <c r="F30" i="39"/>
  <c r="F31" i="39" s="1"/>
  <c r="F32" i="39"/>
  <c r="F33" i="39" s="1"/>
  <c r="F34" i="39"/>
  <c r="F35" i="39" s="1"/>
  <c r="F30" i="41"/>
  <c r="F31" i="41" s="1"/>
  <c r="F32" i="41"/>
  <c r="F33" i="41" s="1"/>
  <c r="F34" i="41"/>
  <c r="F35" i="41" s="1"/>
  <c r="F30" i="42"/>
  <c r="F31" i="42" s="1"/>
  <c r="F32" i="42"/>
  <c r="F33" i="42" s="1"/>
  <c r="F30" i="43"/>
  <c r="F31" i="43" s="1"/>
  <c r="F32" i="43"/>
  <c r="F33" i="43" s="1"/>
  <c r="F34" i="43"/>
  <c r="F35" i="43" s="1"/>
  <c r="F29" i="47"/>
  <c r="F30" i="47" s="1"/>
  <c r="F28" i="31"/>
  <c r="F24" i="33"/>
  <c r="F25" i="33" s="1"/>
  <c r="F24" i="34"/>
  <c r="F25" i="34" s="1"/>
  <c r="F24" i="35"/>
  <c r="F25" i="35" s="1"/>
  <c r="F24" i="36"/>
  <c r="F25" i="36" s="1"/>
  <c r="F27" i="41"/>
  <c r="F27" i="42"/>
  <c r="F27" i="43"/>
  <c r="F27" i="44"/>
  <c r="F23" i="47"/>
  <c r="F26" i="30"/>
  <c r="F39" i="30"/>
  <c r="F35" i="30"/>
  <c r="F31" i="30"/>
  <c r="F23" i="30"/>
  <c r="F32" i="30" l="1"/>
  <c r="F33" i="30" s="1"/>
  <c r="F27" i="30"/>
  <c r="F40" i="30"/>
  <c r="F36" i="30"/>
  <c r="F24" i="30"/>
  <c r="F28" i="30" l="1"/>
  <c r="F34" i="30"/>
  <c r="F41" i="30"/>
  <c r="F37" i="30"/>
  <c r="F25" i="30"/>
  <c r="F38" i="30" l="1"/>
  <c r="F29" i="30"/>
  <c r="F42" i="30"/>
  <c r="F30" i="30" l="1"/>
  <c r="F2" i="9"/>
  <c r="G2" i="9" s="1"/>
  <c r="N2" i="9"/>
  <c r="T2" i="9" s="1"/>
  <c r="F3" i="9"/>
  <c r="G3" i="9" s="1"/>
  <c r="N3" i="9"/>
  <c r="O3" i="9" s="1"/>
  <c r="P3" i="9" s="1"/>
  <c r="F4" i="9"/>
  <c r="G4" i="9" s="1"/>
  <c r="N4" i="9"/>
  <c r="R4" i="9" s="1"/>
  <c r="F5" i="9"/>
  <c r="G5" i="9" s="1"/>
  <c r="N5" i="9"/>
  <c r="R5" i="9" s="1"/>
  <c r="F6" i="9"/>
  <c r="G6" i="9" s="1"/>
  <c r="N6" i="9"/>
  <c r="R6" i="9" s="1"/>
  <c r="F7" i="9"/>
  <c r="G7" i="9" s="1"/>
  <c r="N7" i="9"/>
  <c r="O7" i="9" s="1"/>
  <c r="P7" i="9" s="1"/>
  <c r="F8" i="9"/>
  <c r="G8" i="9" s="1"/>
  <c r="N8" i="9"/>
  <c r="R8" i="9" s="1"/>
  <c r="F9" i="9"/>
  <c r="G9" i="9" s="1"/>
  <c r="N9" i="9"/>
  <c r="R9" i="9" s="1"/>
  <c r="F10" i="9"/>
  <c r="G10" i="9" s="1"/>
  <c r="N10" i="9"/>
  <c r="T10" i="9" s="1"/>
  <c r="F11" i="9"/>
  <c r="G11" i="9" s="1"/>
  <c r="N11" i="9"/>
  <c r="S11" i="9" s="1"/>
  <c r="F12" i="9"/>
  <c r="G12" i="9" s="1"/>
  <c r="N12" i="9"/>
  <c r="R12" i="9" s="1"/>
  <c r="F13" i="9"/>
  <c r="G13" i="9" s="1"/>
  <c r="N13" i="9"/>
  <c r="O13" i="9" s="1"/>
  <c r="P13" i="9" s="1"/>
  <c r="F14" i="9"/>
  <c r="G14" i="9" s="1"/>
  <c r="N14" i="9"/>
  <c r="S14" i="9" s="1"/>
  <c r="F15" i="9"/>
  <c r="G15" i="9" s="1"/>
  <c r="N15" i="9"/>
  <c r="O15" i="9" s="1"/>
  <c r="P15" i="9" s="1"/>
  <c r="F16" i="9"/>
  <c r="G16" i="9" s="1"/>
  <c r="N16" i="9"/>
  <c r="R16" i="9" s="1"/>
  <c r="F17" i="9"/>
  <c r="G17" i="9" s="1"/>
  <c r="N17" i="9"/>
  <c r="T17" i="9" s="1"/>
  <c r="F18" i="9"/>
  <c r="G18" i="9" s="1"/>
  <c r="N18" i="9"/>
  <c r="S18" i="9" s="1"/>
  <c r="F19" i="9"/>
  <c r="G19" i="9" s="1"/>
  <c r="N19" i="9"/>
  <c r="S19" i="9" s="1"/>
  <c r="F20" i="9"/>
  <c r="G20" i="9" s="1"/>
  <c r="N20" i="9"/>
  <c r="O20" i="9" s="1"/>
  <c r="P20" i="9" s="1"/>
  <c r="F21" i="9"/>
  <c r="G21" i="9" s="1"/>
  <c r="N21" i="9"/>
  <c r="S21" i="9" s="1"/>
  <c r="F22" i="9"/>
  <c r="G22" i="9" s="1"/>
  <c r="N22" i="9"/>
  <c r="O22" i="9" s="1"/>
  <c r="P22" i="9" s="1"/>
  <c r="F23" i="9"/>
  <c r="G23" i="9" s="1"/>
  <c r="N23" i="9"/>
  <c r="R23" i="9" s="1"/>
  <c r="F24" i="9"/>
  <c r="G24" i="9" s="1"/>
  <c r="N24" i="9"/>
  <c r="R24" i="9" s="1"/>
  <c r="F26" i="9"/>
  <c r="G26" i="9" s="1"/>
  <c r="N26" i="9"/>
  <c r="S26" i="9" s="1"/>
  <c r="F27" i="9"/>
  <c r="G27" i="9" s="1"/>
  <c r="N27" i="9"/>
  <c r="O27" i="9" s="1"/>
  <c r="P27" i="9" s="1"/>
  <c r="F28" i="9"/>
  <c r="G28" i="9" s="1"/>
  <c r="N28" i="9"/>
  <c r="R28" i="9" s="1"/>
  <c r="F29" i="9"/>
  <c r="G29" i="9" s="1"/>
  <c r="N29" i="9"/>
  <c r="S29" i="9" s="1"/>
  <c r="F30" i="9"/>
  <c r="G30" i="9" s="1"/>
  <c r="N30" i="9"/>
  <c r="O30" i="9" s="1"/>
  <c r="P30" i="9" s="1"/>
  <c r="F31" i="9"/>
  <c r="G31" i="9" s="1"/>
  <c r="N31" i="9"/>
  <c r="R31" i="9" s="1"/>
  <c r="F32" i="9"/>
  <c r="G32" i="9" s="1"/>
  <c r="N32" i="9"/>
  <c r="R32" i="9" s="1"/>
  <c r="F34" i="9"/>
  <c r="G34" i="9" s="1"/>
  <c r="N34" i="9"/>
  <c r="R34" i="9" s="1"/>
  <c r="F35" i="9"/>
  <c r="G35" i="9" s="1"/>
  <c r="N35" i="9"/>
  <c r="R35" i="9" s="1"/>
  <c r="N36" i="9"/>
  <c r="R36" i="9" s="1"/>
  <c r="N37" i="9"/>
  <c r="R37" i="9" s="1"/>
  <c r="N38" i="9"/>
  <c r="O38" i="9" s="1"/>
  <c r="P38" i="9" s="1"/>
  <c r="N39" i="9"/>
  <c r="S39" i="9" s="1"/>
  <c r="N40" i="9"/>
  <c r="R40" i="9" s="1"/>
  <c r="N41" i="9"/>
  <c r="R41" i="9" s="1"/>
  <c r="N42" i="9"/>
  <c r="S42" i="9" s="1"/>
  <c r="N43" i="9"/>
  <c r="T43" i="9" s="1"/>
  <c r="N44" i="9"/>
  <c r="R44" i="9" s="1"/>
  <c r="N45" i="9"/>
  <c r="R45" i="9" s="1"/>
  <c r="T4" i="9" l="1"/>
  <c r="S12" i="9"/>
  <c r="T40" i="9"/>
  <c r="T36" i="9"/>
  <c r="O8" i="9"/>
  <c r="P8" i="9" s="1"/>
  <c r="O35" i="9"/>
  <c r="P35" i="9" s="1"/>
  <c r="S44" i="9"/>
  <c r="O44" i="9"/>
  <c r="P44" i="9" s="1"/>
  <c r="R38" i="9"/>
  <c r="S31" i="9"/>
  <c r="T12" i="9"/>
  <c r="Q12" i="9" s="1"/>
  <c r="O12" i="9"/>
  <c r="P12" i="9" s="1"/>
  <c r="R30" i="9"/>
  <c r="R14" i="9"/>
  <c r="S8" i="9"/>
  <c r="T28" i="9"/>
  <c r="O28" i="9"/>
  <c r="P28" i="9" s="1"/>
  <c r="R22" i="9"/>
  <c r="T19" i="9"/>
  <c r="R19" i="9"/>
  <c r="T35" i="9"/>
  <c r="T31" i="9"/>
  <c r="O19" i="9"/>
  <c r="P19" i="9" s="1"/>
  <c r="T23" i="9"/>
  <c r="S40" i="9"/>
  <c r="O40" i="9"/>
  <c r="P40" i="9" s="1"/>
  <c r="O23" i="9"/>
  <c r="P23" i="9" s="1"/>
  <c r="O5" i="9"/>
  <c r="P5" i="9" s="1"/>
  <c r="T3" i="9"/>
  <c r="S36" i="9"/>
  <c r="S9" i="9"/>
  <c r="T24" i="9"/>
  <c r="T45" i="9"/>
  <c r="S45" i="9"/>
  <c r="S41" i="9"/>
  <c r="O45" i="9"/>
  <c r="P45" i="9" s="1"/>
  <c r="O41" i="9"/>
  <c r="P41" i="9" s="1"/>
  <c r="R29" i="9"/>
  <c r="S24" i="9"/>
  <c r="Q24" i="9" s="1"/>
  <c r="O4" i="9"/>
  <c r="P4" i="9" s="1"/>
  <c r="T32" i="9"/>
  <c r="R15" i="9"/>
  <c r="T13" i="9"/>
  <c r="T8" i="9"/>
  <c r="Q8" i="9" s="1"/>
  <c r="S4" i="9"/>
  <c r="Q4" i="9" s="1"/>
  <c r="S3" i="9"/>
  <c r="T37" i="9"/>
  <c r="Q37" i="9" s="1"/>
  <c r="S37" i="9"/>
  <c r="O36" i="9"/>
  <c r="P36" i="9" s="1"/>
  <c r="S32" i="9"/>
  <c r="O31" i="9"/>
  <c r="P31" i="9" s="1"/>
  <c r="O24" i="9"/>
  <c r="P24" i="9" s="1"/>
  <c r="S13" i="9"/>
  <c r="R3" i="9"/>
  <c r="T27" i="9"/>
  <c r="T20" i="9"/>
  <c r="T16" i="9"/>
  <c r="R13" i="9"/>
  <c r="T34" i="9"/>
  <c r="T41" i="9"/>
  <c r="O37" i="9"/>
  <c r="P37" i="9" s="1"/>
  <c r="S34" i="9"/>
  <c r="O32" i="9"/>
  <c r="P32" i="9" s="1"/>
  <c r="S27" i="9"/>
  <c r="S20" i="9"/>
  <c r="S16" i="9"/>
  <c r="T9" i="9"/>
  <c r="R27" i="9"/>
  <c r="R20" i="9"/>
  <c r="S35" i="9"/>
  <c r="Q35" i="9" s="1"/>
  <c r="O34" i="9"/>
  <c r="P34" i="9" s="1"/>
  <c r="S28" i="9"/>
  <c r="S23" i="9"/>
  <c r="O16" i="9"/>
  <c r="P16" i="9" s="1"/>
  <c r="O9" i="9"/>
  <c r="P9" i="9" s="1"/>
  <c r="S2" i="9"/>
  <c r="R39" i="9"/>
  <c r="R21" i="9"/>
  <c r="T42" i="9"/>
  <c r="T44" i="9"/>
  <c r="Q44" i="9" s="1"/>
  <c r="S43" i="9"/>
  <c r="R42" i="9"/>
  <c r="O39" i="9"/>
  <c r="P39" i="9" s="1"/>
  <c r="O29" i="9"/>
  <c r="P29" i="9" s="1"/>
  <c r="R26" i="9"/>
  <c r="O21" i="9"/>
  <c r="P21" i="9" s="1"/>
  <c r="R18" i="9"/>
  <c r="S17" i="9"/>
  <c r="O14" i="9"/>
  <c r="P14" i="9" s="1"/>
  <c r="R11" i="9"/>
  <c r="S10" i="9"/>
  <c r="O6" i="9"/>
  <c r="P6" i="9" s="1"/>
  <c r="R2" i="9"/>
  <c r="R17" i="9"/>
  <c r="R10" i="9"/>
  <c r="T38" i="9"/>
  <c r="T30" i="9"/>
  <c r="T22" i="9"/>
  <c r="T15" i="9"/>
  <c r="T7" i="9"/>
  <c r="O42" i="9"/>
  <c r="P42" i="9" s="1"/>
  <c r="T39" i="9"/>
  <c r="S38" i="9"/>
  <c r="S30" i="9"/>
  <c r="T29" i="9"/>
  <c r="O26" i="9"/>
  <c r="P26" i="9" s="1"/>
  <c r="S22" i="9"/>
  <c r="T21" i="9"/>
  <c r="O18" i="9"/>
  <c r="P18" i="9" s="1"/>
  <c r="S15" i="9"/>
  <c r="T14" i="9"/>
  <c r="O11" i="9"/>
  <c r="P11" i="9" s="1"/>
  <c r="S7" i="9"/>
  <c r="T6" i="9"/>
  <c r="R43" i="9"/>
  <c r="O43" i="9"/>
  <c r="P43" i="9" s="1"/>
  <c r="O17" i="9"/>
  <c r="P17" i="9" s="1"/>
  <c r="O10" i="9"/>
  <c r="P10" i="9" s="1"/>
  <c r="R7" i="9"/>
  <c r="S6" i="9"/>
  <c r="T5" i="9"/>
  <c r="O2" i="9"/>
  <c r="P2" i="9" s="1"/>
  <c r="S5" i="9"/>
  <c r="T26" i="9"/>
  <c r="T18" i="9"/>
  <c r="T11" i="9"/>
  <c r="Q40" i="9" l="1"/>
  <c r="Q34" i="9"/>
  <c r="Q45" i="9"/>
  <c r="Q36" i="9"/>
  <c r="Q31" i="9"/>
  <c r="Q41" i="9"/>
  <c r="Q32" i="9"/>
  <c r="Q5" i="9"/>
  <c r="Q43" i="9"/>
  <c r="Q13" i="9"/>
  <c r="Q19" i="9"/>
  <c r="Q22" i="9"/>
  <c r="Q14" i="9"/>
  <c r="Q9" i="9"/>
  <c r="Q16" i="9"/>
  <c r="Q39" i="9"/>
  <c r="Q2" i="9"/>
  <c r="Q21" i="9"/>
  <c r="Q23" i="9"/>
  <c r="Q28" i="9"/>
  <c r="Q11" i="9"/>
  <c r="Q29" i="9"/>
  <c r="Q20" i="9"/>
  <c r="Q6" i="9"/>
  <c r="Q38" i="9"/>
  <c r="Q10" i="9"/>
  <c r="Q27" i="9"/>
  <c r="Q17" i="9"/>
  <c r="Q3" i="9"/>
  <c r="Q26" i="9"/>
  <c r="Q7" i="9"/>
  <c r="Q30" i="9"/>
  <c r="Q42" i="9"/>
  <c r="Q15" i="9"/>
  <c r="Q18" i="9"/>
  <c r="O8" i="7" l="1"/>
  <c r="O7" i="7"/>
  <c r="O4" i="7" l="1"/>
  <c r="O3" i="7"/>
  <c r="O5" i="7"/>
  <c r="O6" i="7"/>
  <c r="O2" i="7"/>
  <c r="N4" i="7"/>
  <c r="N5" i="7"/>
  <c r="N6" i="7"/>
  <c r="N7" i="7"/>
  <c r="N8" i="7"/>
  <c r="O9" i="7" l="1"/>
  <c r="N9" i="7" l="1"/>
  <c r="AV1" i="7"/>
  <c r="AY1" i="7" s="1"/>
  <c r="AT1" i="7"/>
  <c r="AW1" i="7" l="1"/>
  <c r="AX1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<sst xmlns="http://schemas.openxmlformats.org/spreadsheetml/2006/main" count="7645" uniqueCount="145">
  <si>
    <t>id</t>
  </si>
  <si>
    <t>field</t>
  </si>
  <si>
    <t>game</t>
  </si>
  <si>
    <t>time</t>
  </si>
  <si>
    <t>duration</t>
  </si>
  <si>
    <t>league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</si>
  <si>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</si>
  <si>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</si>
  <si>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</si>
  <si>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</si>
  <si>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</si>
  <si>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</si>
  <si>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</si>
  <si>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</si>
  <si>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</si>
  <si>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</si>
  <si>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</si>
  <si>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</si>
  <si>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</si>
  <si>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</si>
  <si>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</si>
  <si>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</si>
  <si>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</si>
  <si>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</si>
  <si>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</si>
  <si>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</si>
  <si>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</si>
  <si>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</si>
  <si>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</si>
  <si>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</si>
  <si>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</si>
  <si>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</si>
  <si>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</si>
  <si>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</si>
  <si>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</si>
  <si>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</si>
  <si>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</si>
  <si>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</si>
  <si>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</si>
  <si>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</si>
  <si>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</si>
  <si>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</si>
  <si>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</si>
  <si>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</si>
  <si>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</si>
  <si>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</si>
  <si>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</si>
  <si>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</si>
  <si>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</si>
  <si>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</si>
  <si>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</si>
  <si>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</si>
  <si>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primary</t>
  </si>
  <si>
    <t>secondary</t>
  </si>
  <si>
    <t>total games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</si>
  <si>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</si>
  <si>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</si>
  <si>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</si>
  <si>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</si>
  <si>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</si>
  <si>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</si>
  <si>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</si>
  <si>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</si>
  <si>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</si>
  <si>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</si>
  <si>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</si>
  <si>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</si>
  <si>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</si>
  <si>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</si>
  <si>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</si>
  <si>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</si>
  <si>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</si>
  <si>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</si>
  <si>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</si>
  <si>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</si>
  <si>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</si>
  <si>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</si>
  <si>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</si>
  <si>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</si>
  <si>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</si>
  <si>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</si>
  <si>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</si>
  <si>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</si>
  <si>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</si>
  <si>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</si>
  <si>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</si>
  <si>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</si>
  <si>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</si>
  <si>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</si>
  <si>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</si>
  <si>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</si>
  <si>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</si>
  <si>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</si>
  <si>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</si>
  <si>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</si>
  <si>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</si>
  <si>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</si>
  <si>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</si>
  <si>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 xml:space="preserve">Field 6 </t>
  </si>
  <si>
    <t>Template</t>
  </si>
  <si>
    <t>Challenge League</t>
  </si>
  <si>
    <t>Interactive Games</t>
  </si>
  <si>
    <t>_442420</t>
  </si>
  <si>
    <t>_244420</t>
  </si>
  <si>
    <t>_442330</t>
  </si>
  <si>
    <t>_262220</t>
  </si>
  <si>
    <t>_262240</t>
  </si>
  <si>
    <t>_334220</t>
  </si>
  <si>
    <t>_0081084</t>
  </si>
  <si>
    <t>_442220</t>
  </si>
  <si>
    <t>_220644</t>
  </si>
  <si>
    <t>_6881080</t>
  </si>
  <si>
    <t>_244224</t>
  </si>
  <si>
    <t>_352220</t>
  </si>
  <si>
    <t>_424220</t>
  </si>
  <si>
    <t>_440440</t>
  </si>
  <si>
    <t>_433220</t>
  </si>
  <si>
    <t>_244220</t>
  </si>
  <si>
    <t>_224210</t>
  </si>
  <si>
    <t>_6881084</t>
  </si>
  <si>
    <t>_224200</t>
  </si>
  <si>
    <t>_000884</t>
  </si>
  <si>
    <t>_44440</t>
  </si>
  <si>
    <t>_233220</t>
  </si>
  <si>
    <t>_244200</t>
  </si>
  <si>
    <t>date</t>
  </si>
  <si>
    <t>template</t>
  </si>
  <si>
    <t>_244240</t>
  </si>
  <si>
    <t>2,3</t>
  </si>
  <si>
    <t>1,3,4,5,6</t>
  </si>
  <si>
    <t>1,2,3</t>
  </si>
  <si>
    <t>1,2,3,4,5,6</t>
  </si>
  <si>
    <t>_442240</t>
  </si>
  <si>
    <t>_424240</t>
  </si>
  <si>
    <t>_424420</t>
  </si>
  <si>
    <t>_000874</t>
  </si>
  <si>
    <t>_422440</t>
  </si>
  <si>
    <t>_244330</t>
  </si>
  <si>
    <t>_334420</t>
  </si>
  <si>
    <t>_332424</t>
  </si>
  <si>
    <t>_224440</t>
  </si>
  <si>
    <t>_460330</t>
  </si>
  <si>
    <t>_040424</t>
  </si>
  <si>
    <t>_226330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</si>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</sst>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800]dddd\,\ mmmm\ dd\,\ yyyy"/>
    <numFmt numFmtId="166" formatCode="[$-409]h:mm\ AM/PM;@"/>
    <numFmt numFmtId="167" formatCode="mm/dd/yyyy\ hh:mm\ AM/PM"/>
  </numFmts>
  <fonts count="6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9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  <xf numFmtId="0" fontId="0" fillId="0" borderId="0" xfId="0"/>
    <xf numFmtId="18" fontId="4" fillId="0" borderId="0" xfId="0" applyNumberFormat="1" applyFont="1"/>
    <xf numFmtId="0" fontId="0" fillId="0" borderId="0" xfId="0" applyFill="1" applyBorder="1"/>
    <xf numFmtId="0" fontId="0" fillId="0" borderId="0" xfId="0" applyBorder="1"/>
    <xf numFmtId="166" fontId="0" fillId="0" borderId="0" xfId="0" applyNumberFormat="1"/>
    <xf numFmtId="166" fontId="0" fillId="0" borderId="0" xfId="0" applyNumberFormat="1" applyBorder="1"/>
    <xf numFmtId="0" fontId="1" fillId="0" borderId="0" xfId="0" applyFont="1" applyBorder="1"/>
    <xf numFmtId="167" fontId="0" fillId="0" borderId="0" xfId="0" applyNumberFormat="1" applyBorder="1"/>
    <xf numFmtId="167" fontId="1" fillId="0" borderId="0" xfId="0" applyNumberFormat="1" applyFont="1" applyBorder="1"/>
    <xf numFmtId="167" fontId="1" fillId="0" borderId="0" xfId="0" applyNumberFormat="1" applyFont="1"/>
    <xf numFmtId="167" fontId="0" fillId="0" borderId="0" xfId="0" applyNumberFormat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9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18" fontId="0" fillId="0" borderId="0" xfId="0" applyNumberFormat="1"/>
    <xf numFmtId="10" fontId="0" fillId="0" borderId="0" xfId="0" applyNumberFormat="1"/>
    <xf numFmtId="0" fontId="0" fillId="0" borderId="0" xfId="0" applyFont="1"/>
    <xf numFmtId="0" fontId="0" fillId="0" borderId="0" xfId="0" applyFont="1" applyFill="1"/>
    <xf numFmtId="0" fontId="0" fillId="0" borderId="0" xfId="0" applyFill="1"/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83820</xdr:rowOff>
        </xdr:from>
        <xdr:to>
          <xdr:col>14</xdr:col>
          <xdr:colOff>7620</xdr:colOff>
          <xdr:row>11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829"/>
  <sheetViews>
    <sheetView tabSelected="1" zoomScale="70" zoomScaleNormal="70" workbookViewId="0">
      <selection activeCell="F1" sqref="F1:G1048576"/>
    </sheetView>
  </sheetViews>
  <sheetFormatPr defaultRowHeight="14.4"/>
  <cols>
    <col min="3" max="4" width="16.109375" bestFit="1" customWidth="1"/>
    <col min="5" max="5" width="15.5546875" bestFit="1" customWidth="1"/>
    <col min="6" max="6" width="24.21875" style="20" bestFit="1" customWidth="1"/>
    <col min="42" max="42" width="19" bestFit="1" customWidth="1"/>
    <col min="45" max="46" width="19" bestFit="1" customWidth="1"/>
    <col min="48" max="51" width="19" bestFit="1" customWidth="1"/>
  </cols>
  <sheetData>
    <row r="1" spans="1:51" s="20" customFormat="1" ht="15" thickBot="1">
      <c r="A1" s="17" t="s">
        <v>0</v>
      </c>
      <c r="B1" s="17" t="s">
        <v>1</v>
      </c>
      <c r="C1" s="17" t="s">
        <v>47</v>
      </c>
      <c r="D1" s="17" t="s">
        <v>48</v>
      </c>
      <c r="E1" s="17" t="s">
        <v>2</v>
      </c>
      <c r="F1" s="17" t="s">
        <v>3</v>
      </c>
      <c r="G1" s="17" t="s">
        <v>4</v>
      </c>
      <c r="H1" s="17" t="s">
        <v>1</v>
      </c>
      <c r="I1" s="17" t="s">
        <v>5</v>
      </c>
      <c r="J1" s="18" t="s">
        <v>126</v>
      </c>
      <c r="K1" s="19" t="s">
        <v>55</v>
      </c>
      <c r="N1" s="20" t="s">
        <v>52</v>
      </c>
      <c r="O1" s="20" t="s">
        <v>53</v>
      </c>
      <c r="P1" s="20" t="s">
        <v>54</v>
      </c>
      <c r="AP1" s="21">
        <v>1</v>
      </c>
      <c r="AQ1" s="22" t="s">
        <v>6</v>
      </c>
      <c r="AR1" s="22"/>
      <c r="AS1" s="22">
        <v>43890.375</v>
      </c>
      <c r="AT1" s="22">
        <f t="shared" ref="AT1" si="0">VLOOKUP(AU1,GameDuration,2,FALSE)</f>
        <v>120</v>
      </c>
      <c r="AU1" s="22" t="s">
        <v>6</v>
      </c>
      <c r="AV1" s="22">
        <f t="shared" ref="AV1" si="1">WEEKDAY(AS1)</f>
        <v>7</v>
      </c>
      <c r="AW1" s="22">
        <f t="shared" ref="AW1" si="2">IF(AV1=7,10,0)</f>
        <v>10</v>
      </c>
      <c r="AX1" s="22">
        <f t="shared" ref="AX1" si="3">IF(AV1=1,8,0)</f>
        <v>0</v>
      </c>
      <c r="AY1" s="23">
        <f t="shared" ref="AY1" si="4">IF(AV1=6,5,0)</f>
        <v>0</v>
      </c>
    </row>
    <row r="2" spans="1:51" ht="15" thickBot="1">
      <c r="A2">
        <v>1</v>
      </c>
      <c r="B2" t="s">
        <v>41</v>
      </c>
      <c r="C2">
        <v>1</v>
      </c>
      <c r="D2" t="s">
        <v>128</v>
      </c>
      <c r="F2" s="20">
        <v>43906.75</v>
      </c>
      <c r="G2">
        <v>120</v>
      </c>
      <c r="H2" t="s">
        <v>6</v>
      </c>
      <c r="I2" t="s">
        <v>6</v>
      </c>
      <c r="J2" s="13" t="s">
        <v>102</v>
      </c>
      <c r="K2" s="4">
        <v>18</v>
      </c>
      <c r="L2">
        <v>1</v>
      </c>
      <c r="M2" t="s">
        <v>6</v>
      </c>
      <c r="N2">
        <f>COUNTIF(I:I,M2)</f>
        <v>134</v>
      </c>
      <c r="O2">
        <f>COUNTIF(D:D,"1")+COUNTIF(D:D,"*1*")</f>
        <v>209</v>
      </c>
      <c r="P2">
        <v>100</v>
      </c>
      <c r="R2">
        <v>11</v>
      </c>
      <c r="S2" t="s">
        <v>21</v>
      </c>
    </row>
    <row r="3" spans="1:51" ht="15" thickBot="1">
      <c r="A3">
        <v>2</v>
      </c>
      <c r="B3" t="s">
        <v>38</v>
      </c>
      <c r="C3">
        <v>1</v>
      </c>
      <c r="D3" t="s">
        <v>45</v>
      </c>
      <c r="F3" s="20">
        <v>43906.75</v>
      </c>
      <c r="G3">
        <v>120</v>
      </c>
      <c r="H3" t="s">
        <v>17</v>
      </c>
      <c r="I3" t="s">
        <v>6</v>
      </c>
      <c r="J3" s="13" t="s">
        <v>102</v>
      </c>
      <c r="K3" s="4">
        <v>10</v>
      </c>
      <c r="L3">
        <v>2</v>
      </c>
      <c r="M3" t="s">
        <v>7</v>
      </c>
      <c r="N3">
        <f>COUNTIF(I:I,M3)</f>
        <v>166</v>
      </c>
      <c r="O3">
        <f>COUNTIF(D:D,"2")+COUNTIF(D:D,"*2*")</f>
        <v>297</v>
      </c>
      <c r="P3">
        <v>120</v>
      </c>
      <c r="R3">
        <v>19</v>
      </c>
      <c r="S3" t="s">
        <v>22</v>
      </c>
    </row>
    <row r="4" spans="1:51" ht="15" thickBot="1">
      <c r="A4">
        <v>3</v>
      </c>
      <c r="B4" t="s">
        <v>42</v>
      </c>
      <c r="C4">
        <v>2</v>
      </c>
      <c r="D4" t="s">
        <v>49</v>
      </c>
      <c r="F4" s="20">
        <v>43906.75</v>
      </c>
      <c r="G4">
        <v>120</v>
      </c>
      <c r="H4" t="s">
        <v>7</v>
      </c>
      <c r="I4" t="s">
        <v>7</v>
      </c>
      <c r="J4" s="13" t="s">
        <v>102</v>
      </c>
      <c r="K4" s="4">
        <v>18</v>
      </c>
      <c r="L4">
        <v>3</v>
      </c>
      <c r="M4" t="s">
        <v>10</v>
      </c>
      <c r="N4">
        <f t="shared" ref="N4:N8" si="5">COUNTIF(I:I,M4)</f>
        <v>146</v>
      </c>
      <c r="O4">
        <f>COUNTIF(D:D,"3")+COUNTIF(D:D,"*3*")</f>
        <v>394</v>
      </c>
      <c r="P4">
        <v>120</v>
      </c>
      <c r="R4">
        <v>15</v>
      </c>
      <c r="S4" t="s">
        <v>23</v>
      </c>
    </row>
    <row r="5" spans="1:51" ht="15" thickBot="1">
      <c r="A5" s="10">
        <v>4</v>
      </c>
      <c r="B5" t="s">
        <v>37</v>
      </c>
      <c r="C5">
        <v>2</v>
      </c>
      <c r="D5" t="s">
        <v>45</v>
      </c>
      <c r="F5" s="20">
        <v>43906.75</v>
      </c>
      <c r="G5">
        <v>120</v>
      </c>
      <c r="H5" t="s">
        <v>18</v>
      </c>
      <c r="I5" t="s">
        <v>7</v>
      </c>
      <c r="J5" s="13" t="s">
        <v>102</v>
      </c>
      <c r="K5" s="4">
        <v>10</v>
      </c>
      <c r="L5">
        <v>4</v>
      </c>
      <c r="M5" t="s">
        <v>11</v>
      </c>
      <c r="N5">
        <f t="shared" si="5"/>
        <v>182</v>
      </c>
      <c r="O5">
        <f>COUNTIF(D:D,"4")+COUNTIF(D:D,"*4*")</f>
        <v>312</v>
      </c>
      <c r="P5">
        <v>147</v>
      </c>
      <c r="R5">
        <v>22</v>
      </c>
      <c r="S5" t="s">
        <v>24</v>
      </c>
    </row>
    <row r="6" spans="1:51" ht="15" thickBot="1">
      <c r="A6" s="10">
        <v>5</v>
      </c>
      <c r="B6" t="s">
        <v>39</v>
      </c>
      <c r="C6">
        <v>3</v>
      </c>
      <c r="D6" t="s">
        <v>50</v>
      </c>
      <c r="F6" s="20">
        <v>43906.75</v>
      </c>
      <c r="G6">
        <v>105</v>
      </c>
      <c r="H6" t="s">
        <v>16</v>
      </c>
      <c r="I6" t="s">
        <v>10</v>
      </c>
      <c r="J6" s="13" t="s">
        <v>102</v>
      </c>
      <c r="K6" s="4">
        <v>9</v>
      </c>
      <c r="L6">
        <v>5</v>
      </c>
      <c r="M6" t="s">
        <v>9</v>
      </c>
      <c r="N6">
        <f t="shared" si="5"/>
        <v>151</v>
      </c>
      <c r="O6">
        <f>COUNTIF(D:D,"5")+COUNTIF(D:D,"*5*")</f>
        <v>527</v>
      </c>
      <c r="P6">
        <v>120</v>
      </c>
      <c r="R6">
        <v>16</v>
      </c>
      <c r="S6" t="s">
        <v>25</v>
      </c>
    </row>
    <row r="7" spans="1:51" ht="15" thickBot="1">
      <c r="A7" s="10">
        <v>6</v>
      </c>
      <c r="B7" t="s">
        <v>43</v>
      </c>
      <c r="C7">
        <v>4</v>
      </c>
      <c r="D7" t="s">
        <v>46</v>
      </c>
      <c r="F7" s="20">
        <v>43906.75</v>
      </c>
      <c r="G7">
        <v>105</v>
      </c>
      <c r="H7" t="s">
        <v>8</v>
      </c>
      <c r="I7" t="s">
        <v>11</v>
      </c>
      <c r="J7" s="13" t="s">
        <v>102</v>
      </c>
      <c r="K7" s="4">
        <v>9</v>
      </c>
      <c r="L7">
        <v>6</v>
      </c>
      <c r="M7" t="s">
        <v>12</v>
      </c>
      <c r="N7">
        <f t="shared" si="5"/>
        <v>40</v>
      </c>
      <c r="O7">
        <f>COUNTIF(D:D,"6")+COUNTIF(D:D,"*6*")</f>
        <v>526</v>
      </c>
      <c r="P7">
        <v>36</v>
      </c>
      <c r="R7">
        <v>9</v>
      </c>
      <c r="S7" t="s">
        <v>26</v>
      </c>
    </row>
    <row r="8" spans="1:51" ht="15" thickBot="1">
      <c r="A8" s="10">
        <v>7</v>
      </c>
      <c r="B8" t="s">
        <v>40</v>
      </c>
      <c r="C8">
        <v>4</v>
      </c>
      <c r="D8">
        <v>5</v>
      </c>
      <c r="F8" s="20">
        <v>43906.75</v>
      </c>
      <c r="G8">
        <v>105</v>
      </c>
      <c r="H8" t="s">
        <v>15</v>
      </c>
      <c r="I8" t="s">
        <v>11</v>
      </c>
      <c r="J8" s="13" t="s">
        <v>102</v>
      </c>
      <c r="K8" s="4">
        <v>9</v>
      </c>
      <c r="L8">
        <v>7</v>
      </c>
      <c r="M8" t="s">
        <v>13</v>
      </c>
      <c r="N8">
        <f t="shared" si="5"/>
        <v>9</v>
      </c>
      <c r="O8">
        <f>COUNTIF(D:D,"7")+COUNTIF(D:D,"*7*")</f>
        <v>107</v>
      </c>
      <c r="P8">
        <v>7</v>
      </c>
      <c r="R8">
        <v>4</v>
      </c>
      <c r="S8" t="s">
        <v>27</v>
      </c>
    </row>
    <row r="9" spans="1:51" ht="15" thickBot="1">
      <c r="A9" s="10">
        <v>8</v>
      </c>
      <c r="B9" t="s">
        <v>44</v>
      </c>
      <c r="C9">
        <v>5</v>
      </c>
      <c r="D9" t="s">
        <v>51</v>
      </c>
      <c r="F9" s="20">
        <v>43906.75</v>
      </c>
      <c r="G9">
        <v>90</v>
      </c>
      <c r="H9" t="s">
        <v>14</v>
      </c>
      <c r="I9" t="s">
        <v>9</v>
      </c>
      <c r="J9" s="13" t="s">
        <v>102</v>
      </c>
      <c r="K9" s="4">
        <v>9</v>
      </c>
      <c r="N9">
        <f>SUM(N2:N8)</f>
        <v>828</v>
      </c>
      <c r="O9">
        <f>SUM(O2:O8)</f>
        <v>2372</v>
      </c>
      <c r="P9" s="10">
        <f>SUM(P2:P8)</f>
        <v>650</v>
      </c>
    </row>
    <row r="10" spans="1:51" ht="15" thickBot="1">
      <c r="A10" s="10">
        <v>9</v>
      </c>
      <c r="B10" t="s">
        <v>44</v>
      </c>
      <c r="C10">
        <v>5</v>
      </c>
      <c r="D10" t="s">
        <v>51</v>
      </c>
      <c r="F10" s="20">
        <v>43906.8125</v>
      </c>
      <c r="G10">
        <v>90</v>
      </c>
      <c r="H10" t="s">
        <v>14</v>
      </c>
      <c r="I10" t="s">
        <v>9</v>
      </c>
      <c r="J10" s="13" t="s">
        <v>102</v>
      </c>
      <c r="K10" s="4">
        <v>9</v>
      </c>
      <c r="S10" t="s">
        <v>28</v>
      </c>
    </row>
    <row r="11" spans="1:51" ht="15" thickBot="1">
      <c r="A11" s="10">
        <v>10</v>
      </c>
      <c r="B11" t="s">
        <v>39</v>
      </c>
      <c r="C11">
        <v>3</v>
      </c>
      <c r="D11" t="s">
        <v>50</v>
      </c>
      <c r="F11" s="20">
        <v>43906.822916666664</v>
      </c>
      <c r="G11">
        <v>105</v>
      </c>
      <c r="H11" t="s">
        <v>16</v>
      </c>
      <c r="I11" t="s">
        <v>10</v>
      </c>
      <c r="J11" s="13" t="s">
        <v>102</v>
      </c>
      <c r="K11" s="4">
        <v>10</v>
      </c>
      <c r="S11" t="s">
        <v>29</v>
      </c>
    </row>
    <row r="12" spans="1:51" ht="15" thickBot="1">
      <c r="A12" s="10">
        <v>11</v>
      </c>
      <c r="B12" t="s">
        <v>43</v>
      </c>
      <c r="C12">
        <v>4</v>
      </c>
      <c r="D12" t="s">
        <v>46</v>
      </c>
      <c r="F12" s="20">
        <v>43906.822916666664</v>
      </c>
      <c r="G12">
        <v>105</v>
      </c>
      <c r="H12" t="s">
        <v>8</v>
      </c>
      <c r="I12" t="s">
        <v>11</v>
      </c>
      <c r="J12" s="13" t="s">
        <v>102</v>
      </c>
      <c r="K12" s="4">
        <v>9</v>
      </c>
      <c r="S12" t="s">
        <v>30</v>
      </c>
    </row>
    <row r="13" spans="1:51" ht="15" thickBot="1">
      <c r="A13" s="10">
        <v>12</v>
      </c>
      <c r="B13" t="s">
        <v>40</v>
      </c>
      <c r="C13">
        <v>4</v>
      </c>
      <c r="D13">
        <v>5</v>
      </c>
      <c r="F13" s="20">
        <v>43906.822916666664</v>
      </c>
      <c r="G13">
        <v>105</v>
      </c>
      <c r="H13" t="s">
        <v>15</v>
      </c>
      <c r="I13" t="s">
        <v>11</v>
      </c>
      <c r="J13" s="13" t="s">
        <v>102</v>
      </c>
      <c r="K13" s="4">
        <v>9</v>
      </c>
      <c r="S13" t="s">
        <v>31</v>
      </c>
    </row>
    <row r="14" spans="1:51" ht="15" thickBot="1">
      <c r="A14" s="10">
        <v>13</v>
      </c>
      <c r="B14" t="s">
        <v>41</v>
      </c>
      <c r="C14">
        <v>1</v>
      </c>
      <c r="D14" t="s">
        <v>128</v>
      </c>
      <c r="F14" s="20">
        <v>43906.833333333336</v>
      </c>
      <c r="G14">
        <v>120</v>
      </c>
      <c r="H14" t="s">
        <v>6</v>
      </c>
      <c r="I14" t="s">
        <v>6</v>
      </c>
      <c r="J14" s="13" t="s">
        <v>102</v>
      </c>
      <c r="K14" s="4">
        <v>18</v>
      </c>
      <c r="S14" t="s">
        <v>32</v>
      </c>
    </row>
    <row r="15" spans="1:51" ht="15" thickBot="1">
      <c r="A15" s="10">
        <v>14</v>
      </c>
      <c r="B15" t="s">
        <v>38</v>
      </c>
      <c r="C15">
        <v>1</v>
      </c>
      <c r="D15" t="s">
        <v>45</v>
      </c>
      <c r="F15" s="20">
        <v>43906.833333333336</v>
      </c>
      <c r="G15">
        <v>120</v>
      </c>
      <c r="H15" t="s">
        <v>17</v>
      </c>
      <c r="I15" t="s">
        <v>6</v>
      </c>
      <c r="J15" s="13" t="s">
        <v>102</v>
      </c>
      <c r="K15" s="4">
        <v>10</v>
      </c>
      <c r="S15" t="s">
        <v>33</v>
      </c>
    </row>
    <row r="16" spans="1:51" ht="15" thickBot="1">
      <c r="A16" s="10">
        <v>15</v>
      </c>
      <c r="B16" t="s">
        <v>42</v>
      </c>
      <c r="C16">
        <v>2</v>
      </c>
      <c r="D16" t="s">
        <v>49</v>
      </c>
      <c r="F16" s="20">
        <v>43906.833333333336</v>
      </c>
      <c r="G16">
        <v>120</v>
      </c>
      <c r="H16" t="s">
        <v>7</v>
      </c>
      <c r="I16" t="s">
        <v>7</v>
      </c>
      <c r="J16" s="13" t="s">
        <v>102</v>
      </c>
      <c r="K16" s="4">
        <v>18</v>
      </c>
      <c r="S16" t="s">
        <v>34</v>
      </c>
    </row>
    <row r="17" spans="1:19" ht="15" thickBot="1">
      <c r="A17" s="10">
        <v>16</v>
      </c>
      <c r="B17" t="s">
        <v>37</v>
      </c>
      <c r="C17">
        <v>2</v>
      </c>
      <c r="D17" t="s">
        <v>45</v>
      </c>
      <c r="F17" s="20">
        <v>43906.833333333336</v>
      </c>
      <c r="G17">
        <v>120</v>
      </c>
      <c r="H17" t="s">
        <v>18</v>
      </c>
      <c r="I17" t="s">
        <v>7</v>
      </c>
      <c r="J17" s="13" t="s">
        <v>102</v>
      </c>
      <c r="K17" s="4">
        <v>10</v>
      </c>
      <c r="S17" t="s">
        <v>35</v>
      </c>
    </row>
    <row r="18" spans="1:19" ht="15" thickBot="1">
      <c r="A18" s="10">
        <v>17</v>
      </c>
      <c r="B18" t="s">
        <v>41</v>
      </c>
      <c r="C18">
        <v>1</v>
      </c>
      <c r="D18" t="s">
        <v>128</v>
      </c>
      <c r="F18" s="20">
        <v>43907.75</v>
      </c>
      <c r="G18">
        <v>120</v>
      </c>
      <c r="H18" t="s">
        <v>6</v>
      </c>
      <c r="I18" t="s">
        <v>6</v>
      </c>
      <c r="J18" s="13" t="s">
        <v>102</v>
      </c>
      <c r="K18" s="4">
        <v>10</v>
      </c>
      <c r="S18" t="s">
        <v>36</v>
      </c>
    </row>
    <row r="19" spans="1:19" ht="15" thickBot="1">
      <c r="A19" s="10">
        <v>18</v>
      </c>
      <c r="B19" t="s">
        <v>38</v>
      </c>
      <c r="C19">
        <v>1</v>
      </c>
      <c r="D19" t="s">
        <v>45</v>
      </c>
      <c r="F19" s="20">
        <v>43907.75</v>
      </c>
      <c r="G19">
        <v>120</v>
      </c>
      <c r="H19" t="s">
        <v>17</v>
      </c>
      <c r="I19" t="s">
        <v>6</v>
      </c>
      <c r="J19" s="13" t="s">
        <v>102</v>
      </c>
      <c r="K19" s="4">
        <v>13</v>
      </c>
    </row>
    <row r="20" spans="1:19" ht="15" thickBot="1">
      <c r="A20" s="10">
        <v>19</v>
      </c>
      <c r="B20" t="s">
        <v>42</v>
      </c>
      <c r="C20">
        <v>2</v>
      </c>
      <c r="D20" t="s">
        <v>49</v>
      </c>
      <c r="F20" s="20">
        <v>43907.75</v>
      </c>
      <c r="G20">
        <v>120</v>
      </c>
      <c r="H20" t="s">
        <v>7</v>
      </c>
      <c r="I20" t="s">
        <v>7</v>
      </c>
      <c r="J20" s="13" t="s">
        <v>102</v>
      </c>
      <c r="K20" s="4">
        <v>11</v>
      </c>
    </row>
    <row r="21" spans="1:19" ht="15" thickBot="1">
      <c r="A21" s="10">
        <v>20</v>
      </c>
      <c r="B21" t="s">
        <v>37</v>
      </c>
      <c r="C21">
        <v>2</v>
      </c>
      <c r="D21" t="s">
        <v>45</v>
      </c>
      <c r="F21" s="20">
        <v>43907.75</v>
      </c>
      <c r="G21">
        <v>120</v>
      </c>
      <c r="H21" t="s">
        <v>18</v>
      </c>
      <c r="I21" t="s">
        <v>7</v>
      </c>
      <c r="J21" s="13" t="s">
        <v>102</v>
      </c>
      <c r="K21" s="4">
        <v>14</v>
      </c>
    </row>
    <row r="22" spans="1:19" ht="15" thickBot="1">
      <c r="A22" s="10">
        <v>21</v>
      </c>
      <c r="B22" t="s">
        <v>39</v>
      </c>
      <c r="C22">
        <v>3</v>
      </c>
      <c r="D22" t="s">
        <v>50</v>
      </c>
      <c r="F22" s="20">
        <v>43907.75</v>
      </c>
      <c r="G22">
        <v>105</v>
      </c>
      <c r="H22" t="s">
        <v>16</v>
      </c>
      <c r="I22" t="s">
        <v>10</v>
      </c>
      <c r="J22" s="13" t="s">
        <v>102</v>
      </c>
      <c r="K22" s="4">
        <v>13</v>
      </c>
    </row>
    <row r="23" spans="1:19" ht="15" thickBot="1">
      <c r="A23" s="10">
        <v>22</v>
      </c>
      <c r="B23" t="s">
        <v>43</v>
      </c>
      <c r="C23">
        <v>4</v>
      </c>
      <c r="D23" t="s">
        <v>46</v>
      </c>
      <c r="F23" s="20">
        <v>43907.75</v>
      </c>
      <c r="G23">
        <v>105</v>
      </c>
      <c r="H23" t="s">
        <v>8</v>
      </c>
      <c r="I23" t="s">
        <v>11</v>
      </c>
      <c r="J23" s="13" t="s">
        <v>102</v>
      </c>
      <c r="K23" s="4">
        <v>11</v>
      </c>
    </row>
    <row r="24" spans="1:19" ht="15" thickBot="1">
      <c r="A24" s="10">
        <v>23</v>
      </c>
      <c r="B24" t="s">
        <v>40</v>
      </c>
      <c r="C24">
        <v>4</v>
      </c>
      <c r="D24">
        <v>5</v>
      </c>
      <c r="F24" s="20">
        <v>43907.75</v>
      </c>
      <c r="G24">
        <v>105</v>
      </c>
      <c r="H24" t="s">
        <v>15</v>
      </c>
      <c r="I24" t="s">
        <v>11</v>
      </c>
      <c r="J24" s="13" t="s">
        <v>102</v>
      </c>
      <c r="K24" s="4">
        <v>12</v>
      </c>
    </row>
    <row r="25" spans="1:19" ht="15" thickBot="1">
      <c r="A25" s="10">
        <v>24</v>
      </c>
      <c r="B25" t="s">
        <v>44</v>
      </c>
      <c r="C25">
        <v>5</v>
      </c>
      <c r="D25" t="s">
        <v>51</v>
      </c>
      <c r="F25" s="20">
        <v>43907.75</v>
      </c>
      <c r="G25">
        <v>90</v>
      </c>
      <c r="H25" t="s">
        <v>14</v>
      </c>
      <c r="I25" t="s">
        <v>9</v>
      </c>
      <c r="J25" s="13" t="s">
        <v>102</v>
      </c>
      <c r="K25" s="4">
        <v>12</v>
      </c>
    </row>
    <row r="26" spans="1:19" ht="15" thickBot="1">
      <c r="A26" s="10">
        <v>25</v>
      </c>
      <c r="B26" t="s">
        <v>44</v>
      </c>
      <c r="C26">
        <v>5</v>
      </c>
      <c r="D26" t="s">
        <v>51</v>
      </c>
      <c r="F26" s="20">
        <v>43907.8125</v>
      </c>
      <c r="G26">
        <v>90</v>
      </c>
      <c r="H26" t="s">
        <v>14</v>
      </c>
      <c r="I26" t="s">
        <v>9</v>
      </c>
      <c r="J26" s="13" t="s">
        <v>102</v>
      </c>
      <c r="K26" s="4">
        <v>12</v>
      </c>
    </row>
    <row r="27" spans="1:19" ht="15" thickBot="1">
      <c r="A27" s="10">
        <v>26</v>
      </c>
      <c r="B27" t="s">
        <v>39</v>
      </c>
      <c r="C27">
        <v>3</v>
      </c>
      <c r="D27" t="s">
        <v>50</v>
      </c>
      <c r="F27" s="20">
        <v>43907.822916666664</v>
      </c>
      <c r="G27">
        <v>105</v>
      </c>
      <c r="H27" t="s">
        <v>16</v>
      </c>
      <c r="I27" t="s">
        <v>10</v>
      </c>
      <c r="J27" s="13" t="s">
        <v>102</v>
      </c>
      <c r="K27" s="4">
        <v>13</v>
      </c>
    </row>
    <row r="28" spans="1:19" ht="15" thickBot="1">
      <c r="A28" s="10">
        <v>27</v>
      </c>
      <c r="B28" t="s">
        <v>43</v>
      </c>
      <c r="C28">
        <v>4</v>
      </c>
      <c r="D28" t="s">
        <v>46</v>
      </c>
      <c r="F28" s="20">
        <v>43907.822916666664</v>
      </c>
      <c r="G28">
        <v>105</v>
      </c>
      <c r="H28" t="s">
        <v>8</v>
      </c>
      <c r="I28" t="s">
        <v>11</v>
      </c>
      <c r="J28" s="13" t="s">
        <v>102</v>
      </c>
      <c r="K28" s="4">
        <v>11</v>
      </c>
    </row>
    <row r="29" spans="1:19" ht="15" thickBot="1">
      <c r="A29" s="10">
        <v>28</v>
      </c>
      <c r="B29" t="s">
        <v>40</v>
      </c>
      <c r="C29">
        <v>4</v>
      </c>
      <c r="D29">
        <v>5</v>
      </c>
      <c r="F29" s="20">
        <v>43907.822916666664</v>
      </c>
      <c r="G29">
        <v>105</v>
      </c>
      <c r="H29" t="s">
        <v>15</v>
      </c>
      <c r="I29" t="s">
        <v>11</v>
      </c>
      <c r="J29" s="13" t="s">
        <v>102</v>
      </c>
      <c r="K29" s="4">
        <v>12</v>
      </c>
    </row>
    <row r="30" spans="1:19" ht="15" thickBot="1">
      <c r="A30" s="10">
        <v>29</v>
      </c>
      <c r="B30" t="s">
        <v>41</v>
      </c>
      <c r="C30">
        <v>1</v>
      </c>
      <c r="D30" t="s">
        <v>128</v>
      </c>
      <c r="F30" s="20">
        <v>43907.833333333336</v>
      </c>
      <c r="G30">
        <v>120</v>
      </c>
      <c r="H30" t="s">
        <v>6</v>
      </c>
      <c r="I30" t="s">
        <v>6</v>
      </c>
      <c r="J30" s="13" t="s">
        <v>102</v>
      </c>
      <c r="K30" s="4">
        <v>10</v>
      </c>
    </row>
    <row r="31" spans="1:19" ht="15" thickBot="1">
      <c r="A31" s="10">
        <v>30</v>
      </c>
      <c r="B31" t="s">
        <v>38</v>
      </c>
      <c r="C31">
        <v>1</v>
      </c>
      <c r="D31" t="s">
        <v>45</v>
      </c>
      <c r="F31" s="20">
        <v>43907.833333333336</v>
      </c>
      <c r="G31">
        <v>120</v>
      </c>
      <c r="H31" t="s">
        <v>17</v>
      </c>
      <c r="I31" t="s">
        <v>6</v>
      </c>
      <c r="J31" s="13" t="s">
        <v>102</v>
      </c>
      <c r="K31" s="4">
        <v>14</v>
      </c>
    </row>
    <row r="32" spans="1:19" ht="15" thickBot="1">
      <c r="A32" s="10">
        <v>31</v>
      </c>
      <c r="B32" t="s">
        <v>42</v>
      </c>
      <c r="C32">
        <v>2</v>
      </c>
      <c r="D32" t="s">
        <v>49</v>
      </c>
      <c r="F32" s="20">
        <v>43907.833333333336</v>
      </c>
      <c r="G32">
        <v>120</v>
      </c>
      <c r="H32" t="s">
        <v>7</v>
      </c>
      <c r="I32" t="s">
        <v>7</v>
      </c>
      <c r="J32" s="13" t="s">
        <v>102</v>
      </c>
      <c r="K32" s="4">
        <v>11</v>
      </c>
    </row>
    <row r="33" spans="1:11" ht="15" thickBot="1">
      <c r="A33" s="10">
        <v>32</v>
      </c>
      <c r="B33" t="s">
        <v>37</v>
      </c>
      <c r="C33">
        <v>2</v>
      </c>
      <c r="D33" t="s">
        <v>45</v>
      </c>
      <c r="F33" s="20">
        <v>43907.833333333336</v>
      </c>
      <c r="G33">
        <v>120</v>
      </c>
      <c r="H33" t="s">
        <v>18</v>
      </c>
      <c r="I33" t="s">
        <v>7</v>
      </c>
      <c r="J33" s="13" t="s">
        <v>102</v>
      </c>
      <c r="K33" s="4">
        <v>14</v>
      </c>
    </row>
    <row r="34" spans="1:11" ht="15" thickBot="1">
      <c r="A34" s="10">
        <v>33</v>
      </c>
      <c r="B34" t="s">
        <v>41</v>
      </c>
      <c r="C34">
        <v>1</v>
      </c>
      <c r="D34" t="s">
        <v>128</v>
      </c>
      <c r="F34" s="20">
        <v>43908.75</v>
      </c>
      <c r="G34">
        <v>120</v>
      </c>
      <c r="H34" t="s">
        <v>6</v>
      </c>
      <c r="I34" t="s">
        <v>6</v>
      </c>
      <c r="J34" s="13" t="s">
        <v>103</v>
      </c>
      <c r="K34" s="4">
        <v>14</v>
      </c>
    </row>
    <row r="35" spans="1:11" ht="15" thickBot="1">
      <c r="A35" s="10">
        <v>34</v>
      </c>
      <c r="B35" t="s">
        <v>42</v>
      </c>
      <c r="C35">
        <v>2</v>
      </c>
      <c r="D35" t="s">
        <v>49</v>
      </c>
      <c r="F35" s="20">
        <v>43908.75</v>
      </c>
      <c r="G35">
        <v>120</v>
      </c>
      <c r="H35" t="s">
        <v>7</v>
      </c>
      <c r="I35" t="s">
        <v>7</v>
      </c>
      <c r="J35" s="13" t="s">
        <v>103</v>
      </c>
      <c r="K35" s="4">
        <v>9</v>
      </c>
    </row>
    <row r="36" spans="1:11" ht="15" thickBot="1">
      <c r="A36" s="10">
        <v>35</v>
      </c>
      <c r="B36" t="s">
        <v>38</v>
      </c>
      <c r="C36">
        <v>2</v>
      </c>
      <c r="D36" t="s">
        <v>45</v>
      </c>
      <c r="F36" s="20">
        <v>43908.75</v>
      </c>
      <c r="G36">
        <v>120</v>
      </c>
      <c r="H36" t="s">
        <v>17</v>
      </c>
      <c r="I36" t="s">
        <v>7</v>
      </c>
      <c r="J36" s="13" t="s">
        <v>103</v>
      </c>
      <c r="K36" s="4">
        <v>10</v>
      </c>
    </row>
    <row r="37" spans="1:11" ht="15" thickBot="1">
      <c r="A37" s="10">
        <v>36</v>
      </c>
      <c r="B37" t="s">
        <v>39</v>
      </c>
      <c r="C37">
        <v>3</v>
      </c>
      <c r="D37" t="s">
        <v>50</v>
      </c>
      <c r="F37" s="20">
        <v>43908.75</v>
      </c>
      <c r="G37">
        <v>105</v>
      </c>
      <c r="H37" t="s">
        <v>16</v>
      </c>
      <c r="I37" t="s">
        <v>10</v>
      </c>
      <c r="J37" s="13" t="s">
        <v>103</v>
      </c>
      <c r="K37" s="4">
        <v>9</v>
      </c>
    </row>
    <row r="38" spans="1:11" ht="15" thickBot="1">
      <c r="A38" s="10">
        <v>37</v>
      </c>
      <c r="B38" t="s">
        <v>37</v>
      </c>
      <c r="C38">
        <v>3</v>
      </c>
      <c r="D38" t="s">
        <v>45</v>
      </c>
      <c r="F38" s="20">
        <v>43908.75</v>
      </c>
      <c r="G38">
        <v>105</v>
      </c>
      <c r="H38" t="s">
        <v>18</v>
      </c>
      <c r="I38" t="s">
        <v>10</v>
      </c>
      <c r="J38" s="13" t="s">
        <v>103</v>
      </c>
      <c r="K38" s="4">
        <v>10</v>
      </c>
    </row>
    <row r="39" spans="1:11" ht="15" thickBot="1">
      <c r="A39" s="10">
        <v>38</v>
      </c>
      <c r="B39" t="s">
        <v>43</v>
      </c>
      <c r="C39">
        <v>4</v>
      </c>
      <c r="D39" t="s">
        <v>46</v>
      </c>
      <c r="F39" s="20">
        <v>43908.75</v>
      </c>
      <c r="G39">
        <v>105</v>
      </c>
      <c r="H39" t="s">
        <v>8</v>
      </c>
      <c r="I39" t="s">
        <v>11</v>
      </c>
      <c r="J39" s="13" t="s">
        <v>103</v>
      </c>
      <c r="K39" s="4">
        <v>9</v>
      </c>
    </row>
    <row r="40" spans="1:11" ht="15" thickBot="1">
      <c r="A40" s="10">
        <v>39</v>
      </c>
      <c r="B40" t="s">
        <v>40</v>
      </c>
      <c r="C40">
        <v>4</v>
      </c>
      <c r="D40">
        <v>5</v>
      </c>
      <c r="F40" s="20">
        <v>43908.75</v>
      </c>
      <c r="G40">
        <v>105</v>
      </c>
      <c r="H40" t="s">
        <v>15</v>
      </c>
      <c r="I40" t="s">
        <v>11</v>
      </c>
      <c r="J40" s="13" t="s">
        <v>103</v>
      </c>
      <c r="K40" s="4">
        <v>9</v>
      </c>
    </row>
    <row r="41" spans="1:11" ht="15" thickBot="1">
      <c r="A41" s="10">
        <v>40</v>
      </c>
      <c r="B41" t="s">
        <v>44</v>
      </c>
      <c r="C41">
        <v>5</v>
      </c>
      <c r="D41" t="s">
        <v>51</v>
      </c>
      <c r="F41" s="20">
        <v>43908.75</v>
      </c>
      <c r="G41">
        <v>90</v>
      </c>
      <c r="H41" t="s">
        <v>14</v>
      </c>
      <c r="I41" t="s">
        <v>9</v>
      </c>
      <c r="J41" s="13" t="s">
        <v>103</v>
      </c>
      <c r="K41" s="4">
        <v>9</v>
      </c>
    </row>
    <row r="42" spans="1:11" ht="15" thickBot="1">
      <c r="A42" s="10">
        <v>41</v>
      </c>
      <c r="B42" t="s">
        <v>44</v>
      </c>
      <c r="C42">
        <v>5</v>
      </c>
      <c r="D42" t="s">
        <v>51</v>
      </c>
      <c r="F42" s="20">
        <v>43908.8125</v>
      </c>
      <c r="G42">
        <v>90</v>
      </c>
      <c r="H42" t="s">
        <v>14</v>
      </c>
      <c r="I42" t="s">
        <v>9</v>
      </c>
      <c r="J42" s="13" t="s">
        <v>103</v>
      </c>
      <c r="K42" s="4">
        <v>9</v>
      </c>
    </row>
    <row r="43" spans="1:11" ht="15" thickBot="1">
      <c r="A43" s="10">
        <v>42</v>
      </c>
      <c r="B43" t="s">
        <v>39</v>
      </c>
      <c r="C43">
        <v>3</v>
      </c>
      <c r="D43" t="s">
        <v>50</v>
      </c>
      <c r="F43" s="20">
        <v>43908.822916666664</v>
      </c>
      <c r="G43">
        <v>105</v>
      </c>
      <c r="H43" t="s">
        <v>16</v>
      </c>
      <c r="I43" t="s">
        <v>10</v>
      </c>
      <c r="J43" s="13" t="s">
        <v>103</v>
      </c>
      <c r="K43" s="4">
        <v>10</v>
      </c>
    </row>
    <row r="44" spans="1:11" ht="15" thickBot="1">
      <c r="A44" s="10">
        <v>43</v>
      </c>
      <c r="B44" t="s">
        <v>37</v>
      </c>
      <c r="C44">
        <v>3</v>
      </c>
      <c r="D44" t="s">
        <v>45</v>
      </c>
      <c r="F44" s="20">
        <v>43908.822916666664</v>
      </c>
      <c r="G44">
        <v>105</v>
      </c>
      <c r="H44" t="s">
        <v>18</v>
      </c>
      <c r="I44" t="s">
        <v>10</v>
      </c>
      <c r="J44" s="13" t="s">
        <v>103</v>
      </c>
      <c r="K44" s="4">
        <v>10</v>
      </c>
    </row>
    <row r="45" spans="1:11" ht="15" thickBot="1">
      <c r="A45" s="10">
        <v>44</v>
      </c>
      <c r="B45" t="s">
        <v>43</v>
      </c>
      <c r="C45">
        <v>4</v>
      </c>
      <c r="D45" t="s">
        <v>46</v>
      </c>
      <c r="F45" s="20">
        <v>43908.822916666664</v>
      </c>
      <c r="G45">
        <v>105</v>
      </c>
      <c r="H45" t="s">
        <v>8</v>
      </c>
      <c r="I45" t="s">
        <v>11</v>
      </c>
      <c r="J45" s="13" t="s">
        <v>103</v>
      </c>
      <c r="K45" s="4">
        <v>9</v>
      </c>
    </row>
    <row r="46" spans="1:11" ht="15" thickBot="1">
      <c r="A46" s="10">
        <v>45</v>
      </c>
      <c r="B46" t="s">
        <v>40</v>
      </c>
      <c r="C46">
        <v>4</v>
      </c>
      <c r="D46">
        <v>5</v>
      </c>
      <c r="F46" s="20">
        <v>43908.822916666664</v>
      </c>
      <c r="G46">
        <v>105</v>
      </c>
      <c r="H46" t="s">
        <v>15</v>
      </c>
      <c r="I46" t="s">
        <v>11</v>
      </c>
      <c r="J46" s="13" t="s">
        <v>103</v>
      </c>
      <c r="K46" s="4">
        <v>9</v>
      </c>
    </row>
    <row r="47" spans="1:11" ht="15" thickBot="1">
      <c r="A47" s="10">
        <v>46</v>
      </c>
      <c r="B47" t="s">
        <v>41</v>
      </c>
      <c r="C47">
        <v>1</v>
      </c>
      <c r="D47" t="s">
        <v>128</v>
      </c>
      <c r="F47" s="20">
        <v>43908.833333333336</v>
      </c>
      <c r="G47">
        <v>120</v>
      </c>
      <c r="H47" t="s">
        <v>6</v>
      </c>
      <c r="I47" t="s">
        <v>6</v>
      </c>
      <c r="J47" s="13" t="s">
        <v>103</v>
      </c>
      <c r="K47" s="4">
        <v>14</v>
      </c>
    </row>
    <row r="48" spans="1:11" ht="15" thickBot="1">
      <c r="A48" s="10">
        <v>47</v>
      </c>
      <c r="B48" t="s">
        <v>42</v>
      </c>
      <c r="C48">
        <v>2</v>
      </c>
      <c r="D48" t="s">
        <v>49</v>
      </c>
      <c r="F48" s="20">
        <v>43908.833333333336</v>
      </c>
      <c r="G48">
        <v>120</v>
      </c>
      <c r="H48" t="s">
        <v>7</v>
      </c>
      <c r="I48" t="s">
        <v>7</v>
      </c>
      <c r="J48" s="13" t="s">
        <v>103</v>
      </c>
      <c r="K48" s="4">
        <v>9</v>
      </c>
    </row>
    <row r="49" spans="1:11" ht="15" thickBot="1">
      <c r="A49" s="10">
        <v>48</v>
      </c>
      <c r="B49" t="s">
        <v>38</v>
      </c>
      <c r="C49">
        <v>2</v>
      </c>
      <c r="D49" t="s">
        <v>45</v>
      </c>
      <c r="F49" s="20">
        <v>43908.833333333336</v>
      </c>
      <c r="G49">
        <v>120</v>
      </c>
      <c r="H49" t="s">
        <v>17</v>
      </c>
      <c r="I49" t="s">
        <v>7</v>
      </c>
      <c r="J49" s="13" t="s">
        <v>103</v>
      </c>
      <c r="K49" s="4">
        <v>10</v>
      </c>
    </row>
    <row r="50" spans="1:11" ht="15" thickBot="1">
      <c r="A50" s="10">
        <v>49</v>
      </c>
      <c r="B50" t="s">
        <v>41</v>
      </c>
      <c r="C50">
        <v>1</v>
      </c>
      <c r="D50" t="s">
        <v>128</v>
      </c>
      <c r="F50" s="20">
        <v>43909.75</v>
      </c>
      <c r="G50">
        <v>120</v>
      </c>
      <c r="H50" t="s">
        <v>6</v>
      </c>
      <c r="I50" t="s">
        <v>6</v>
      </c>
      <c r="J50" s="13" t="s">
        <v>137</v>
      </c>
      <c r="K50" s="4">
        <v>11</v>
      </c>
    </row>
    <row r="51" spans="1:11" ht="15" thickBot="1">
      <c r="A51" s="10">
        <v>50</v>
      </c>
      <c r="B51" t="s">
        <v>42</v>
      </c>
      <c r="C51">
        <v>2</v>
      </c>
      <c r="D51" t="s">
        <v>49</v>
      </c>
      <c r="F51" s="20">
        <v>43909.75</v>
      </c>
      <c r="G51">
        <v>120</v>
      </c>
      <c r="H51" t="s">
        <v>7</v>
      </c>
      <c r="I51" t="s">
        <v>7</v>
      </c>
      <c r="J51" s="13" t="s">
        <v>137</v>
      </c>
      <c r="K51" s="4">
        <v>11</v>
      </c>
    </row>
    <row r="52" spans="1:11" ht="15" thickBot="1">
      <c r="A52" s="10">
        <v>51</v>
      </c>
      <c r="B52" t="s">
        <v>38</v>
      </c>
      <c r="C52">
        <v>2</v>
      </c>
      <c r="D52" t="s">
        <v>45</v>
      </c>
      <c r="F52" s="20">
        <v>43909.75</v>
      </c>
      <c r="G52">
        <v>120</v>
      </c>
      <c r="H52" t="s">
        <v>17</v>
      </c>
      <c r="I52" t="s">
        <v>7</v>
      </c>
      <c r="J52" s="13" t="s">
        <v>137</v>
      </c>
      <c r="K52" s="4">
        <v>13</v>
      </c>
    </row>
    <row r="53" spans="1:11" ht="15" thickBot="1">
      <c r="A53" s="10">
        <v>52</v>
      </c>
      <c r="B53" t="s">
        <v>39</v>
      </c>
      <c r="C53">
        <v>3</v>
      </c>
      <c r="D53" t="s">
        <v>50</v>
      </c>
      <c r="F53" s="20">
        <v>43909.75</v>
      </c>
      <c r="G53">
        <v>105</v>
      </c>
      <c r="H53" t="s">
        <v>16</v>
      </c>
      <c r="I53" t="s">
        <v>10</v>
      </c>
      <c r="J53" s="13" t="s">
        <v>137</v>
      </c>
      <c r="K53" s="4">
        <v>13</v>
      </c>
    </row>
    <row r="54" spans="1:11" ht="15" thickBot="1">
      <c r="A54" s="10">
        <v>53</v>
      </c>
      <c r="B54" t="s">
        <v>37</v>
      </c>
      <c r="C54">
        <v>3</v>
      </c>
      <c r="D54" t="s">
        <v>45</v>
      </c>
      <c r="F54" s="20">
        <v>43909.75</v>
      </c>
      <c r="G54">
        <v>105</v>
      </c>
      <c r="H54" t="s">
        <v>18</v>
      </c>
      <c r="I54" t="s">
        <v>10</v>
      </c>
      <c r="J54" s="13" t="s">
        <v>137</v>
      </c>
      <c r="K54" s="4">
        <v>14</v>
      </c>
    </row>
    <row r="55" spans="1:11" ht="15" thickBot="1">
      <c r="A55" s="10">
        <v>54</v>
      </c>
      <c r="B55" t="s">
        <v>43</v>
      </c>
      <c r="C55">
        <v>4</v>
      </c>
      <c r="D55" t="s">
        <v>46</v>
      </c>
      <c r="F55" s="20">
        <v>43909.75</v>
      </c>
      <c r="G55">
        <v>105</v>
      </c>
      <c r="H55" t="s">
        <v>8</v>
      </c>
      <c r="I55" t="s">
        <v>11</v>
      </c>
      <c r="J55" s="13" t="s">
        <v>137</v>
      </c>
      <c r="K55" s="4">
        <v>11</v>
      </c>
    </row>
    <row r="56" spans="1:11" ht="15" thickBot="1">
      <c r="A56" s="10">
        <v>55</v>
      </c>
      <c r="B56" t="s">
        <v>44</v>
      </c>
      <c r="C56">
        <v>5</v>
      </c>
      <c r="D56" t="s">
        <v>51</v>
      </c>
      <c r="F56" s="20">
        <v>43909.75</v>
      </c>
      <c r="G56">
        <v>90</v>
      </c>
      <c r="H56" t="s">
        <v>14</v>
      </c>
      <c r="I56" t="s">
        <v>9</v>
      </c>
      <c r="J56" s="13" t="s">
        <v>137</v>
      </c>
      <c r="K56" s="4">
        <v>11</v>
      </c>
    </row>
    <row r="57" spans="1:11" ht="15" thickBot="1">
      <c r="A57" s="10">
        <v>56</v>
      </c>
      <c r="B57" t="s">
        <v>40</v>
      </c>
      <c r="C57">
        <v>5</v>
      </c>
      <c r="D57">
        <v>5</v>
      </c>
      <c r="F57" s="20">
        <v>43909.75</v>
      </c>
      <c r="G57">
        <v>90</v>
      </c>
      <c r="H57" t="s">
        <v>15</v>
      </c>
      <c r="I57" t="s">
        <v>9</v>
      </c>
      <c r="J57" s="13" t="s">
        <v>137</v>
      </c>
      <c r="K57" s="4">
        <v>12</v>
      </c>
    </row>
    <row r="58" spans="1:11" ht="15" thickBot="1">
      <c r="A58" s="10">
        <v>57</v>
      </c>
      <c r="B58" t="s">
        <v>40</v>
      </c>
      <c r="C58">
        <v>4</v>
      </c>
      <c r="D58">
        <v>5</v>
      </c>
      <c r="F58" s="20">
        <v>43909.8125</v>
      </c>
      <c r="G58">
        <v>105</v>
      </c>
      <c r="H58" t="s">
        <v>15</v>
      </c>
      <c r="I58" t="s">
        <v>11</v>
      </c>
      <c r="J58" s="13" t="s">
        <v>137</v>
      </c>
      <c r="K58" s="4">
        <v>13</v>
      </c>
    </row>
    <row r="59" spans="1:11" ht="15" thickBot="1">
      <c r="A59" s="10">
        <v>58</v>
      </c>
      <c r="B59" t="s">
        <v>44</v>
      </c>
      <c r="C59">
        <v>5</v>
      </c>
      <c r="D59" t="s">
        <v>51</v>
      </c>
      <c r="F59" s="20">
        <v>43909.8125</v>
      </c>
      <c r="G59">
        <v>90</v>
      </c>
      <c r="H59" t="s">
        <v>14</v>
      </c>
      <c r="I59" t="s">
        <v>9</v>
      </c>
      <c r="J59" s="13" t="s">
        <v>137</v>
      </c>
      <c r="K59" s="4">
        <v>12</v>
      </c>
    </row>
    <row r="60" spans="1:11" ht="15" thickBot="1">
      <c r="A60" s="10">
        <v>59</v>
      </c>
      <c r="B60" t="s">
        <v>39</v>
      </c>
      <c r="C60">
        <v>3</v>
      </c>
      <c r="D60" t="s">
        <v>50</v>
      </c>
      <c r="F60" s="20">
        <v>43909.822916666664</v>
      </c>
      <c r="G60">
        <v>105</v>
      </c>
      <c r="H60" t="s">
        <v>16</v>
      </c>
      <c r="I60" t="s">
        <v>10</v>
      </c>
      <c r="J60" s="13" t="s">
        <v>137</v>
      </c>
      <c r="K60" s="4">
        <v>13</v>
      </c>
    </row>
    <row r="61" spans="1:11" ht="15" thickBot="1">
      <c r="A61" s="10">
        <v>60</v>
      </c>
      <c r="B61" t="s">
        <v>37</v>
      </c>
      <c r="C61">
        <v>3</v>
      </c>
      <c r="D61" t="s">
        <v>45</v>
      </c>
      <c r="F61" s="20">
        <v>43909.822916666664</v>
      </c>
      <c r="G61">
        <v>105</v>
      </c>
      <c r="H61" t="s">
        <v>18</v>
      </c>
      <c r="I61" t="s">
        <v>10</v>
      </c>
      <c r="J61" s="13" t="s">
        <v>137</v>
      </c>
      <c r="K61" s="4">
        <v>14</v>
      </c>
    </row>
    <row r="62" spans="1:11" ht="15" thickBot="1">
      <c r="A62" s="10">
        <v>61</v>
      </c>
      <c r="B62" t="s">
        <v>43</v>
      </c>
      <c r="C62">
        <v>4</v>
      </c>
      <c r="D62" t="s">
        <v>46</v>
      </c>
      <c r="F62" s="20">
        <v>43909.822916666664</v>
      </c>
      <c r="G62">
        <v>105</v>
      </c>
      <c r="H62" t="s">
        <v>8</v>
      </c>
      <c r="I62" t="s">
        <v>11</v>
      </c>
      <c r="J62" s="13" t="s">
        <v>137</v>
      </c>
      <c r="K62" s="4">
        <v>11</v>
      </c>
    </row>
    <row r="63" spans="1:11" ht="15" thickBot="1">
      <c r="A63" s="10">
        <v>62</v>
      </c>
      <c r="B63" t="s">
        <v>41</v>
      </c>
      <c r="C63">
        <v>1</v>
      </c>
      <c r="D63" t="s">
        <v>128</v>
      </c>
      <c r="F63" s="20">
        <v>43909.833333333336</v>
      </c>
      <c r="G63">
        <v>120</v>
      </c>
      <c r="H63" t="s">
        <v>6</v>
      </c>
      <c r="I63" t="s">
        <v>6</v>
      </c>
      <c r="J63" s="13" t="s">
        <v>137</v>
      </c>
      <c r="K63" s="4">
        <v>11</v>
      </c>
    </row>
    <row r="64" spans="1:11" ht="15" thickBot="1">
      <c r="A64" s="10">
        <v>63</v>
      </c>
      <c r="B64" t="s">
        <v>42</v>
      </c>
      <c r="C64">
        <v>2</v>
      </c>
      <c r="D64" t="s">
        <v>49</v>
      </c>
      <c r="F64" s="20">
        <v>43909.833333333336</v>
      </c>
      <c r="G64">
        <v>120</v>
      </c>
      <c r="H64" t="s">
        <v>7</v>
      </c>
      <c r="I64" t="s">
        <v>7</v>
      </c>
      <c r="J64" s="13" t="s">
        <v>137</v>
      </c>
      <c r="K64" s="4">
        <v>11</v>
      </c>
    </row>
    <row r="65" spans="1:11" ht="15" thickBot="1">
      <c r="A65" s="10">
        <v>64</v>
      </c>
      <c r="B65" t="s">
        <v>38</v>
      </c>
      <c r="C65">
        <v>2</v>
      </c>
      <c r="D65" t="s">
        <v>45</v>
      </c>
      <c r="F65" s="20">
        <v>43909.833333333336</v>
      </c>
      <c r="G65">
        <v>120</v>
      </c>
      <c r="H65" t="s">
        <v>17</v>
      </c>
      <c r="I65" t="s">
        <v>7</v>
      </c>
      <c r="J65" s="13" t="s">
        <v>137</v>
      </c>
      <c r="K65" s="4">
        <v>14</v>
      </c>
    </row>
    <row r="66" spans="1:11" ht="15" thickBot="1">
      <c r="A66" s="10">
        <v>65</v>
      </c>
      <c r="B66" t="s">
        <v>43</v>
      </c>
      <c r="C66">
        <v>6</v>
      </c>
      <c r="D66" t="s">
        <v>46</v>
      </c>
      <c r="F66" s="20">
        <v>43911.458333333336</v>
      </c>
      <c r="G66">
        <v>60</v>
      </c>
      <c r="H66" t="s">
        <v>8</v>
      </c>
      <c r="I66" t="s">
        <v>12</v>
      </c>
      <c r="J66" s="13" t="s">
        <v>135</v>
      </c>
      <c r="K66" s="4">
        <v>15</v>
      </c>
    </row>
    <row r="67" spans="1:11" ht="15" thickBot="1">
      <c r="A67" s="10">
        <v>66</v>
      </c>
      <c r="B67" t="s">
        <v>40</v>
      </c>
      <c r="C67">
        <v>6</v>
      </c>
      <c r="D67">
        <v>5</v>
      </c>
      <c r="F67" s="20">
        <v>43911.458333333336</v>
      </c>
      <c r="G67">
        <v>60</v>
      </c>
      <c r="H67" t="s">
        <v>15</v>
      </c>
      <c r="I67" t="s">
        <v>12</v>
      </c>
      <c r="J67" s="13" t="s">
        <v>135</v>
      </c>
      <c r="K67" s="4">
        <v>17</v>
      </c>
    </row>
    <row r="68" spans="1:11" ht="15" thickBot="1">
      <c r="A68" s="10">
        <v>67</v>
      </c>
      <c r="B68" t="s">
        <v>39</v>
      </c>
      <c r="C68">
        <v>6</v>
      </c>
      <c r="D68" t="s">
        <v>50</v>
      </c>
      <c r="F68" s="20">
        <v>43911.458333333336</v>
      </c>
      <c r="G68">
        <v>60</v>
      </c>
      <c r="H68" t="s">
        <v>16</v>
      </c>
      <c r="I68" t="s">
        <v>12</v>
      </c>
      <c r="J68" s="13" t="s">
        <v>135</v>
      </c>
      <c r="K68" s="4">
        <v>9</v>
      </c>
    </row>
    <row r="69" spans="1:11" ht="15" thickBot="1">
      <c r="A69" s="10">
        <v>68</v>
      </c>
      <c r="B69" t="s">
        <v>37</v>
      </c>
      <c r="C69">
        <v>6</v>
      </c>
      <c r="D69" t="s">
        <v>45</v>
      </c>
      <c r="F69" s="20">
        <v>43911.458333333336</v>
      </c>
      <c r="G69">
        <v>60</v>
      </c>
      <c r="H69" t="s">
        <v>18</v>
      </c>
      <c r="I69" t="s">
        <v>12</v>
      </c>
      <c r="J69" s="13" t="s">
        <v>135</v>
      </c>
      <c r="K69" s="4">
        <v>9</v>
      </c>
    </row>
    <row r="70" spans="1:11" ht="15" thickBot="1">
      <c r="A70" s="10">
        <v>69</v>
      </c>
      <c r="B70" t="s">
        <v>44</v>
      </c>
      <c r="C70">
        <v>7</v>
      </c>
      <c r="D70" t="s">
        <v>51</v>
      </c>
      <c r="F70" s="20">
        <v>43911.458333333336</v>
      </c>
      <c r="G70">
        <v>60</v>
      </c>
      <c r="H70" t="s">
        <v>14</v>
      </c>
      <c r="I70" t="s">
        <v>13</v>
      </c>
      <c r="J70" s="13" t="s">
        <v>135</v>
      </c>
      <c r="K70" s="4">
        <v>16</v>
      </c>
    </row>
    <row r="71" spans="1:11" ht="15" thickBot="1">
      <c r="A71" s="10">
        <v>70</v>
      </c>
      <c r="B71" t="s">
        <v>43</v>
      </c>
      <c r="C71">
        <v>4</v>
      </c>
      <c r="D71" t="s">
        <v>46</v>
      </c>
      <c r="F71" s="20">
        <v>43911.5</v>
      </c>
      <c r="G71">
        <v>105</v>
      </c>
      <c r="H71" t="s">
        <v>8</v>
      </c>
      <c r="I71" t="s">
        <v>11</v>
      </c>
      <c r="J71" s="13" t="s">
        <v>135</v>
      </c>
      <c r="K71" s="4">
        <v>15</v>
      </c>
    </row>
    <row r="72" spans="1:11" ht="15" thickBot="1">
      <c r="A72" s="10">
        <v>71</v>
      </c>
      <c r="B72" t="s">
        <v>40</v>
      </c>
      <c r="C72">
        <v>4</v>
      </c>
      <c r="D72">
        <v>5</v>
      </c>
      <c r="F72" s="20">
        <v>43911.5</v>
      </c>
      <c r="G72">
        <v>105</v>
      </c>
      <c r="H72" t="s">
        <v>15</v>
      </c>
      <c r="I72" t="s">
        <v>11</v>
      </c>
      <c r="J72" s="13" t="s">
        <v>135</v>
      </c>
      <c r="K72" s="4">
        <v>18</v>
      </c>
    </row>
    <row r="73" spans="1:11" ht="15" thickBot="1">
      <c r="A73" s="10">
        <v>72</v>
      </c>
      <c r="B73" t="s">
        <v>39</v>
      </c>
      <c r="C73">
        <v>5</v>
      </c>
      <c r="D73" t="s">
        <v>50</v>
      </c>
      <c r="F73" s="20">
        <v>43911.5</v>
      </c>
      <c r="G73">
        <v>90</v>
      </c>
      <c r="H73" t="s">
        <v>16</v>
      </c>
      <c r="I73" t="s">
        <v>9</v>
      </c>
      <c r="J73" s="13" t="s">
        <v>135</v>
      </c>
      <c r="K73" s="4">
        <v>9</v>
      </c>
    </row>
    <row r="74" spans="1:11" ht="15" thickBot="1">
      <c r="A74" s="10">
        <v>73</v>
      </c>
      <c r="B74" t="s">
        <v>37</v>
      </c>
      <c r="C74">
        <v>5</v>
      </c>
      <c r="D74" t="s">
        <v>45</v>
      </c>
      <c r="F74" s="20">
        <v>43911.5</v>
      </c>
      <c r="G74">
        <v>90</v>
      </c>
      <c r="H74" t="s">
        <v>18</v>
      </c>
      <c r="I74" t="s">
        <v>9</v>
      </c>
      <c r="J74" s="13" t="s">
        <v>135</v>
      </c>
      <c r="K74" s="4">
        <v>9</v>
      </c>
    </row>
    <row r="75" spans="1:11" ht="15" thickBot="1">
      <c r="A75" s="10">
        <v>74</v>
      </c>
      <c r="B75" t="s">
        <v>44</v>
      </c>
      <c r="C75">
        <v>5</v>
      </c>
      <c r="D75" t="s">
        <v>51</v>
      </c>
      <c r="F75" s="20">
        <v>43911.520833333336</v>
      </c>
      <c r="G75">
        <v>90</v>
      </c>
      <c r="H75" t="s">
        <v>14</v>
      </c>
      <c r="I75" t="s">
        <v>9</v>
      </c>
      <c r="J75" s="13" t="s">
        <v>135</v>
      </c>
      <c r="K75" s="4">
        <v>16</v>
      </c>
    </row>
    <row r="76" spans="1:11" ht="15" thickBot="1">
      <c r="A76" s="10">
        <v>75</v>
      </c>
      <c r="B76" t="s">
        <v>39</v>
      </c>
      <c r="C76">
        <v>5</v>
      </c>
      <c r="D76" t="s">
        <v>50</v>
      </c>
      <c r="F76" s="20">
        <v>43911.5625</v>
      </c>
      <c r="G76">
        <v>90</v>
      </c>
      <c r="H76" t="s">
        <v>16</v>
      </c>
      <c r="I76" t="s">
        <v>9</v>
      </c>
      <c r="J76" s="13" t="s">
        <v>135</v>
      </c>
      <c r="K76" s="4">
        <v>9</v>
      </c>
    </row>
    <row r="77" spans="1:11" ht="15" thickBot="1">
      <c r="A77" s="10">
        <v>76</v>
      </c>
      <c r="B77" t="s">
        <v>37</v>
      </c>
      <c r="C77">
        <v>5</v>
      </c>
      <c r="D77" t="s">
        <v>45</v>
      </c>
      <c r="F77" s="20">
        <v>43911.5625</v>
      </c>
      <c r="G77">
        <v>90</v>
      </c>
      <c r="H77" t="s">
        <v>18</v>
      </c>
      <c r="I77" t="s">
        <v>9</v>
      </c>
      <c r="J77" s="13" t="s">
        <v>135</v>
      </c>
      <c r="K77" s="4">
        <v>9</v>
      </c>
    </row>
    <row r="78" spans="1:11" ht="15" thickBot="1">
      <c r="A78" s="10">
        <v>77</v>
      </c>
      <c r="B78" t="s">
        <v>43</v>
      </c>
      <c r="C78">
        <v>4</v>
      </c>
      <c r="D78" t="s">
        <v>46</v>
      </c>
      <c r="F78" s="20">
        <v>43911.572916666664</v>
      </c>
      <c r="G78">
        <v>105</v>
      </c>
      <c r="H78" t="s">
        <v>8</v>
      </c>
      <c r="I78" t="s">
        <v>11</v>
      </c>
      <c r="J78" s="13" t="s">
        <v>135</v>
      </c>
      <c r="K78" s="4">
        <v>15</v>
      </c>
    </row>
    <row r="79" spans="1:11" ht="15" thickBot="1">
      <c r="A79" s="10">
        <v>78</v>
      </c>
      <c r="B79" t="s">
        <v>40</v>
      </c>
      <c r="C79">
        <v>4</v>
      </c>
      <c r="D79">
        <v>5</v>
      </c>
      <c r="F79" s="20">
        <v>43911.572916666664</v>
      </c>
      <c r="G79">
        <v>105</v>
      </c>
      <c r="H79" t="s">
        <v>15</v>
      </c>
      <c r="I79" t="s">
        <v>11</v>
      </c>
      <c r="J79" s="13" t="s">
        <v>135</v>
      </c>
      <c r="K79" s="4">
        <v>20</v>
      </c>
    </row>
    <row r="80" spans="1:11" ht="15" thickBot="1">
      <c r="A80" s="10">
        <v>79</v>
      </c>
      <c r="B80" t="s">
        <v>44</v>
      </c>
      <c r="C80">
        <v>5</v>
      </c>
      <c r="D80" t="s">
        <v>51</v>
      </c>
      <c r="F80" s="20">
        <v>43911.583333333336</v>
      </c>
      <c r="G80">
        <v>90</v>
      </c>
      <c r="H80" t="s">
        <v>14</v>
      </c>
      <c r="I80" t="s">
        <v>9</v>
      </c>
      <c r="J80" s="13" t="s">
        <v>135</v>
      </c>
      <c r="K80" s="4">
        <v>17</v>
      </c>
    </row>
    <row r="81" spans="1:11" ht="15" thickBot="1">
      <c r="A81" s="10">
        <v>80</v>
      </c>
      <c r="B81" t="s">
        <v>39</v>
      </c>
      <c r="C81">
        <v>4</v>
      </c>
      <c r="D81" t="s">
        <v>50</v>
      </c>
      <c r="F81" s="20">
        <v>43911.625</v>
      </c>
      <c r="G81">
        <v>105</v>
      </c>
      <c r="H81" t="s">
        <v>16</v>
      </c>
      <c r="I81" t="s">
        <v>11</v>
      </c>
      <c r="J81" s="13" t="s">
        <v>135</v>
      </c>
      <c r="K81" s="4">
        <v>9</v>
      </c>
    </row>
    <row r="82" spans="1:11" ht="15" thickBot="1">
      <c r="A82" s="10">
        <v>81</v>
      </c>
      <c r="B82" t="s">
        <v>37</v>
      </c>
      <c r="C82">
        <v>4</v>
      </c>
      <c r="D82" t="s">
        <v>45</v>
      </c>
      <c r="F82" s="20">
        <v>43911.625</v>
      </c>
      <c r="G82">
        <v>105</v>
      </c>
      <c r="H82" t="s">
        <v>18</v>
      </c>
      <c r="I82" t="s">
        <v>11</v>
      </c>
      <c r="J82" s="13" t="s">
        <v>135</v>
      </c>
      <c r="K82" s="4">
        <v>9</v>
      </c>
    </row>
    <row r="83" spans="1:11" ht="15" thickBot="1">
      <c r="A83" s="10">
        <v>82</v>
      </c>
      <c r="B83" t="s">
        <v>43</v>
      </c>
      <c r="C83">
        <v>4</v>
      </c>
      <c r="D83" t="s">
        <v>46</v>
      </c>
      <c r="F83" s="20">
        <v>43911.645833333336</v>
      </c>
      <c r="G83">
        <v>105</v>
      </c>
      <c r="H83" t="s">
        <v>8</v>
      </c>
      <c r="I83" t="s">
        <v>11</v>
      </c>
      <c r="J83" s="13" t="s">
        <v>135</v>
      </c>
      <c r="K83" s="4">
        <v>15</v>
      </c>
    </row>
    <row r="84" spans="1:11" ht="15" thickBot="1">
      <c r="A84" s="10">
        <v>83</v>
      </c>
      <c r="B84" t="s">
        <v>40</v>
      </c>
      <c r="C84">
        <v>4</v>
      </c>
      <c r="D84">
        <v>5</v>
      </c>
      <c r="F84" s="20">
        <v>43911.645833333336</v>
      </c>
      <c r="G84">
        <v>105</v>
      </c>
      <c r="H84" t="s">
        <v>15</v>
      </c>
      <c r="I84" t="s">
        <v>11</v>
      </c>
      <c r="J84" s="13" t="s">
        <v>135</v>
      </c>
      <c r="K84" s="4">
        <v>22</v>
      </c>
    </row>
    <row r="85" spans="1:11" ht="15" thickBot="1">
      <c r="A85" s="10">
        <v>84</v>
      </c>
      <c r="B85" t="s">
        <v>44</v>
      </c>
      <c r="C85">
        <v>5</v>
      </c>
      <c r="D85" t="s">
        <v>51</v>
      </c>
      <c r="F85" s="20">
        <v>43911.645833333336</v>
      </c>
      <c r="G85">
        <v>90</v>
      </c>
      <c r="H85" t="s">
        <v>14</v>
      </c>
      <c r="I85" t="s">
        <v>9</v>
      </c>
      <c r="J85" s="13" t="s">
        <v>135</v>
      </c>
      <c r="K85" s="4">
        <v>17</v>
      </c>
    </row>
    <row r="86" spans="1:11" ht="15" thickBot="1">
      <c r="A86" s="10">
        <v>85</v>
      </c>
      <c r="B86" t="s">
        <v>41</v>
      </c>
      <c r="C86">
        <v>1</v>
      </c>
      <c r="D86" t="s">
        <v>128</v>
      </c>
      <c r="F86" s="20">
        <v>43913.75</v>
      </c>
      <c r="G86">
        <v>120</v>
      </c>
      <c r="H86" t="s">
        <v>6</v>
      </c>
      <c r="I86" t="s">
        <v>6</v>
      </c>
      <c r="J86" s="13" t="s">
        <v>137</v>
      </c>
      <c r="K86" s="4">
        <v>9</v>
      </c>
    </row>
    <row r="87" spans="1:11" ht="15" thickBot="1">
      <c r="A87" s="10">
        <v>86</v>
      </c>
      <c r="B87" t="s">
        <v>42</v>
      </c>
      <c r="C87">
        <v>2</v>
      </c>
      <c r="D87" t="s">
        <v>49</v>
      </c>
      <c r="F87" s="20">
        <v>43913.75</v>
      </c>
      <c r="G87">
        <v>120</v>
      </c>
      <c r="H87" t="s">
        <v>7</v>
      </c>
      <c r="I87" t="s">
        <v>7</v>
      </c>
      <c r="J87" s="13" t="s">
        <v>137</v>
      </c>
      <c r="K87" s="4">
        <v>10</v>
      </c>
    </row>
    <row r="88" spans="1:11" ht="15" thickBot="1">
      <c r="A88" s="10">
        <v>87</v>
      </c>
      <c r="B88" t="s">
        <v>38</v>
      </c>
      <c r="C88">
        <v>2</v>
      </c>
      <c r="D88" t="s">
        <v>45</v>
      </c>
      <c r="F88" s="20">
        <v>43913.75</v>
      </c>
      <c r="G88">
        <v>120</v>
      </c>
      <c r="H88" t="s">
        <v>17</v>
      </c>
      <c r="I88" t="s">
        <v>7</v>
      </c>
      <c r="J88" s="13" t="s">
        <v>137</v>
      </c>
      <c r="K88" s="4">
        <v>11</v>
      </c>
    </row>
    <row r="89" spans="1:11" ht="15" thickBot="1">
      <c r="A89" s="10">
        <v>88</v>
      </c>
      <c r="B89" t="s">
        <v>39</v>
      </c>
      <c r="C89">
        <v>3</v>
      </c>
      <c r="D89" t="s">
        <v>50</v>
      </c>
      <c r="F89" s="20">
        <v>43913.75</v>
      </c>
      <c r="G89">
        <v>105</v>
      </c>
      <c r="H89" t="s">
        <v>16</v>
      </c>
      <c r="I89" t="s">
        <v>10</v>
      </c>
      <c r="J89" s="13" t="s">
        <v>137</v>
      </c>
      <c r="K89" s="4">
        <v>11</v>
      </c>
    </row>
    <row r="90" spans="1:11" ht="15" thickBot="1">
      <c r="A90" s="10">
        <v>89</v>
      </c>
      <c r="B90" t="s">
        <v>37</v>
      </c>
      <c r="C90">
        <v>3</v>
      </c>
      <c r="D90" t="s">
        <v>45</v>
      </c>
      <c r="F90" s="20">
        <v>43913.75</v>
      </c>
      <c r="G90">
        <v>105</v>
      </c>
      <c r="H90" t="s">
        <v>18</v>
      </c>
      <c r="I90" t="s">
        <v>10</v>
      </c>
      <c r="J90" s="13" t="s">
        <v>137</v>
      </c>
      <c r="K90" s="4">
        <v>12</v>
      </c>
    </row>
    <row r="91" spans="1:11" ht="15" thickBot="1">
      <c r="A91" s="10">
        <v>90</v>
      </c>
      <c r="B91" t="s">
        <v>43</v>
      </c>
      <c r="C91">
        <v>4</v>
      </c>
      <c r="D91" t="s">
        <v>46</v>
      </c>
      <c r="F91" s="20">
        <v>43913.75</v>
      </c>
      <c r="G91">
        <v>105</v>
      </c>
      <c r="H91" t="s">
        <v>8</v>
      </c>
      <c r="I91" t="s">
        <v>11</v>
      </c>
      <c r="J91" s="13" t="s">
        <v>137</v>
      </c>
      <c r="K91" s="4">
        <v>10</v>
      </c>
    </row>
    <row r="92" spans="1:11" ht="15" thickBot="1">
      <c r="A92" s="10">
        <v>91</v>
      </c>
      <c r="B92" t="s">
        <v>44</v>
      </c>
      <c r="C92">
        <v>5</v>
      </c>
      <c r="D92" t="s">
        <v>51</v>
      </c>
      <c r="F92" s="20">
        <v>43913.75</v>
      </c>
      <c r="G92">
        <v>90</v>
      </c>
      <c r="H92" t="s">
        <v>14</v>
      </c>
      <c r="I92" t="s">
        <v>9</v>
      </c>
      <c r="J92" s="13" t="s">
        <v>137</v>
      </c>
      <c r="K92" s="4">
        <v>11</v>
      </c>
    </row>
    <row r="93" spans="1:11" ht="15" thickBot="1">
      <c r="A93" s="10">
        <v>92</v>
      </c>
      <c r="B93" t="s">
        <v>40</v>
      </c>
      <c r="C93">
        <v>5</v>
      </c>
      <c r="D93">
        <v>5</v>
      </c>
      <c r="F93" s="20">
        <v>43913.75</v>
      </c>
      <c r="G93">
        <v>90</v>
      </c>
      <c r="H93" t="s">
        <v>15</v>
      </c>
      <c r="I93" t="s">
        <v>9</v>
      </c>
      <c r="J93" s="13" t="s">
        <v>137</v>
      </c>
      <c r="K93" s="4">
        <v>11</v>
      </c>
    </row>
    <row r="94" spans="1:11" ht="15" thickBot="1">
      <c r="A94" s="10">
        <v>93</v>
      </c>
      <c r="B94" t="s">
        <v>40</v>
      </c>
      <c r="C94">
        <v>4</v>
      </c>
      <c r="D94">
        <v>5</v>
      </c>
      <c r="F94" s="20">
        <v>43913.8125</v>
      </c>
      <c r="G94">
        <v>105</v>
      </c>
      <c r="H94" t="s">
        <v>15</v>
      </c>
      <c r="I94" t="s">
        <v>11</v>
      </c>
      <c r="J94" s="13" t="s">
        <v>137</v>
      </c>
      <c r="K94" s="4">
        <v>11</v>
      </c>
    </row>
    <row r="95" spans="1:11" ht="15" thickBot="1">
      <c r="A95" s="10">
        <v>94</v>
      </c>
      <c r="B95" t="s">
        <v>44</v>
      </c>
      <c r="C95">
        <v>5</v>
      </c>
      <c r="D95" t="s">
        <v>51</v>
      </c>
      <c r="F95" s="20">
        <v>43913.8125</v>
      </c>
      <c r="G95">
        <v>90</v>
      </c>
      <c r="H95" t="s">
        <v>14</v>
      </c>
      <c r="I95" t="s">
        <v>9</v>
      </c>
      <c r="J95" s="13" t="s">
        <v>137</v>
      </c>
      <c r="K95" s="4">
        <v>11</v>
      </c>
    </row>
    <row r="96" spans="1:11" ht="15" thickBot="1">
      <c r="A96" s="10">
        <v>95</v>
      </c>
      <c r="B96" t="s">
        <v>39</v>
      </c>
      <c r="C96">
        <v>3</v>
      </c>
      <c r="D96" t="s">
        <v>50</v>
      </c>
      <c r="F96" s="20">
        <v>43913.822916666664</v>
      </c>
      <c r="G96">
        <v>105</v>
      </c>
      <c r="H96" t="s">
        <v>16</v>
      </c>
      <c r="I96" t="s">
        <v>10</v>
      </c>
      <c r="J96" s="13" t="s">
        <v>137</v>
      </c>
      <c r="K96" s="4">
        <v>11</v>
      </c>
    </row>
    <row r="97" spans="1:11" ht="15" thickBot="1">
      <c r="A97" s="10">
        <v>96</v>
      </c>
      <c r="B97" t="s">
        <v>37</v>
      </c>
      <c r="C97">
        <v>3</v>
      </c>
      <c r="D97" t="s">
        <v>45</v>
      </c>
      <c r="F97" s="20">
        <v>43913.822916666664</v>
      </c>
      <c r="G97">
        <v>105</v>
      </c>
      <c r="H97" t="s">
        <v>18</v>
      </c>
      <c r="I97" t="s">
        <v>10</v>
      </c>
      <c r="J97" s="13" t="s">
        <v>137</v>
      </c>
      <c r="K97" s="4">
        <v>13</v>
      </c>
    </row>
    <row r="98" spans="1:11" ht="15" thickBot="1">
      <c r="A98" s="10">
        <v>97</v>
      </c>
      <c r="B98" t="s">
        <v>43</v>
      </c>
      <c r="C98">
        <v>4</v>
      </c>
      <c r="D98" t="s">
        <v>46</v>
      </c>
      <c r="F98" s="20">
        <v>43913.822916666664</v>
      </c>
      <c r="G98">
        <v>105</v>
      </c>
      <c r="H98" t="s">
        <v>8</v>
      </c>
      <c r="I98" t="s">
        <v>11</v>
      </c>
      <c r="J98" s="13" t="s">
        <v>137</v>
      </c>
      <c r="K98" s="4">
        <v>10</v>
      </c>
    </row>
    <row r="99" spans="1:11" ht="15" thickBot="1">
      <c r="A99" s="10">
        <v>98</v>
      </c>
      <c r="B99" t="s">
        <v>41</v>
      </c>
      <c r="C99">
        <v>1</v>
      </c>
      <c r="D99" t="s">
        <v>128</v>
      </c>
      <c r="F99" s="20">
        <v>43913.833333333336</v>
      </c>
      <c r="G99">
        <v>120</v>
      </c>
      <c r="H99" t="s">
        <v>6</v>
      </c>
      <c r="I99" t="s">
        <v>6</v>
      </c>
      <c r="J99" s="13" t="s">
        <v>137</v>
      </c>
      <c r="K99" s="4">
        <v>10</v>
      </c>
    </row>
    <row r="100" spans="1:11" ht="15" thickBot="1">
      <c r="A100" s="10">
        <v>99</v>
      </c>
      <c r="B100" t="s">
        <v>42</v>
      </c>
      <c r="C100">
        <v>2</v>
      </c>
      <c r="D100" t="s">
        <v>49</v>
      </c>
      <c r="F100" s="20">
        <v>43913.833333333336</v>
      </c>
      <c r="G100">
        <v>120</v>
      </c>
      <c r="H100" t="s">
        <v>7</v>
      </c>
      <c r="I100" t="s">
        <v>7</v>
      </c>
      <c r="J100" s="13" t="s">
        <v>137</v>
      </c>
      <c r="K100" s="4">
        <v>10</v>
      </c>
    </row>
    <row r="101" spans="1:11" ht="15" thickBot="1">
      <c r="A101" s="10">
        <v>100</v>
      </c>
      <c r="B101" t="s">
        <v>38</v>
      </c>
      <c r="C101">
        <v>2</v>
      </c>
      <c r="D101" t="s">
        <v>45</v>
      </c>
      <c r="F101" s="20">
        <v>43913.833333333336</v>
      </c>
      <c r="G101">
        <v>120</v>
      </c>
      <c r="H101" t="s">
        <v>17</v>
      </c>
      <c r="I101" t="s">
        <v>7</v>
      </c>
      <c r="J101" s="13" t="s">
        <v>137</v>
      </c>
      <c r="K101" s="4">
        <v>12</v>
      </c>
    </row>
    <row r="102" spans="1:11" ht="15" thickBot="1">
      <c r="A102" s="10">
        <v>101</v>
      </c>
      <c r="B102" t="s">
        <v>41</v>
      </c>
      <c r="C102">
        <v>1</v>
      </c>
      <c r="D102" t="s">
        <v>128</v>
      </c>
      <c r="F102" s="20">
        <v>43914.75</v>
      </c>
      <c r="G102">
        <v>120</v>
      </c>
      <c r="H102" t="s">
        <v>6</v>
      </c>
      <c r="I102" t="s">
        <v>6</v>
      </c>
      <c r="J102" s="13" t="s">
        <v>137</v>
      </c>
      <c r="K102" s="4">
        <v>13</v>
      </c>
    </row>
    <row r="103" spans="1:11" ht="15" thickBot="1">
      <c r="A103" s="10">
        <v>102</v>
      </c>
      <c r="B103" t="s">
        <v>42</v>
      </c>
      <c r="C103">
        <v>2</v>
      </c>
      <c r="D103" t="s">
        <v>49</v>
      </c>
      <c r="F103" s="20">
        <v>43914.75</v>
      </c>
      <c r="G103">
        <v>120</v>
      </c>
      <c r="H103" t="s">
        <v>7</v>
      </c>
      <c r="I103" t="s">
        <v>7</v>
      </c>
      <c r="J103" s="13" t="s">
        <v>137</v>
      </c>
      <c r="K103" s="4">
        <v>13</v>
      </c>
    </row>
    <row r="104" spans="1:11" ht="15" thickBot="1">
      <c r="A104" s="10">
        <v>103</v>
      </c>
      <c r="B104" t="s">
        <v>38</v>
      </c>
      <c r="C104">
        <v>2</v>
      </c>
      <c r="D104" t="s">
        <v>45</v>
      </c>
      <c r="F104" s="20">
        <v>43914.75</v>
      </c>
      <c r="G104">
        <v>120</v>
      </c>
      <c r="H104" t="s">
        <v>17</v>
      </c>
      <c r="I104" t="s">
        <v>7</v>
      </c>
      <c r="J104" s="13" t="s">
        <v>137</v>
      </c>
      <c r="K104" s="4">
        <v>17</v>
      </c>
    </row>
    <row r="105" spans="1:11" ht="15" thickBot="1">
      <c r="A105" s="10">
        <v>104</v>
      </c>
      <c r="B105" t="s">
        <v>39</v>
      </c>
      <c r="C105">
        <v>3</v>
      </c>
      <c r="D105" t="s">
        <v>50</v>
      </c>
      <c r="F105" s="20">
        <v>43914.75</v>
      </c>
      <c r="G105">
        <v>105</v>
      </c>
      <c r="H105" t="s">
        <v>16</v>
      </c>
      <c r="I105" t="s">
        <v>10</v>
      </c>
      <c r="J105" s="13" t="s">
        <v>137</v>
      </c>
      <c r="K105" s="4">
        <v>16</v>
      </c>
    </row>
    <row r="106" spans="1:11" ht="15" thickBot="1">
      <c r="A106" s="10">
        <v>105</v>
      </c>
      <c r="B106" t="s">
        <v>37</v>
      </c>
      <c r="C106">
        <v>3</v>
      </c>
      <c r="D106" t="s">
        <v>45</v>
      </c>
      <c r="F106" s="20">
        <v>43914.75</v>
      </c>
      <c r="G106">
        <v>105</v>
      </c>
      <c r="H106" t="s">
        <v>18</v>
      </c>
      <c r="I106" t="s">
        <v>10</v>
      </c>
      <c r="J106" s="13" t="s">
        <v>137</v>
      </c>
      <c r="K106" s="4">
        <v>17</v>
      </c>
    </row>
    <row r="107" spans="1:11" ht="15" thickBot="1">
      <c r="A107" s="10">
        <v>106</v>
      </c>
      <c r="B107" t="s">
        <v>43</v>
      </c>
      <c r="C107">
        <v>4</v>
      </c>
      <c r="D107" t="s">
        <v>46</v>
      </c>
      <c r="F107" s="20">
        <v>43914.75</v>
      </c>
      <c r="G107">
        <v>105</v>
      </c>
      <c r="H107" t="s">
        <v>8</v>
      </c>
      <c r="I107" t="s">
        <v>11</v>
      </c>
      <c r="J107" s="13" t="s">
        <v>137</v>
      </c>
      <c r="K107" s="4">
        <v>14</v>
      </c>
    </row>
    <row r="108" spans="1:11" ht="15" thickBot="1">
      <c r="A108" s="10">
        <v>107</v>
      </c>
      <c r="B108" t="s">
        <v>44</v>
      </c>
      <c r="C108">
        <v>5</v>
      </c>
      <c r="D108" t="s">
        <v>51</v>
      </c>
      <c r="F108" s="20">
        <v>43914.75</v>
      </c>
      <c r="G108">
        <v>90</v>
      </c>
      <c r="H108" t="s">
        <v>14</v>
      </c>
      <c r="I108" t="s">
        <v>9</v>
      </c>
      <c r="J108" s="13" t="s">
        <v>137</v>
      </c>
      <c r="K108" s="4">
        <v>15</v>
      </c>
    </row>
    <row r="109" spans="1:11" ht="15" thickBot="1">
      <c r="A109" s="10">
        <v>108</v>
      </c>
      <c r="B109" t="s">
        <v>40</v>
      </c>
      <c r="C109">
        <v>5</v>
      </c>
      <c r="D109">
        <v>5</v>
      </c>
      <c r="F109" s="20">
        <v>43914.75</v>
      </c>
      <c r="G109">
        <v>90</v>
      </c>
      <c r="H109" t="s">
        <v>15</v>
      </c>
      <c r="I109" t="s">
        <v>9</v>
      </c>
      <c r="J109" s="13" t="s">
        <v>137</v>
      </c>
      <c r="K109" s="4">
        <v>15</v>
      </c>
    </row>
    <row r="110" spans="1:11" ht="15" thickBot="1">
      <c r="A110" s="10">
        <v>109</v>
      </c>
      <c r="B110" t="s">
        <v>40</v>
      </c>
      <c r="C110">
        <v>4</v>
      </c>
      <c r="D110">
        <v>5</v>
      </c>
      <c r="F110" s="20">
        <v>43914.8125</v>
      </c>
      <c r="G110">
        <v>105</v>
      </c>
      <c r="H110" t="s">
        <v>15</v>
      </c>
      <c r="I110" t="s">
        <v>11</v>
      </c>
      <c r="J110" s="13" t="s">
        <v>137</v>
      </c>
      <c r="K110" s="4">
        <v>15</v>
      </c>
    </row>
    <row r="111" spans="1:11" ht="15" thickBot="1">
      <c r="A111" s="10">
        <v>110</v>
      </c>
      <c r="B111" t="s">
        <v>44</v>
      </c>
      <c r="C111">
        <v>5</v>
      </c>
      <c r="D111" t="s">
        <v>51</v>
      </c>
      <c r="F111" s="20">
        <v>43914.8125</v>
      </c>
      <c r="G111">
        <v>90</v>
      </c>
      <c r="H111" t="s">
        <v>14</v>
      </c>
      <c r="I111" t="s">
        <v>9</v>
      </c>
      <c r="J111" s="13" t="s">
        <v>137</v>
      </c>
      <c r="K111" s="4">
        <v>15</v>
      </c>
    </row>
    <row r="112" spans="1:11" ht="15" thickBot="1">
      <c r="A112" s="10">
        <v>111</v>
      </c>
      <c r="B112" t="s">
        <v>39</v>
      </c>
      <c r="C112">
        <v>3</v>
      </c>
      <c r="D112" t="s">
        <v>50</v>
      </c>
      <c r="F112" s="20">
        <v>43914.822916666664</v>
      </c>
      <c r="G112">
        <v>105</v>
      </c>
      <c r="H112" t="s">
        <v>16</v>
      </c>
      <c r="I112" t="s">
        <v>10</v>
      </c>
      <c r="J112" s="13" t="s">
        <v>137</v>
      </c>
      <c r="K112" s="4">
        <v>16</v>
      </c>
    </row>
    <row r="113" spans="1:11" ht="15" thickBot="1">
      <c r="A113" s="10">
        <v>112</v>
      </c>
      <c r="B113" t="s">
        <v>37</v>
      </c>
      <c r="C113">
        <v>3</v>
      </c>
      <c r="D113" t="s">
        <v>45</v>
      </c>
      <c r="F113" s="20">
        <v>43914.822916666664</v>
      </c>
      <c r="G113">
        <v>105</v>
      </c>
      <c r="H113" t="s">
        <v>18</v>
      </c>
      <c r="I113" t="s">
        <v>10</v>
      </c>
      <c r="J113" s="13" t="s">
        <v>137</v>
      </c>
      <c r="K113" s="4">
        <v>18</v>
      </c>
    </row>
    <row r="114" spans="1:11" ht="15" thickBot="1">
      <c r="A114" s="10">
        <v>113</v>
      </c>
      <c r="B114" t="s">
        <v>43</v>
      </c>
      <c r="C114">
        <v>4</v>
      </c>
      <c r="D114" t="s">
        <v>46</v>
      </c>
      <c r="F114" s="20">
        <v>43914.822916666664</v>
      </c>
      <c r="G114">
        <v>105</v>
      </c>
      <c r="H114" t="s">
        <v>8</v>
      </c>
      <c r="I114" t="s">
        <v>11</v>
      </c>
      <c r="J114" s="13" t="s">
        <v>137</v>
      </c>
      <c r="K114" s="4">
        <v>14</v>
      </c>
    </row>
    <row r="115" spans="1:11" ht="15" thickBot="1">
      <c r="A115" s="10">
        <v>114</v>
      </c>
      <c r="B115" t="s">
        <v>41</v>
      </c>
      <c r="C115">
        <v>1</v>
      </c>
      <c r="D115" t="s">
        <v>128</v>
      </c>
      <c r="F115" s="20">
        <v>43914.833333333336</v>
      </c>
      <c r="G115">
        <v>120</v>
      </c>
      <c r="H115" t="s">
        <v>6</v>
      </c>
      <c r="I115" t="s">
        <v>6</v>
      </c>
      <c r="J115" s="13" t="s">
        <v>137</v>
      </c>
      <c r="K115" s="4">
        <v>13</v>
      </c>
    </row>
    <row r="116" spans="1:11" ht="15" thickBot="1">
      <c r="A116" s="10">
        <v>115</v>
      </c>
      <c r="B116" t="s">
        <v>42</v>
      </c>
      <c r="C116">
        <v>2</v>
      </c>
      <c r="D116" t="s">
        <v>49</v>
      </c>
      <c r="F116" s="20">
        <v>43914.833333333336</v>
      </c>
      <c r="G116">
        <v>120</v>
      </c>
      <c r="H116" t="s">
        <v>7</v>
      </c>
      <c r="I116" t="s">
        <v>7</v>
      </c>
      <c r="J116" s="13" t="s">
        <v>137</v>
      </c>
      <c r="K116" s="4">
        <v>14</v>
      </c>
    </row>
    <row r="117" spans="1:11" ht="15" thickBot="1">
      <c r="A117" s="10">
        <v>116</v>
      </c>
      <c r="B117" t="s">
        <v>38</v>
      </c>
      <c r="C117">
        <v>2</v>
      </c>
      <c r="D117" t="s">
        <v>45</v>
      </c>
      <c r="F117" s="20">
        <v>43914.833333333336</v>
      </c>
      <c r="G117">
        <v>120</v>
      </c>
      <c r="H117" t="s">
        <v>17</v>
      </c>
      <c r="I117" t="s">
        <v>7</v>
      </c>
      <c r="J117" s="13" t="s">
        <v>137</v>
      </c>
      <c r="K117" s="4">
        <v>17</v>
      </c>
    </row>
    <row r="118" spans="1:11" ht="15" thickBot="1">
      <c r="A118" s="10">
        <v>117</v>
      </c>
      <c r="B118" t="s">
        <v>41</v>
      </c>
      <c r="C118">
        <v>1</v>
      </c>
      <c r="D118" t="s">
        <v>128</v>
      </c>
      <c r="F118" s="20">
        <v>43915.75</v>
      </c>
      <c r="G118">
        <v>120</v>
      </c>
      <c r="H118" t="s">
        <v>6</v>
      </c>
      <c r="I118" t="s">
        <v>6</v>
      </c>
      <c r="J118" s="13" t="s">
        <v>104</v>
      </c>
      <c r="K118" s="4">
        <v>20</v>
      </c>
    </row>
    <row r="119" spans="1:11" ht="15" thickBot="1">
      <c r="A119" s="10">
        <v>118</v>
      </c>
      <c r="B119" t="s">
        <v>38</v>
      </c>
      <c r="C119">
        <v>1</v>
      </c>
      <c r="D119" t="s">
        <v>45</v>
      </c>
      <c r="F119" s="20">
        <v>43915.75</v>
      </c>
      <c r="G119">
        <v>120</v>
      </c>
      <c r="H119" t="s">
        <v>17</v>
      </c>
      <c r="I119" t="s">
        <v>6</v>
      </c>
      <c r="J119" s="13" t="s">
        <v>104</v>
      </c>
      <c r="K119" s="4">
        <v>10</v>
      </c>
    </row>
    <row r="120" spans="1:11" ht="15" thickBot="1">
      <c r="A120" s="10">
        <v>119</v>
      </c>
      <c r="B120" t="s">
        <v>42</v>
      </c>
      <c r="C120">
        <v>2</v>
      </c>
      <c r="D120" t="s">
        <v>49</v>
      </c>
      <c r="F120" s="20">
        <v>43915.75</v>
      </c>
      <c r="G120">
        <v>120</v>
      </c>
      <c r="H120" t="s">
        <v>7</v>
      </c>
      <c r="I120" t="s">
        <v>7</v>
      </c>
      <c r="J120" s="13" t="s">
        <v>104</v>
      </c>
      <c r="K120" s="4">
        <v>9</v>
      </c>
    </row>
    <row r="121" spans="1:11" ht="15" thickBot="1">
      <c r="A121" s="10">
        <v>120</v>
      </c>
      <c r="B121" t="s">
        <v>37</v>
      </c>
      <c r="C121">
        <v>2</v>
      </c>
      <c r="D121" t="s">
        <v>45</v>
      </c>
      <c r="F121" s="20">
        <v>43915.75</v>
      </c>
      <c r="G121">
        <v>120</v>
      </c>
      <c r="H121" t="s">
        <v>18</v>
      </c>
      <c r="I121" t="s">
        <v>7</v>
      </c>
      <c r="J121" s="13" t="s">
        <v>104</v>
      </c>
      <c r="K121" s="4">
        <v>10</v>
      </c>
    </row>
    <row r="122" spans="1:11" ht="15" thickBot="1">
      <c r="A122" s="10">
        <v>121</v>
      </c>
      <c r="B122" t="s">
        <v>39</v>
      </c>
      <c r="C122">
        <v>3</v>
      </c>
      <c r="D122" t="s">
        <v>50</v>
      </c>
      <c r="F122" s="20">
        <v>43915.75</v>
      </c>
      <c r="G122">
        <v>105</v>
      </c>
      <c r="H122" t="s">
        <v>16</v>
      </c>
      <c r="I122" t="s">
        <v>10</v>
      </c>
      <c r="J122" s="13" t="s">
        <v>104</v>
      </c>
      <c r="K122" s="4">
        <v>10</v>
      </c>
    </row>
    <row r="123" spans="1:11" ht="15" thickBot="1">
      <c r="A123" s="10">
        <v>122</v>
      </c>
      <c r="B123" t="s">
        <v>43</v>
      </c>
      <c r="C123">
        <v>4</v>
      </c>
      <c r="D123" t="s">
        <v>46</v>
      </c>
      <c r="F123" s="20">
        <v>43915.75</v>
      </c>
      <c r="G123">
        <v>105</v>
      </c>
      <c r="H123" t="s">
        <v>8</v>
      </c>
      <c r="I123" t="s">
        <v>11</v>
      </c>
      <c r="J123" s="13" t="s">
        <v>104</v>
      </c>
      <c r="K123" s="4">
        <v>9</v>
      </c>
    </row>
    <row r="124" spans="1:11" ht="15" thickBot="1">
      <c r="A124" s="10">
        <v>123</v>
      </c>
      <c r="B124" t="s">
        <v>44</v>
      </c>
      <c r="C124">
        <v>5</v>
      </c>
      <c r="D124" t="s">
        <v>51</v>
      </c>
      <c r="F124" s="20">
        <v>43915.75</v>
      </c>
      <c r="G124">
        <v>90</v>
      </c>
      <c r="H124" t="s">
        <v>14</v>
      </c>
      <c r="I124" t="s">
        <v>9</v>
      </c>
      <c r="J124" s="13" t="s">
        <v>104</v>
      </c>
      <c r="K124" s="4">
        <v>9</v>
      </c>
    </row>
    <row r="125" spans="1:11" ht="15" thickBot="1">
      <c r="A125" s="10">
        <v>124</v>
      </c>
      <c r="B125" t="s">
        <v>40</v>
      </c>
      <c r="C125">
        <v>5</v>
      </c>
      <c r="D125">
        <v>5</v>
      </c>
      <c r="F125" s="20">
        <v>43915.75</v>
      </c>
      <c r="G125">
        <v>90</v>
      </c>
      <c r="H125" t="s">
        <v>15</v>
      </c>
      <c r="I125" t="s">
        <v>9</v>
      </c>
      <c r="J125" s="13" t="s">
        <v>104</v>
      </c>
      <c r="K125" s="4">
        <v>9</v>
      </c>
    </row>
    <row r="126" spans="1:11" ht="15" thickBot="1">
      <c r="A126" s="10">
        <v>125</v>
      </c>
      <c r="B126" t="s">
        <v>40</v>
      </c>
      <c r="C126">
        <v>4</v>
      </c>
      <c r="D126">
        <v>5</v>
      </c>
      <c r="F126" s="20">
        <v>43915.8125</v>
      </c>
      <c r="G126">
        <v>105</v>
      </c>
      <c r="H126" t="s">
        <v>15</v>
      </c>
      <c r="I126" t="s">
        <v>11</v>
      </c>
      <c r="J126" s="13" t="s">
        <v>104</v>
      </c>
      <c r="K126" s="4">
        <v>10</v>
      </c>
    </row>
    <row r="127" spans="1:11" ht="15" thickBot="1">
      <c r="A127" s="10">
        <v>126</v>
      </c>
      <c r="B127" t="s">
        <v>44</v>
      </c>
      <c r="C127">
        <v>5</v>
      </c>
      <c r="D127" t="s">
        <v>51</v>
      </c>
      <c r="F127" s="20">
        <v>43915.8125</v>
      </c>
      <c r="G127">
        <v>90</v>
      </c>
      <c r="H127" t="s">
        <v>14</v>
      </c>
      <c r="I127" t="s">
        <v>9</v>
      </c>
      <c r="J127" s="13" t="s">
        <v>104</v>
      </c>
      <c r="K127" s="4">
        <v>9</v>
      </c>
    </row>
    <row r="128" spans="1:11" ht="15" thickBot="1">
      <c r="A128" s="10">
        <v>127</v>
      </c>
      <c r="B128" t="s">
        <v>39</v>
      </c>
      <c r="C128">
        <v>3</v>
      </c>
      <c r="D128" t="s">
        <v>50</v>
      </c>
      <c r="F128" s="20">
        <v>43915.822916666664</v>
      </c>
      <c r="G128">
        <v>105</v>
      </c>
      <c r="H128" t="s">
        <v>16</v>
      </c>
      <c r="I128" t="s">
        <v>10</v>
      </c>
      <c r="J128" s="13" t="s">
        <v>104</v>
      </c>
      <c r="K128" s="4">
        <v>10</v>
      </c>
    </row>
    <row r="129" spans="1:11" ht="15" thickBot="1">
      <c r="A129" s="10">
        <v>128</v>
      </c>
      <c r="B129" t="s">
        <v>43</v>
      </c>
      <c r="C129">
        <v>4</v>
      </c>
      <c r="D129" t="s">
        <v>46</v>
      </c>
      <c r="F129" s="20">
        <v>43915.822916666664</v>
      </c>
      <c r="G129">
        <v>105</v>
      </c>
      <c r="H129" t="s">
        <v>8</v>
      </c>
      <c r="I129" t="s">
        <v>11</v>
      </c>
      <c r="J129" s="13" t="s">
        <v>104</v>
      </c>
      <c r="K129" s="4">
        <v>9</v>
      </c>
    </row>
    <row r="130" spans="1:11" ht="15" thickBot="1">
      <c r="A130" s="10">
        <v>129</v>
      </c>
      <c r="B130" t="s">
        <v>41</v>
      </c>
      <c r="C130">
        <v>1</v>
      </c>
      <c r="D130" t="s">
        <v>128</v>
      </c>
      <c r="F130" s="20">
        <v>43915.833333333336</v>
      </c>
      <c r="G130">
        <v>120</v>
      </c>
      <c r="H130" t="s">
        <v>6</v>
      </c>
      <c r="I130" t="s">
        <v>6</v>
      </c>
      <c r="J130" s="13" t="s">
        <v>104</v>
      </c>
      <c r="K130" s="4">
        <v>22</v>
      </c>
    </row>
    <row r="131" spans="1:11" ht="15" thickBot="1">
      <c r="A131" s="10">
        <v>130</v>
      </c>
      <c r="B131" t="s">
        <v>38</v>
      </c>
      <c r="C131">
        <v>1</v>
      </c>
      <c r="D131" t="s">
        <v>45</v>
      </c>
      <c r="F131" s="20">
        <v>43915.833333333336</v>
      </c>
      <c r="G131">
        <v>120</v>
      </c>
      <c r="H131" t="s">
        <v>17</v>
      </c>
      <c r="I131" t="s">
        <v>6</v>
      </c>
      <c r="J131" s="13" t="s">
        <v>104</v>
      </c>
      <c r="K131" s="4">
        <v>10</v>
      </c>
    </row>
    <row r="132" spans="1:11" ht="15" thickBot="1">
      <c r="A132" s="10">
        <v>131</v>
      </c>
      <c r="B132" t="s">
        <v>42</v>
      </c>
      <c r="C132">
        <v>2</v>
      </c>
      <c r="D132" t="s">
        <v>49</v>
      </c>
      <c r="F132" s="20">
        <v>43915.833333333336</v>
      </c>
      <c r="G132">
        <v>120</v>
      </c>
      <c r="H132" t="s">
        <v>7</v>
      </c>
      <c r="I132" t="s">
        <v>7</v>
      </c>
      <c r="J132" s="13" t="s">
        <v>104</v>
      </c>
      <c r="K132" s="4">
        <v>9</v>
      </c>
    </row>
    <row r="133" spans="1:11" ht="15" thickBot="1">
      <c r="A133" s="10">
        <v>132</v>
      </c>
      <c r="B133" t="s">
        <v>37</v>
      </c>
      <c r="C133">
        <v>2</v>
      </c>
      <c r="D133" t="s">
        <v>45</v>
      </c>
      <c r="F133" s="20">
        <v>43915.833333333336</v>
      </c>
      <c r="G133">
        <v>120</v>
      </c>
      <c r="H133" t="s">
        <v>18</v>
      </c>
      <c r="I133" t="s">
        <v>7</v>
      </c>
      <c r="J133" s="13" t="s">
        <v>104</v>
      </c>
      <c r="K133" s="4">
        <v>10</v>
      </c>
    </row>
    <row r="134" spans="1:11" ht="15" thickBot="1">
      <c r="A134" s="10">
        <v>133</v>
      </c>
      <c r="B134" t="s">
        <v>41</v>
      </c>
      <c r="C134">
        <v>1</v>
      </c>
      <c r="D134" t="s">
        <v>128</v>
      </c>
      <c r="F134" s="20">
        <v>43916.75</v>
      </c>
      <c r="G134">
        <v>120</v>
      </c>
      <c r="H134" t="s">
        <v>6</v>
      </c>
      <c r="I134" t="s">
        <v>6</v>
      </c>
      <c r="J134" s="13" t="s">
        <v>137</v>
      </c>
      <c r="K134" s="4">
        <v>11</v>
      </c>
    </row>
    <row r="135" spans="1:11" ht="15" thickBot="1">
      <c r="A135" s="10">
        <v>134</v>
      </c>
      <c r="B135" t="s">
        <v>42</v>
      </c>
      <c r="C135">
        <v>2</v>
      </c>
      <c r="D135" t="s">
        <v>49</v>
      </c>
      <c r="F135" s="20">
        <v>43916.75</v>
      </c>
      <c r="G135">
        <v>120</v>
      </c>
      <c r="H135" t="s">
        <v>7</v>
      </c>
      <c r="I135" t="s">
        <v>7</v>
      </c>
      <c r="J135" s="13" t="s">
        <v>137</v>
      </c>
      <c r="K135" s="4">
        <v>11</v>
      </c>
    </row>
    <row r="136" spans="1:11" ht="15" thickBot="1">
      <c r="A136" s="10">
        <v>135</v>
      </c>
      <c r="B136" t="s">
        <v>38</v>
      </c>
      <c r="C136">
        <v>2</v>
      </c>
      <c r="D136" t="s">
        <v>45</v>
      </c>
      <c r="F136" s="20">
        <v>43916.75</v>
      </c>
      <c r="G136">
        <v>120</v>
      </c>
      <c r="H136" t="s">
        <v>17</v>
      </c>
      <c r="I136" t="s">
        <v>7</v>
      </c>
      <c r="J136" s="13" t="s">
        <v>137</v>
      </c>
      <c r="K136" s="4">
        <v>14</v>
      </c>
    </row>
    <row r="137" spans="1:11" ht="15" thickBot="1">
      <c r="A137" s="10">
        <v>136</v>
      </c>
      <c r="B137" t="s">
        <v>39</v>
      </c>
      <c r="C137">
        <v>3</v>
      </c>
      <c r="D137" t="s">
        <v>50</v>
      </c>
      <c r="F137" s="20">
        <v>43916.75</v>
      </c>
      <c r="G137">
        <v>105</v>
      </c>
      <c r="H137" t="s">
        <v>16</v>
      </c>
      <c r="I137" t="s">
        <v>10</v>
      </c>
      <c r="J137" s="13" t="s">
        <v>137</v>
      </c>
      <c r="K137" s="4">
        <v>13</v>
      </c>
    </row>
    <row r="138" spans="1:11" ht="15" thickBot="1">
      <c r="A138" s="10">
        <v>137</v>
      </c>
      <c r="B138" t="s">
        <v>37</v>
      </c>
      <c r="C138">
        <v>3</v>
      </c>
      <c r="D138" t="s">
        <v>45</v>
      </c>
      <c r="F138" s="20">
        <v>43916.75</v>
      </c>
      <c r="G138">
        <v>105</v>
      </c>
      <c r="H138" t="s">
        <v>18</v>
      </c>
      <c r="I138" t="s">
        <v>10</v>
      </c>
      <c r="J138" s="13" t="s">
        <v>137</v>
      </c>
      <c r="K138" s="4">
        <v>14</v>
      </c>
    </row>
    <row r="139" spans="1:11" ht="15" thickBot="1">
      <c r="A139" s="10">
        <v>138</v>
      </c>
      <c r="B139" t="s">
        <v>43</v>
      </c>
      <c r="C139">
        <v>4</v>
      </c>
      <c r="D139" t="s">
        <v>46</v>
      </c>
      <c r="F139" s="20">
        <v>43916.75</v>
      </c>
      <c r="G139">
        <v>105</v>
      </c>
      <c r="H139" t="s">
        <v>8</v>
      </c>
      <c r="I139" t="s">
        <v>11</v>
      </c>
      <c r="J139" s="13" t="s">
        <v>137</v>
      </c>
      <c r="K139" s="4">
        <v>12</v>
      </c>
    </row>
    <row r="140" spans="1:11" ht="15" thickBot="1">
      <c r="A140" s="10">
        <v>139</v>
      </c>
      <c r="B140" t="s">
        <v>44</v>
      </c>
      <c r="C140">
        <v>5</v>
      </c>
      <c r="D140" t="s">
        <v>51</v>
      </c>
      <c r="F140" s="20">
        <v>43916.75</v>
      </c>
      <c r="G140">
        <v>90</v>
      </c>
      <c r="H140" t="s">
        <v>14</v>
      </c>
      <c r="I140" t="s">
        <v>9</v>
      </c>
      <c r="J140" s="13" t="s">
        <v>137</v>
      </c>
      <c r="K140" s="4">
        <v>12</v>
      </c>
    </row>
    <row r="141" spans="1:11" ht="15" thickBot="1">
      <c r="A141" s="10">
        <v>140</v>
      </c>
      <c r="B141" t="s">
        <v>40</v>
      </c>
      <c r="C141">
        <v>5</v>
      </c>
      <c r="D141">
        <v>5</v>
      </c>
      <c r="F141" s="20">
        <v>43916.75</v>
      </c>
      <c r="G141">
        <v>90</v>
      </c>
      <c r="H141" t="s">
        <v>15</v>
      </c>
      <c r="I141" t="s">
        <v>9</v>
      </c>
      <c r="J141" s="13" t="s">
        <v>137</v>
      </c>
      <c r="K141" s="4">
        <v>13</v>
      </c>
    </row>
    <row r="142" spans="1:11" ht="15" thickBot="1">
      <c r="A142" s="10">
        <v>141</v>
      </c>
      <c r="B142" t="s">
        <v>40</v>
      </c>
      <c r="C142">
        <v>4</v>
      </c>
      <c r="D142">
        <v>5</v>
      </c>
      <c r="F142" s="20">
        <v>43916.8125</v>
      </c>
      <c r="G142">
        <v>105</v>
      </c>
      <c r="H142" t="s">
        <v>15</v>
      </c>
      <c r="I142" t="s">
        <v>11</v>
      </c>
      <c r="J142" s="13" t="s">
        <v>137</v>
      </c>
      <c r="K142" s="4">
        <v>13</v>
      </c>
    </row>
    <row r="143" spans="1:11" ht="15" thickBot="1">
      <c r="A143" s="10">
        <v>142</v>
      </c>
      <c r="B143" t="s">
        <v>44</v>
      </c>
      <c r="C143">
        <v>5</v>
      </c>
      <c r="D143" t="s">
        <v>51</v>
      </c>
      <c r="F143" s="20">
        <v>43916.8125</v>
      </c>
      <c r="G143">
        <v>90</v>
      </c>
      <c r="H143" t="s">
        <v>14</v>
      </c>
      <c r="I143" t="s">
        <v>9</v>
      </c>
      <c r="J143" s="13" t="s">
        <v>137</v>
      </c>
      <c r="K143" s="4">
        <v>12</v>
      </c>
    </row>
    <row r="144" spans="1:11" ht="15" thickBot="1">
      <c r="A144" s="10">
        <v>143</v>
      </c>
      <c r="B144" t="s">
        <v>39</v>
      </c>
      <c r="C144">
        <v>3</v>
      </c>
      <c r="D144" t="s">
        <v>50</v>
      </c>
      <c r="F144" s="20">
        <v>43916.822916666664</v>
      </c>
      <c r="G144">
        <v>105</v>
      </c>
      <c r="H144" t="s">
        <v>16</v>
      </c>
      <c r="I144" t="s">
        <v>10</v>
      </c>
      <c r="J144" s="13" t="s">
        <v>137</v>
      </c>
      <c r="K144" s="4">
        <v>14</v>
      </c>
    </row>
    <row r="145" spans="1:11" ht="15" thickBot="1">
      <c r="A145" s="10">
        <v>144</v>
      </c>
      <c r="B145" t="s">
        <v>37</v>
      </c>
      <c r="C145">
        <v>3</v>
      </c>
      <c r="D145" t="s">
        <v>45</v>
      </c>
      <c r="F145" s="20">
        <v>43916.822916666664</v>
      </c>
      <c r="G145">
        <v>105</v>
      </c>
      <c r="H145" t="s">
        <v>18</v>
      </c>
      <c r="I145" t="s">
        <v>10</v>
      </c>
      <c r="J145" s="13" t="s">
        <v>137</v>
      </c>
      <c r="K145" s="4">
        <v>14</v>
      </c>
    </row>
    <row r="146" spans="1:11" ht="15" thickBot="1">
      <c r="A146" s="10">
        <v>145</v>
      </c>
      <c r="B146" t="s">
        <v>43</v>
      </c>
      <c r="C146">
        <v>4</v>
      </c>
      <c r="D146" t="s">
        <v>46</v>
      </c>
      <c r="F146" s="20">
        <v>43916.822916666664</v>
      </c>
      <c r="G146">
        <v>105</v>
      </c>
      <c r="H146" t="s">
        <v>8</v>
      </c>
      <c r="I146" t="s">
        <v>11</v>
      </c>
      <c r="J146" s="13" t="s">
        <v>137</v>
      </c>
      <c r="K146" s="4">
        <v>12</v>
      </c>
    </row>
    <row r="147" spans="1:11" ht="15" thickBot="1">
      <c r="A147" s="10">
        <v>146</v>
      </c>
      <c r="B147" t="s">
        <v>41</v>
      </c>
      <c r="C147">
        <v>1</v>
      </c>
      <c r="D147" t="s">
        <v>128</v>
      </c>
      <c r="F147" s="20">
        <v>43916.833333333336</v>
      </c>
      <c r="G147">
        <v>120</v>
      </c>
      <c r="H147" t="s">
        <v>6</v>
      </c>
      <c r="I147" t="s">
        <v>6</v>
      </c>
      <c r="J147" s="13" t="s">
        <v>137</v>
      </c>
      <c r="K147" s="4">
        <v>11</v>
      </c>
    </row>
    <row r="148" spans="1:11" ht="15" thickBot="1">
      <c r="A148" s="10">
        <v>147</v>
      </c>
      <c r="B148" t="s">
        <v>42</v>
      </c>
      <c r="C148">
        <v>2</v>
      </c>
      <c r="D148" t="s">
        <v>49</v>
      </c>
      <c r="F148" s="20">
        <v>43916.833333333336</v>
      </c>
      <c r="G148">
        <v>120</v>
      </c>
      <c r="H148" t="s">
        <v>7</v>
      </c>
      <c r="I148" t="s">
        <v>7</v>
      </c>
      <c r="J148" s="13" t="s">
        <v>137</v>
      </c>
      <c r="K148" s="4">
        <v>11</v>
      </c>
    </row>
    <row r="149" spans="1:11" ht="15" thickBot="1">
      <c r="A149" s="10">
        <v>148</v>
      </c>
      <c r="B149" t="s">
        <v>38</v>
      </c>
      <c r="C149">
        <v>2</v>
      </c>
      <c r="D149" t="s">
        <v>45</v>
      </c>
      <c r="F149" s="20">
        <v>43916.833333333336</v>
      </c>
      <c r="G149">
        <v>120</v>
      </c>
      <c r="H149" t="s">
        <v>17</v>
      </c>
      <c r="I149" t="s">
        <v>7</v>
      </c>
      <c r="J149" s="13" t="s">
        <v>137</v>
      </c>
      <c r="K149" s="4">
        <v>14</v>
      </c>
    </row>
    <row r="150" spans="1:11" ht="15" thickBot="1">
      <c r="A150" s="10">
        <v>149</v>
      </c>
      <c r="B150" t="s">
        <v>41</v>
      </c>
      <c r="C150">
        <v>1</v>
      </c>
      <c r="D150" t="s">
        <v>128</v>
      </c>
      <c r="F150" s="20">
        <v>43917.75</v>
      </c>
      <c r="G150">
        <v>120</v>
      </c>
      <c r="H150" t="s">
        <v>6</v>
      </c>
      <c r="I150" t="s">
        <v>6</v>
      </c>
      <c r="J150" s="13" t="s">
        <v>132</v>
      </c>
      <c r="K150" s="4">
        <v>9</v>
      </c>
    </row>
    <row r="151" spans="1:11" ht="15" thickBot="1">
      <c r="A151" s="10">
        <v>150</v>
      </c>
      <c r="B151" t="s">
        <v>38</v>
      </c>
      <c r="C151">
        <v>1</v>
      </c>
      <c r="D151" t="s">
        <v>45</v>
      </c>
      <c r="F151" s="20">
        <v>43917.75</v>
      </c>
      <c r="G151">
        <v>120</v>
      </c>
      <c r="H151" t="s">
        <v>17</v>
      </c>
      <c r="I151" t="s">
        <v>6</v>
      </c>
      <c r="J151" s="13" t="s">
        <v>132</v>
      </c>
      <c r="K151" s="4">
        <v>10</v>
      </c>
    </row>
    <row r="152" spans="1:11" ht="15" thickBot="1">
      <c r="A152" s="10">
        <v>151</v>
      </c>
      <c r="B152" t="s">
        <v>42</v>
      </c>
      <c r="C152">
        <v>2</v>
      </c>
      <c r="D152" t="s">
        <v>49</v>
      </c>
      <c r="F152" s="20">
        <v>43917.75</v>
      </c>
      <c r="G152">
        <v>120</v>
      </c>
      <c r="H152" t="s">
        <v>7</v>
      </c>
      <c r="I152" t="s">
        <v>7</v>
      </c>
      <c r="J152" s="13" t="s">
        <v>132</v>
      </c>
      <c r="K152" s="4">
        <v>9</v>
      </c>
    </row>
    <row r="153" spans="1:11" ht="15" thickBot="1">
      <c r="A153" s="10">
        <v>152</v>
      </c>
      <c r="B153" t="s">
        <v>37</v>
      </c>
      <c r="C153">
        <v>2</v>
      </c>
      <c r="D153" t="s">
        <v>45</v>
      </c>
      <c r="F153" s="20">
        <v>43917.75</v>
      </c>
      <c r="G153">
        <v>120</v>
      </c>
      <c r="H153" t="s">
        <v>18</v>
      </c>
      <c r="I153" t="s">
        <v>7</v>
      </c>
      <c r="J153" s="13" t="s">
        <v>132</v>
      </c>
      <c r="K153" s="4">
        <v>11</v>
      </c>
    </row>
    <row r="154" spans="1:11" ht="15" thickBot="1">
      <c r="A154" s="10">
        <v>153</v>
      </c>
      <c r="B154" t="s">
        <v>39</v>
      </c>
      <c r="C154">
        <v>3</v>
      </c>
      <c r="D154" t="s">
        <v>50</v>
      </c>
      <c r="F154" s="20">
        <v>43917.75</v>
      </c>
      <c r="G154">
        <v>105</v>
      </c>
      <c r="H154" t="s">
        <v>16</v>
      </c>
      <c r="I154" t="s">
        <v>10</v>
      </c>
      <c r="J154" s="13" t="s">
        <v>132</v>
      </c>
      <c r="K154" s="4">
        <v>10</v>
      </c>
    </row>
    <row r="155" spans="1:11" ht="15" thickBot="1">
      <c r="A155" s="10">
        <v>154</v>
      </c>
      <c r="B155" t="s">
        <v>43</v>
      </c>
      <c r="C155">
        <v>4</v>
      </c>
      <c r="D155" t="s">
        <v>46</v>
      </c>
      <c r="F155" s="20">
        <v>43917.75</v>
      </c>
      <c r="G155">
        <v>105</v>
      </c>
      <c r="H155" t="s">
        <v>8</v>
      </c>
      <c r="I155" t="s">
        <v>11</v>
      </c>
      <c r="J155" s="13" t="s">
        <v>132</v>
      </c>
      <c r="K155" s="4">
        <v>9</v>
      </c>
    </row>
    <row r="156" spans="1:11" ht="15" thickBot="1">
      <c r="A156" s="10">
        <v>155</v>
      </c>
      <c r="B156" t="s">
        <v>44</v>
      </c>
      <c r="C156">
        <v>5</v>
      </c>
      <c r="D156" t="s">
        <v>51</v>
      </c>
      <c r="F156" s="20">
        <v>43917.75</v>
      </c>
      <c r="G156">
        <v>90</v>
      </c>
      <c r="H156" t="s">
        <v>14</v>
      </c>
      <c r="I156" t="s">
        <v>9</v>
      </c>
      <c r="J156" s="13" t="s">
        <v>132</v>
      </c>
      <c r="K156" s="4">
        <v>9</v>
      </c>
    </row>
    <row r="157" spans="1:11" ht="15" thickBot="1">
      <c r="A157" s="10">
        <v>156</v>
      </c>
      <c r="B157" t="s">
        <v>40</v>
      </c>
      <c r="C157">
        <v>5</v>
      </c>
      <c r="D157">
        <v>5</v>
      </c>
      <c r="F157" s="20">
        <v>43917.75</v>
      </c>
      <c r="G157">
        <v>90</v>
      </c>
      <c r="H157" t="s">
        <v>15</v>
      </c>
      <c r="I157" t="s">
        <v>9</v>
      </c>
      <c r="J157" s="13" t="s">
        <v>132</v>
      </c>
      <c r="K157" s="4">
        <v>9</v>
      </c>
    </row>
    <row r="158" spans="1:11" ht="15" thickBot="1">
      <c r="A158" s="10">
        <v>157</v>
      </c>
      <c r="B158" t="s">
        <v>44</v>
      </c>
      <c r="C158">
        <v>5</v>
      </c>
      <c r="D158" t="s">
        <v>51</v>
      </c>
      <c r="F158" s="20">
        <v>43917.8125</v>
      </c>
      <c r="G158">
        <v>90</v>
      </c>
      <c r="H158" t="s">
        <v>14</v>
      </c>
      <c r="I158" t="s">
        <v>9</v>
      </c>
      <c r="J158" s="13" t="s">
        <v>132</v>
      </c>
      <c r="K158" s="4">
        <v>9</v>
      </c>
    </row>
    <row r="159" spans="1:11" ht="15" thickBot="1">
      <c r="A159" s="10">
        <v>158</v>
      </c>
      <c r="B159" t="s">
        <v>40</v>
      </c>
      <c r="C159">
        <v>5</v>
      </c>
      <c r="D159">
        <v>5</v>
      </c>
      <c r="F159" s="20">
        <v>43917.8125</v>
      </c>
      <c r="G159">
        <v>90</v>
      </c>
      <c r="H159" t="s">
        <v>15</v>
      </c>
      <c r="I159" t="s">
        <v>9</v>
      </c>
      <c r="J159" s="13" t="s">
        <v>132</v>
      </c>
      <c r="K159" s="4">
        <v>10</v>
      </c>
    </row>
    <row r="160" spans="1:11" ht="15" thickBot="1">
      <c r="A160" s="10">
        <v>159</v>
      </c>
      <c r="B160" t="s">
        <v>39</v>
      </c>
      <c r="C160">
        <v>3</v>
      </c>
      <c r="D160" t="s">
        <v>50</v>
      </c>
      <c r="F160" s="20">
        <v>43917.822916666664</v>
      </c>
      <c r="G160">
        <v>105</v>
      </c>
      <c r="H160" t="s">
        <v>16</v>
      </c>
      <c r="I160" t="s">
        <v>10</v>
      </c>
      <c r="J160" s="13" t="s">
        <v>132</v>
      </c>
      <c r="K160" s="4">
        <v>10</v>
      </c>
    </row>
    <row r="161" spans="1:11" ht="15" thickBot="1">
      <c r="A161" s="10">
        <v>160</v>
      </c>
      <c r="B161" t="s">
        <v>43</v>
      </c>
      <c r="C161">
        <v>4</v>
      </c>
      <c r="D161" t="s">
        <v>46</v>
      </c>
      <c r="F161" s="20">
        <v>43917.822916666664</v>
      </c>
      <c r="G161">
        <v>105</v>
      </c>
      <c r="H161" t="s">
        <v>8</v>
      </c>
      <c r="I161" t="s">
        <v>11</v>
      </c>
      <c r="J161" s="13" t="s">
        <v>132</v>
      </c>
      <c r="K161" s="4">
        <v>9</v>
      </c>
    </row>
    <row r="162" spans="1:11" ht="15" thickBot="1">
      <c r="A162" s="10">
        <v>161</v>
      </c>
      <c r="B162" t="s">
        <v>41</v>
      </c>
      <c r="C162">
        <v>1</v>
      </c>
      <c r="D162" t="s">
        <v>128</v>
      </c>
      <c r="F162" s="20">
        <v>43917.833333333336</v>
      </c>
      <c r="G162">
        <v>120</v>
      </c>
      <c r="H162" t="s">
        <v>6</v>
      </c>
      <c r="I162" t="s">
        <v>6</v>
      </c>
      <c r="J162" s="13" t="s">
        <v>132</v>
      </c>
      <c r="K162" s="4">
        <v>9</v>
      </c>
    </row>
    <row r="163" spans="1:11" ht="15" thickBot="1">
      <c r="A163" s="10">
        <v>162</v>
      </c>
      <c r="B163" t="s">
        <v>38</v>
      </c>
      <c r="C163">
        <v>1</v>
      </c>
      <c r="D163" t="s">
        <v>45</v>
      </c>
      <c r="F163" s="20">
        <v>43917.833333333336</v>
      </c>
      <c r="G163">
        <v>120</v>
      </c>
      <c r="H163" t="s">
        <v>17</v>
      </c>
      <c r="I163" t="s">
        <v>6</v>
      </c>
      <c r="J163" s="13" t="s">
        <v>132</v>
      </c>
      <c r="K163" s="4">
        <v>10</v>
      </c>
    </row>
    <row r="164" spans="1:11" ht="15" thickBot="1">
      <c r="A164" s="10">
        <v>163</v>
      </c>
      <c r="B164" t="s">
        <v>42</v>
      </c>
      <c r="C164">
        <v>2</v>
      </c>
      <c r="D164" t="s">
        <v>49</v>
      </c>
      <c r="F164" s="20">
        <v>43917.833333333336</v>
      </c>
      <c r="G164">
        <v>120</v>
      </c>
      <c r="H164" t="s">
        <v>7</v>
      </c>
      <c r="I164" t="s">
        <v>7</v>
      </c>
      <c r="J164" s="13" t="s">
        <v>132</v>
      </c>
      <c r="K164" s="4">
        <v>9</v>
      </c>
    </row>
    <row r="165" spans="1:11" ht="15" thickBot="1">
      <c r="A165" s="10">
        <v>164</v>
      </c>
      <c r="B165" t="s">
        <v>37</v>
      </c>
      <c r="C165">
        <v>2</v>
      </c>
      <c r="D165" t="s">
        <v>45</v>
      </c>
      <c r="F165" s="20">
        <v>43917.833333333336</v>
      </c>
      <c r="G165">
        <v>120</v>
      </c>
      <c r="H165" t="s">
        <v>18</v>
      </c>
      <c r="I165" t="s">
        <v>7</v>
      </c>
      <c r="J165" s="13" t="s">
        <v>132</v>
      </c>
      <c r="K165" s="4">
        <v>11</v>
      </c>
    </row>
    <row r="166" spans="1:11" ht="15" thickBot="1">
      <c r="A166" s="10">
        <v>165</v>
      </c>
      <c r="B166" t="s">
        <v>41</v>
      </c>
      <c r="C166">
        <v>1</v>
      </c>
      <c r="D166" t="s">
        <v>128</v>
      </c>
      <c r="F166" s="20">
        <v>43918.375</v>
      </c>
      <c r="G166">
        <v>120</v>
      </c>
      <c r="H166" t="s">
        <v>6</v>
      </c>
      <c r="I166" t="s">
        <v>6</v>
      </c>
      <c r="J166" s="13" t="s">
        <v>119</v>
      </c>
      <c r="K166" s="4">
        <v>11</v>
      </c>
    </row>
    <row r="167" spans="1:11" ht="15" thickBot="1">
      <c r="A167" s="10">
        <v>166</v>
      </c>
      <c r="B167" t="s">
        <v>38</v>
      </c>
      <c r="C167">
        <v>1</v>
      </c>
      <c r="D167" t="s">
        <v>45</v>
      </c>
      <c r="F167" s="20">
        <v>43918.375</v>
      </c>
      <c r="G167">
        <v>120</v>
      </c>
      <c r="H167" t="s">
        <v>17</v>
      </c>
      <c r="I167" t="s">
        <v>6</v>
      </c>
      <c r="J167" s="13" t="s">
        <v>119</v>
      </c>
      <c r="K167" s="4">
        <v>10</v>
      </c>
    </row>
    <row r="168" spans="1:11" ht="15" thickBot="1">
      <c r="A168" s="10">
        <v>167</v>
      </c>
      <c r="B168" t="s">
        <v>42</v>
      </c>
      <c r="C168">
        <v>2</v>
      </c>
      <c r="D168" t="s">
        <v>49</v>
      </c>
      <c r="F168" s="20">
        <v>43918.375</v>
      </c>
      <c r="G168">
        <v>120</v>
      </c>
      <c r="H168" t="s">
        <v>7</v>
      </c>
      <c r="I168" t="s">
        <v>7</v>
      </c>
      <c r="J168" s="13" t="s">
        <v>119</v>
      </c>
      <c r="K168" s="4">
        <v>12</v>
      </c>
    </row>
    <row r="169" spans="1:11" ht="15" thickBot="1">
      <c r="A169" s="10">
        <v>168</v>
      </c>
      <c r="B169" t="s">
        <v>37</v>
      </c>
      <c r="C169">
        <v>3</v>
      </c>
      <c r="D169" t="s">
        <v>45</v>
      </c>
      <c r="F169" s="20">
        <v>43918.375</v>
      </c>
      <c r="G169">
        <v>105</v>
      </c>
      <c r="H169" t="s">
        <v>18</v>
      </c>
      <c r="I169" t="s">
        <v>10</v>
      </c>
      <c r="J169" s="13" t="s">
        <v>119</v>
      </c>
      <c r="K169" s="4">
        <v>11</v>
      </c>
    </row>
    <row r="170" spans="1:11" ht="15" thickBot="1">
      <c r="A170" s="10">
        <v>169</v>
      </c>
      <c r="B170" t="s">
        <v>43</v>
      </c>
      <c r="C170">
        <v>6</v>
      </c>
      <c r="D170" t="s">
        <v>46</v>
      </c>
      <c r="F170" s="20">
        <v>43918.375</v>
      </c>
      <c r="G170">
        <v>60</v>
      </c>
      <c r="H170" t="s">
        <v>8</v>
      </c>
      <c r="I170" t="s">
        <v>12</v>
      </c>
      <c r="J170" s="13" t="s">
        <v>119</v>
      </c>
      <c r="K170" s="4">
        <v>13</v>
      </c>
    </row>
    <row r="171" spans="1:11" ht="15" thickBot="1">
      <c r="A171" s="10">
        <v>170</v>
      </c>
      <c r="B171" t="s">
        <v>40</v>
      </c>
      <c r="C171">
        <v>6</v>
      </c>
      <c r="D171">
        <v>5</v>
      </c>
      <c r="F171" s="20">
        <v>43918.375</v>
      </c>
      <c r="G171">
        <v>60</v>
      </c>
      <c r="H171" t="s">
        <v>15</v>
      </c>
      <c r="I171" t="s">
        <v>12</v>
      </c>
      <c r="J171" s="13" t="s">
        <v>119</v>
      </c>
      <c r="K171" s="4">
        <v>17</v>
      </c>
    </row>
    <row r="172" spans="1:11" ht="15" thickBot="1">
      <c r="A172" s="10">
        <v>171</v>
      </c>
      <c r="B172" t="s">
        <v>39</v>
      </c>
      <c r="C172">
        <v>6</v>
      </c>
      <c r="D172" t="s">
        <v>50</v>
      </c>
      <c r="F172" s="20">
        <v>43918.375</v>
      </c>
      <c r="G172">
        <v>60</v>
      </c>
      <c r="H172" t="s">
        <v>16</v>
      </c>
      <c r="I172" t="s">
        <v>12</v>
      </c>
      <c r="J172" s="13" t="s">
        <v>119</v>
      </c>
      <c r="K172" s="4">
        <v>9</v>
      </c>
    </row>
    <row r="173" spans="1:11" ht="15" thickBot="1">
      <c r="A173" s="10">
        <v>172</v>
      </c>
      <c r="B173" t="s">
        <v>44</v>
      </c>
      <c r="C173">
        <v>7</v>
      </c>
      <c r="D173" t="s">
        <v>51</v>
      </c>
      <c r="F173" s="20">
        <v>43918.375</v>
      </c>
      <c r="G173">
        <v>60</v>
      </c>
      <c r="H173" t="s">
        <v>14</v>
      </c>
      <c r="I173" t="s">
        <v>13</v>
      </c>
      <c r="J173" s="13" t="s">
        <v>119</v>
      </c>
      <c r="K173" s="4">
        <v>15</v>
      </c>
    </row>
    <row r="174" spans="1:11" ht="15" thickBot="1">
      <c r="A174" s="10">
        <v>173</v>
      </c>
      <c r="B174" t="s">
        <v>43</v>
      </c>
      <c r="C174">
        <v>4</v>
      </c>
      <c r="D174" t="s">
        <v>46</v>
      </c>
      <c r="F174" s="20">
        <v>43918.416666666664</v>
      </c>
      <c r="G174">
        <v>105</v>
      </c>
      <c r="H174" t="s">
        <v>8</v>
      </c>
      <c r="I174" t="s">
        <v>11</v>
      </c>
      <c r="J174" s="13" t="s">
        <v>119</v>
      </c>
      <c r="K174" s="4">
        <v>14</v>
      </c>
    </row>
    <row r="175" spans="1:11" ht="15" thickBot="1">
      <c r="A175" s="10">
        <v>174</v>
      </c>
      <c r="B175" t="s">
        <v>40</v>
      </c>
      <c r="C175">
        <v>4</v>
      </c>
      <c r="D175">
        <v>5</v>
      </c>
      <c r="F175" s="20">
        <v>43918.416666666664</v>
      </c>
      <c r="G175">
        <v>105</v>
      </c>
      <c r="H175" t="s">
        <v>15</v>
      </c>
      <c r="I175" t="s">
        <v>11</v>
      </c>
      <c r="J175" s="13" t="s">
        <v>119</v>
      </c>
      <c r="K175" s="4">
        <v>18</v>
      </c>
    </row>
    <row r="176" spans="1:11" ht="15" thickBot="1">
      <c r="A176" s="10">
        <v>175</v>
      </c>
      <c r="B176" t="s">
        <v>44</v>
      </c>
      <c r="C176">
        <v>5</v>
      </c>
      <c r="D176" t="s">
        <v>51</v>
      </c>
      <c r="F176" s="20">
        <v>43918.416666666664</v>
      </c>
      <c r="G176">
        <v>90</v>
      </c>
      <c r="H176" t="s">
        <v>14</v>
      </c>
      <c r="I176" t="s">
        <v>9</v>
      </c>
      <c r="J176" s="13" t="s">
        <v>119</v>
      </c>
      <c r="K176" s="4">
        <v>15</v>
      </c>
    </row>
    <row r="177" spans="1:11" ht="15" thickBot="1">
      <c r="A177" s="10">
        <v>176</v>
      </c>
      <c r="B177" t="s">
        <v>39</v>
      </c>
      <c r="C177">
        <v>6</v>
      </c>
      <c r="D177" t="s">
        <v>50</v>
      </c>
      <c r="F177" s="20">
        <v>43918.416666666664</v>
      </c>
      <c r="G177">
        <v>60</v>
      </c>
      <c r="H177" t="s">
        <v>16</v>
      </c>
      <c r="I177" t="s">
        <v>12</v>
      </c>
      <c r="J177" s="13" t="s">
        <v>119</v>
      </c>
      <c r="K177" s="4">
        <v>9</v>
      </c>
    </row>
    <row r="178" spans="1:11" ht="15" thickBot="1">
      <c r="A178" s="10">
        <v>177</v>
      </c>
      <c r="B178" t="s">
        <v>37</v>
      </c>
      <c r="C178">
        <v>3</v>
      </c>
      <c r="D178" t="s">
        <v>45</v>
      </c>
      <c r="F178" s="20">
        <v>43918.447916666664</v>
      </c>
      <c r="G178">
        <v>105</v>
      </c>
      <c r="H178" t="s">
        <v>18</v>
      </c>
      <c r="I178" t="s">
        <v>10</v>
      </c>
      <c r="J178" s="13" t="s">
        <v>119</v>
      </c>
      <c r="K178" s="4">
        <v>11</v>
      </c>
    </row>
    <row r="179" spans="1:11" ht="15" thickBot="1">
      <c r="A179" s="10">
        <v>178</v>
      </c>
      <c r="B179" t="s">
        <v>41</v>
      </c>
      <c r="C179">
        <v>1</v>
      </c>
      <c r="D179" t="s">
        <v>128</v>
      </c>
      <c r="F179" s="20">
        <v>43918.458333333336</v>
      </c>
      <c r="G179">
        <v>120</v>
      </c>
      <c r="H179" t="s">
        <v>6</v>
      </c>
      <c r="I179" t="s">
        <v>6</v>
      </c>
      <c r="J179" s="13" t="s">
        <v>119</v>
      </c>
      <c r="K179" s="4">
        <v>11</v>
      </c>
    </row>
    <row r="180" spans="1:11" ht="15" thickBot="1">
      <c r="A180" s="10">
        <v>179</v>
      </c>
      <c r="B180" t="s">
        <v>42</v>
      </c>
      <c r="C180">
        <v>2</v>
      </c>
      <c r="D180" t="s">
        <v>49</v>
      </c>
      <c r="F180" s="20">
        <v>43918.458333333336</v>
      </c>
      <c r="G180">
        <v>120</v>
      </c>
      <c r="H180" t="s">
        <v>7</v>
      </c>
      <c r="I180" t="s">
        <v>7</v>
      </c>
      <c r="J180" s="13" t="s">
        <v>119</v>
      </c>
      <c r="K180" s="4">
        <v>12</v>
      </c>
    </row>
    <row r="181" spans="1:11" ht="15" thickBot="1">
      <c r="A181" s="10">
        <v>180</v>
      </c>
      <c r="B181" t="s">
        <v>38</v>
      </c>
      <c r="C181">
        <v>2</v>
      </c>
      <c r="D181" t="s">
        <v>45</v>
      </c>
      <c r="F181" s="20">
        <v>43918.458333333336</v>
      </c>
      <c r="G181">
        <v>120</v>
      </c>
      <c r="H181" t="s">
        <v>17</v>
      </c>
      <c r="I181" t="s">
        <v>7</v>
      </c>
      <c r="J181" s="13" t="s">
        <v>119</v>
      </c>
      <c r="K181" s="4">
        <v>10</v>
      </c>
    </row>
    <row r="182" spans="1:11" ht="15" thickBot="1">
      <c r="A182" s="10">
        <v>181</v>
      </c>
      <c r="B182" t="s">
        <v>39</v>
      </c>
      <c r="C182">
        <v>5</v>
      </c>
      <c r="D182" t="s">
        <v>50</v>
      </c>
      <c r="F182" s="20">
        <v>43918.458333333336</v>
      </c>
      <c r="G182">
        <v>90</v>
      </c>
      <c r="H182" t="s">
        <v>16</v>
      </c>
      <c r="I182" t="s">
        <v>9</v>
      </c>
      <c r="J182" s="13" t="s">
        <v>119</v>
      </c>
      <c r="K182" s="4">
        <v>9</v>
      </c>
    </row>
    <row r="183" spans="1:11" ht="15" thickBot="1">
      <c r="A183" s="10">
        <v>182</v>
      </c>
      <c r="B183" t="s">
        <v>44</v>
      </c>
      <c r="C183">
        <v>5</v>
      </c>
      <c r="D183" t="s">
        <v>51</v>
      </c>
      <c r="F183" s="20">
        <v>43918.479166666664</v>
      </c>
      <c r="G183">
        <v>90</v>
      </c>
      <c r="H183" t="s">
        <v>14</v>
      </c>
      <c r="I183" t="s">
        <v>9</v>
      </c>
      <c r="J183" s="13" t="s">
        <v>119</v>
      </c>
      <c r="K183" s="4">
        <v>16</v>
      </c>
    </row>
    <row r="184" spans="1:11" ht="15" thickBot="1">
      <c r="A184" s="10">
        <v>183</v>
      </c>
      <c r="B184" t="s">
        <v>43</v>
      </c>
      <c r="C184">
        <v>4</v>
      </c>
      <c r="D184" t="s">
        <v>46</v>
      </c>
      <c r="F184" s="20">
        <v>43918.489583333336</v>
      </c>
      <c r="G184">
        <v>105</v>
      </c>
      <c r="H184" t="s">
        <v>8</v>
      </c>
      <c r="I184" t="s">
        <v>11</v>
      </c>
      <c r="J184" s="13" t="s">
        <v>119</v>
      </c>
      <c r="K184" s="4">
        <v>14</v>
      </c>
    </row>
    <row r="185" spans="1:11" ht="15" thickBot="1">
      <c r="A185" s="10">
        <v>184</v>
      </c>
      <c r="B185" t="s">
        <v>40</v>
      </c>
      <c r="C185">
        <v>4</v>
      </c>
      <c r="D185">
        <v>5</v>
      </c>
      <c r="F185" s="20">
        <v>43918.489583333336</v>
      </c>
      <c r="G185">
        <v>105</v>
      </c>
      <c r="H185" t="s">
        <v>15</v>
      </c>
      <c r="I185" t="s">
        <v>11</v>
      </c>
      <c r="J185" s="13" t="s">
        <v>119</v>
      </c>
      <c r="K185" s="4">
        <v>20</v>
      </c>
    </row>
    <row r="186" spans="1:11" ht="15" thickBot="1">
      <c r="A186" s="10">
        <v>185</v>
      </c>
      <c r="B186" t="s">
        <v>37</v>
      </c>
      <c r="C186">
        <v>3</v>
      </c>
      <c r="D186" t="s">
        <v>45</v>
      </c>
      <c r="F186" s="20">
        <v>43918.520833333336</v>
      </c>
      <c r="G186">
        <v>105</v>
      </c>
      <c r="H186" t="s">
        <v>18</v>
      </c>
      <c r="I186" t="s">
        <v>10</v>
      </c>
      <c r="J186" s="13" t="s">
        <v>119</v>
      </c>
      <c r="K186" s="4">
        <v>11</v>
      </c>
    </row>
    <row r="187" spans="1:11" ht="15" thickBot="1">
      <c r="A187" s="10">
        <v>186</v>
      </c>
      <c r="B187" t="s">
        <v>39</v>
      </c>
      <c r="C187">
        <v>5</v>
      </c>
      <c r="D187" t="s">
        <v>50</v>
      </c>
      <c r="F187" s="20">
        <v>43918.520833333336</v>
      </c>
      <c r="G187">
        <v>90</v>
      </c>
      <c r="H187" t="s">
        <v>16</v>
      </c>
      <c r="I187" t="s">
        <v>9</v>
      </c>
      <c r="J187" s="13" t="s">
        <v>119</v>
      </c>
      <c r="K187" s="4">
        <v>9</v>
      </c>
    </row>
    <row r="188" spans="1:11" ht="15" thickBot="1">
      <c r="A188" s="10">
        <v>187</v>
      </c>
      <c r="B188" t="s">
        <v>41</v>
      </c>
      <c r="C188">
        <v>1</v>
      </c>
      <c r="D188" t="s">
        <v>128</v>
      </c>
      <c r="F188" s="20">
        <v>43918.541666666664</v>
      </c>
      <c r="G188">
        <v>120</v>
      </c>
      <c r="H188" t="s">
        <v>6</v>
      </c>
      <c r="I188" t="s">
        <v>6</v>
      </c>
      <c r="J188" s="13" t="s">
        <v>119</v>
      </c>
      <c r="K188" s="4">
        <v>11</v>
      </c>
    </row>
    <row r="189" spans="1:11" ht="15" thickBot="1">
      <c r="A189" s="10">
        <v>188</v>
      </c>
      <c r="B189" t="s">
        <v>42</v>
      </c>
      <c r="C189">
        <v>2</v>
      </c>
      <c r="D189" t="s">
        <v>49</v>
      </c>
      <c r="F189" s="20">
        <v>43918.541666666664</v>
      </c>
      <c r="G189">
        <v>120</v>
      </c>
      <c r="H189" t="s">
        <v>7</v>
      </c>
      <c r="I189" t="s">
        <v>7</v>
      </c>
      <c r="J189" s="13" t="s">
        <v>119</v>
      </c>
      <c r="K189" s="4">
        <v>13</v>
      </c>
    </row>
    <row r="190" spans="1:11" ht="15" thickBot="1">
      <c r="A190" s="10">
        <v>189</v>
      </c>
      <c r="B190" t="s">
        <v>38</v>
      </c>
      <c r="C190">
        <v>2</v>
      </c>
      <c r="D190" t="s">
        <v>45</v>
      </c>
      <c r="F190" s="20">
        <v>43918.541666666664</v>
      </c>
      <c r="G190">
        <v>120</v>
      </c>
      <c r="H190" t="s">
        <v>17</v>
      </c>
      <c r="I190" t="s">
        <v>7</v>
      </c>
      <c r="J190" s="13" t="s">
        <v>119</v>
      </c>
      <c r="K190" s="4">
        <v>10</v>
      </c>
    </row>
    <row r="191" spans="1:11" ht="15" thickBot="1">
      <c r="A191" s="10">
        <v>190</v>
      </c>
      <c r="B191" t="s">
        <v>44</v>
      </c>
      <c r="C191">
        <v>5</v>
      </c>
      <c r="D191" t="s">
        <v>51</v>
      </c>
      <c r="F191" s="20">
        <v>43918.541666666664</v>
      </c>
      <c r="G191">
        <v>90</v>
      </c>
      <c r="H191" t="s">
        <v>14</v>
      </c>
      <c r="I191" t="s">
        <v>9</v>
      </c>
      <c r="J191" s="13" t="s">
        <v>119</v>
      </c>
      <c r="K191" s="4">
        <v>16</v>
      </c>
    </row>
    <row r="192" spans="1:11" ht="15" thickBot="1">
      <c r="A192" s="10">
        <v>191</v>
      </c>
      <c r="B192" t="s">
        <v>43</v>
      </c>
      <c r="C192">
        <v>4</v>
      </c>
      <c r="D192" t="s">
        <v>46</v>
      </c>
      <c r="F192" s="20">
        <v>43918.572916666664</v>
      </c>
      <c r="G192">
        <v>105</v>
      </c>
      <c r="H192" t="s">
        <v>8</v>
      </c>
      <c r="I192" t="s">
        <v>11</v>
      </c>
      <c r="J192" s="13" t="s">
        <v>119</v>
      </c>
      <c r="K192" s="4">
        <v>14</v>
      </c>
    </row>
    <row r="193" spans="1:11" ht="15" thickBot="1">
      <c r="A193" s="10">
        <v>192</v>
      </c>
      <c r="B193" t="s">
        <v>40</v>
      </c>
      <c r="C193">
        <v>4</v>
      </c>
      <c r="D193">
        <v>5</v>
      </c>
      <c r="F193" s="20">
        <v>43918.572916666664</v>
      </c>
      <c r="G193">
        <v>105</v>
      </c>
      <c r="H193" t="s">
        <v>15</v>
      </c>
      <c r="I193" t="s">
        <v>11</v>
      </c>
      <c r="J193" s="13" t="s">
        <v>119</v>
      </c>
      <c r="K193" s="4">
        <v>22</v>
      </c>
    </row>
    <row r="194" spans="1:11" ht="15" thickBot="1">
      <c r="A194" s="10">
        <v>193</v>
      </c>
      <c r="B194" t="s">
        <v>39</v>
      </c>
      <c r="C194">
        <v>5</v>
      </c>
      <c r="D194" t="s">
        <v>50</v>
      </c>
      <c r="F194" s="20">
        <v>43918.583333333336</v>
      </c>
      <c r="G194">
        <v>90</v>
      </c>
      <c r="H194" t="s">
        <v>16</v>
      </c>
      <c r="I194" t="s">
        <v>9</v>
      </c>
      <c r="J194" s="13" t="s">
        <v>119</v>
      </c>
      <c r="K194" s="4">
        <v>9</v>
      </c>
    </row>
    <row r="195" spans="1:11" ht="15" thickBot="1">
      <c r="A195" s="10">
        <v>194</v>
      </c>
      <c r="B195" t="s">
        <v>37</v>
      </c>
      <c r="C195">
        <v>3</v>
      </c>
      <c r="D195" t="s">
        <v>45</v>
      </c>
      <c r="F195" s="20">
        <v>43918.614583333336</v>
      </c>
      <c r="G195">
        <v>105</v>
      </c>
      <c r="H195" t="s">
        <v>18</v>
      </c>
      <c r="I195" t="s">
        <v>10</v>
      </c>
      <c r="J195" s="13" t="s">
        <v>119</v>
      </c>
      <c r="K195" s="4">
        <v>11</v>
      </c>
    </row>
    <row r="196" spans="1:11" ht="15" thickBot="1">
      <c r="A196" s="10">
        <v>195</v>
      </c>
      <c r="B196" t="s">
        <v>41</v>
      </c>
      <c r="C196">
        <v>1</v>
      </c>
      <c r="D196" t="s">
        <v>128</v>
      </c>
      <c r="F196" s="20">
        <v>43918.625</v>
      </c>
      <c r="G196">
        <v>120</v>
      </c>
      <c r="H196" t="s">
        <v>6</v>
      </c>
      <c r="I196" t="s">
        <v>6</v>
      </c>
      <c r="J196" s="13" t="s">
        <v>119</v>
      </c>
      <c r="K196" s="4">
        <v>11</v>
      </c>
    </row>
    <row r="197" spans="1:11" ht="15" thickBot="1">
      <c r="A197" s="10">
        <v>196</v>
      </c>
      <c r="B197" t="s">
        <v>42</v>
      </c>
      <c r="C197">
        <v>2</v>
      </c>
      <c r="D197" t="s">
        <v>49</v>
      </c>
      <c r="F197" s="20">
        <v>43918.625</v>
      </c>
      <c r="G197">
        <v>120</v>
      </c>
      <c r="H197" t="s">
        <v>7</v>
      </c>
      <c r="I197" t="s">
        <v>7</v>
      </c>
      <c r="J197" s="13" t="s">
        <v>119</v>
      </c>
      <c r="K197" s="4">
        <v>13</v>
      </c>
    </row>
    <row r="198" spans="1:11" ht="15" thickBot="1">
      <c r="A198" s="10">
        <v>197</v>
      </c>
      <c r="B198" t="s">
        <v>44</v>
      </c>
      <c r="C198">
        <v>5</v>
      </c>
      <c r="D198" t="s">
        <v>51</v>
      </c>
      <c r="F198" s="20">
        <v>43918.625</v>
      </c>
      <c r="G198">
        <v>90</v>
      </c>
      <c r="H198" t="s">
        <v>14</v>
      </c>
      <c r="I198" t="s">
        <v>9</v>
      </c>
      <c r="J198" s="13" t="s">
        <v>119</v>
      </c>
      <c r="K198" s="4">
        <v>17</v>
      </c>
    </row>
    <row r="199" spans="1:11" ht="15" thickBot="1">
      <c r="A199" s="10">
        <v>198</v>
      </c>
      <c r="B199" t="s">
        <v>38</v>
      </c>
      <c r="C199">
        <v>2</v>
      </c>
      <c r="D199" t="s">
        <v>45</v>
      </c>
      <c r="F199" s="20">
        <v>43918.635416666664</v>
      </c>
      <c r="G199">
        <v>120</v>
      </c>
      <c r="H199" t="s">
        <v>17</v>
      </c>
      <c r="I199" t="s">
        <v>7</v>
      </c>
      <c r="J199" s="13" t="s">
        <v>119</v>
      </c>
      <c r="K199" s="4">
        <v>10</v>
      </c>
    </row>
    <row r="200" spans="1:11" ht="15" thickBot="1">
      <c r="A200" s="10">
        <v>199</v>
      </c>
      <c r="B200" t="s">
        <v>39</v>
      </c>
      <c r="C200">
        <v>3</v>
      </c>
      <c r="D200" t="s">
        <v>50</v>
      </c>
      <c r="F200" s="20">
        <v>43918.645833333336</v>
      </c>
      <c r="G200">
        <v>105</v>
      </c>
      <c r="H200" t="s">
        <v>16</v>
      </c>
      <c r="I200" t="s">
        <v>10</v>
      </c>
      <c r="J200" s="13" t="s">
        <v>119</v>
      </c>
      <c r="K200" s="4">
        <v>9</v>
      </c>
    </row>
    <row r="201" spans="1:11" ht="15" thickBot="1">
      <c r="A201" s="10">
        <v>200</v>
      </c>
      <c r="B201" t="s">
        <v>43</v>
      </c>
      <c r="C201">
        <v>4</v>
      </c>
      <c r="D201" t="s">
        <v>46</v>
      </c>
      <c r="F201" s="20">
        <v>43918.645833333336</v>
      </c>
      <c r="G201">
        <v>105</v>
      </c>
      <c r="H201" t="s">
        <v>8</v>
      </c>
      <c r="I201" t="s">
        <v>11</v>
      </c>
      <c r="J201" s="13" t="s">
        <v>119</v>
      </c>
      <c r="K201" s="4">
        <v>15</v>
      </c>
    </row>
    <row r="202" spans="1:11" ht="15" thickBot="1">
      <c r="A202" s="10">
        <v>201</v>
      </c>
      <c r="B202" t="s">
        <v>40</v>
      </c>
      <c r="C202">
        <v>4</v>
      </c>
      <c r="D202">
        <v>5</v>
      </c>
      <c r="F202" s="20">
        <v>43918.645833333336</v>
      </c>
      <c r="G202">
        <v>105</v>
      </c>
      <c r="H202" t="s">
        <v>15</v>
      </c>
      <c r="I202" t="s">
        <v>11</v>
      </c>
      <c r="J202" s="13" t="s">
        <v>119</v>
      </c>
      <c r="K202" s="4">
        <v>9</v>
      </c>
    </row>
    <row r="203" spans="1:11" ht="15" thickBot="1">
      <c r="A203" s="10">
        <v>202</v>
      </c>
      <c r="B203" t="s">
        <v>37</v>
      </c>
      <c r="C203">
        <v>3</v>
      </c>
      <c r="D203" t="s">
        <v>45</v>
      </c>
      <c r="F203" s="20">
        <v>43918.6875</v>
      </c>
      <c r="G203">
        <v>105</v>
      </c>
      <c r="H203" t="s">
        <v>18</v>
      </c>
      <c r="I203" t="s">
        <v>10</v>
      </c>
      <c r="J203" s="13" t="s">
        <v>119</v>
      </c>
      <c r="K203" s="4">
        <v>11</v>
      </c>
    </row>
    <row r="204" spans="1:11" ht="15" thickBot="1">
      <c r="A204" s="10">
        <v>203</v>
      </c>
      <c r="B204" t="s">
        <v>44</v>
      </c>
      <c r="C204">
        <v>5</v>
      </c>
      <c r="D204" t="s">
        <v>51</v>
      </c>
      <c r="F204" s="20">
        <v>43918.6875</v>
      </c>
      <c r="G204">
        <v>90</v>
      </c>
      <c r="H204" t="s">
        <v>14</v>
      </c>
      <c r="I204" t="s">
        <v>9</v>
      </c>
      <c r="J204" s="13" t="s">
        <v>119</v>
      </c>
      <c r="K204" s="4">
        <v>17</v>
      </c>
    </row>
    <row r="205" spans="1:11" ht="15" thickBot="1">
      <c r="A205" s="10">
        <v>204</v>
      </c>
      <c r="B205" t="s">
        <v>41</v>
      </c>
      <c r="C205">
        <v>1</v>
      </c>
      <c r="D205" t="s">
        <v>128</v>
      </c>
      <c r="F205" s="20">
        <v>43918.708333333336</v>
      </c>
      <c r="G205">
        <v>120</v>
      </c>
      <c r="H205" t="s">
        <v>6</v>
      </c>
      <c r="I205" t="s">
        <v>6</v>
      </c>
      <c r="J205" s="13" t="s">
        <v>119</v>
      </c>
      <c r="K205" s="4">
        <v>11</v>
      </c>
    </row>
    <row r="206" spans="1:11" ht="15" thickBot="1">
      <c r="A206" s="10">
        <v>205</v>
      </c>
      <c r="B206" t="s">
        <v>42</v>
      </c>
      <c r="C206">
        <v>2</v>
      </c>
      <c r="D206" t="s">
        <v>49</v>
      </c>
      <c r="F206" s="20">
        <v>43918.708333333336</v>
      </c>
      <c r="G206">
        <v>120</v>
      </c>
      <c r="H206" t="s">
        <v>7</v>
      </c>
      <c r="I206" t="s">
        <v>7</v>
      </c>
      <c r="J206" s="13" t="s">
        <v>119</v>
      </c>
      <c r="K206" s="4">
        <v>13</v>
      </c>
    </row>
    <row r="207" spans="1:11" ht="15" thickBot="1">
      <c r="A207" s="10">
        <v>206</v>
      </c>
      <c r="B207" t="s">
        <v>39</v>
      </c>
      <c r="C207">
        <v>3</v>
      </c>
      <c r="D207" t="s">
        <v>50</v>
      </c>
      <c r="F207" s="20">
        <v>43918.71875</v>
      </c>
      <c r="G207">
        <v>105</v>
      </c>
      <c r="H207" t="s">
        <v>16</v>
      </c>
      <c r="I207" t="s">
        <v>10</v>
      </c>
      <c r="J207" s="13" t="s">
        <v>119</v>
      </c>
      <c r="K207" s="4">
        <v>9</v>
      </c>
    </row>
    <row r="208" spans="1:11" ht="15" thickBot="1">
      <c r="A208" s="10">
        <v>207</v>
      </c>
      <c r="B208" t="s">
        <v>38</v>
      </c>
      <c r="C208">
        <v>3</v>
      </c>
      <c r="D208" t="s">
        <v>45</v>
      </c>
      <c r="F208" s="20">
        <v>43918.71875</v>
      </c>
      <c r="G208">
        <v>105</v>
      </c>
      <c r="H208" t="s">
        <v>17</v>
      </c>
      <c r="I208" t="s">
        <v>10</v>
      </c>
      <c r="J208" s="13" t="s">
        <v>119</v>
      </c>
      <c r="K208" s="4">
        <v>10</v>
      </c>
    </row>
    <row r="209" spans="1:11" ht="15" thickBot="1">
      <c r="A209" s="10">
        <v>208</v>
      </c>
      <c r="B209" t="s">
        <v>43</v>
      </c>
      <c r="C209">
        <v>4</v>
      </c>
      <c r="D209" t="s">
        <v>46</v>
      </c>
      <c r="F209" s="20">
        <v>43918.71875</v>
      </c>
      <c r="G209">
        <v>105</v>
      </c>
      <c r="H209" t="s">
        <v>8</v>
      </c>
      <c r="I209" t="s">
        <v>11</v>
      </c>
      <c r="J209" s="13" t="s">
        <v>119</v>
      </c>
      <c r="K209" s="4">
        <v>15</v>
      </c>
    </row>
    <row r="210" spans="1:11" ht="15" thickBot="1">
      <c r="A210" s="10">
        <v>209</v>
      </c>
      <c r="B210" t="s">
        <v>40</v>
      </c>
      <c r="C210">
        <v>4</v>
      </c>
      <c r="D210">
        <v>5</v>
      </c>
      <c r="F210" s="20">
        <v>43918.71875</v>
      </c>
      <c r="G210">
        <v>105</v>
      </c>
      <c r="H210" t="s">
        <v>15</v>
      </c>
      <c r="I210" t="s">
        <v>11</v>
      </c>
      <c r="J210" s="13" t="s">
        <v>119</v>
      </c>
      <c r="K210" s="4">
        <v>9</v>
      </c>
    </row>
    <row r="211" spans="1:11" ht="15" thickBot="1">
      <c r="A211" s="10">
        <v>210</v>
      </c>
      <c r="B211" t="s">
        <v>41</v>
      </c>
      <c r="C211">
        <v>1</v>
      </c>
      <c r="D211" t="s">
        <v>128</v>
      </c>
      <c r="F211" s="20">
        <v>43920.75</v>
      </c>
      <c r="G211">
        <v>120</v>
      </c>
      <c r="H211" t="s">
        <v>6</v>
      </c>
      <c r="I211" t="s">
        <v>6</v>
      </c>
      <c r="J211" s="13" t="s">
        <v>137</v>
      </c>
      <c r="K211" s="4">
        <v>11</v>
      </c>
    </row>
    <row r="212" spans="1:11" ht="15" thickBot="1">
      <c r="A212" s="10">
        <v>211</v>
      </c>
      <c r="B212" t="s">
        <v>42</v>
      </c>
      <c r="C212">
        <v>2</v>
      </c>
      <c r="D212" t="s">
        <v>49</v>
      </c>
      <c r="F212" s="20">
        <v>43920.75</v>
      </c>
      <c r="G212">
        <v>120</v>
      </c>
      <c r="H212" t="s">
        <v>7</v>
      </c>
      <c r="I212" t="s">
        <v>7</v>
      </c>
      <c r="J212" s="13" t="s">
        <v>137</v>
      </c>
      <c r="K212" s="4">
        <v>12</v>
      </c>
    </row>
    <row r="213" spans="1:11" ht="15" thickBot="1">
      <c r="A213" s="10">
        <v>212</v>
      </c>
      <c r="B213" t="s">
        <v>38</v>
      </c>
      <c r="C213">
        <v>2</v>
      </c>
      <c r="D213" t="s">
        <v>45</v>
      </c>
      <c r="F213" s="20">
        <v>43920.75</v>
      </c>
      <c r="G213">
        <v>120</v>
      </c>
      <c r="H213" t="s">
        <v>17</v>
      </c>
      <c r="I213" t="s">
        <v>7</v>
      </c>
      <c r="J213" s="13" t="s">
        <v>137</v>
      </c>
      <c r="K213" s="4">
        <v>15</v>
      </c>
    </row>
    <row r="214" spans="1:11" ht="15" thickBot="1">
      <c r="A214" s="10">
        <v>213</v>
      </c>
      <c r="B214" t="s">
        <v>39</v>
      </c>
      <c r="C214">
        <v>3</v>
      </c>
      <c r="D214" t="s">
        <v>50</v>
      </c>
      <c r="F214" s="20">
        <v>43920.75</v>
      </c>
      <c r="G214">
        <v>105</v>
      </c>
      <c r="H214" t="s">
        <v>16</v>
      </c>
      <c r="I214" t="s">
        <v>10</v>
      </c>
      <c r="J214" s="13" t="s">
        <v>137</v>
      </c>
      <c r="K214" s="4">
        <v>14</v>
      </c>
    </row>
    <row r="215" spans="1:11" ht="15" thickBot="1">
      <c r="A215" s="10">
        <v>214</v>
      </c>
      <c r="B215" t="s">
        <v>37</v>
      </c>
      <c r="C215">
        <v>3</v>
      </c>
      <c r="D215" t="s">
        <v>45</v>
      </c>
      <c r="F215" s="20">
        <v>43920.75</v>
      </c>
      <c r="G215">
        <v>105</v>
      </c>
      <c r="H215" t="s">
        <v>18</v>
      </c>
      <c r="I215" t="s">
        <v>10</v>
      </c>
      <c r="J215" s="13" t="s">
        <v>137</v>
      </c>
      <c r="K215" s="4">
        <v>15</v>
      </c>
    </row>
    <row r="216" spans="1:11" ht="15" thickBot="1">
      <c r="A216" s="10">
        <v>215</v>
      </c>
      <c r="B216" t="s">
        <v>43</v>
      </c>
      <c r="C216">
        <v>4</v>
      </c>
      <c r="D216" t="s">
        <v>46</v>
      </c>
      <c r="F216" s="20">
        <v>43920.75</v>
      </c>
      <c r="G216">
        <v>105</v>
      </c>
      <c r="H216" t="s">
        <v>8</v>
      </c>
      <c r="I216" t="s">
        <v>11</v>
      </c>
      <c r="J216" s="13" t="s">
        <v>137</v>
      </c>
      <c r="K216" s="4">
        <v>13</v>
      </c>
    </row>
    <row r="217" spans="1:11" ht="15" thickBot="1">
      <c r="A217" s="10">
        <v>216</v>
      </c>
      <c r="B217" t="s">
        <v>44</v>
      </c>
      <c r="C217">
        <v>5</v>
      </c>
      <c r="D217" t="s">
        <v>51</v>
      </c>
      <c r="F217" s="20">
        <v>43920.75</v>
      </c>
      <c r="G217">
        <v>90</v>
      </c>
      <c r="H217" t="s">
        <v>14</v>
      </c>
      <c r="I217" t="s">
        <v>9</v>
      </c>
      <c r="J217" s="13" t="s">
        <v>137</v>
      </c>
      <c r="K217" s="4">
        <v>13</v>
      </c>
    </row>
    <row r="218" spans="1:11" ht="15" thickBot="1">
      <c r="A218" s="10">
        <v>217</v>
      </c>
      <c r="B218" t="s">
        <v>40</v>
      </c>
      <c r="C218">
        <v>5</v>
      </c>
      <c r="D218">
        <v>5</v>
      </c>
      <c r="F218" s="20">
        <v>43920.75</v>
      </c>
      <c r="G218">
        <v>90</v>
      </c>
      <c r="H218" t="s">
        <v>15</v>
      </c>
      <c r="I218" t="s">
        <v>9</v>
      </c>
      <c r="J218" s="13" t="s">
        <v>137</v>
      </c>
      <c r="K218" s="4">
        <v>14</v>
      </c>
    </row>
    <row r="219" spans="1:11" ht="15" thickBot="1">
      <c r="A219" s="10">
        <v>218</v>
      </c>
      <c r="B219" t="s">
        <v>40</v>
      </c>
      <c r="C219">
        <v>4</v>
      </c>
      <c r="D219">
        <v>5</v>
      </c>
      <c r="F219" s="20">
        <v>43920.8125</v>
      </c>
      <c r="G219">
        <v>105</v>
      </c>
      <c r="H219" t="s">
        <v>15</v>
      </c>
      <c r="I219" t="s">
        <v>11</v>
      </c>
      <c r="J219" s="13" t="s">
        <v>137</v>
      </c>
      <c r="K219" s="4">
        <v>14</v>
      </c>
    </row>
    <row r="220" spans="1:11" ht="15" thickBot="1">
      <c r="A220" s="10">
        <v>219</v>
      </c>
      <c r="B220" t="s">
        <v>44</v>
      </c>
      <c r="C220">
        <v>5</v>
      </c>
      <c r="D220" t="s">
        <v>51</v>
      </c>
      <c r="F220" s="20">
        <v>43920.8125</v>
      </c>
      <c r="G220">
        <v>90</v>
      </c>
      <c r="H220" t="s">
        <v>14</v>
      </c>
      <c r="I220" t="s">
        <v>9</v>
      </c>
      <c r="J220" s="13" t="s">
        <v>137</v>
      </c>
      <c r="K220" s="4">
        <v>13</v>
      </c>
    </row>
    <row r="221" spans="1:11" ht="15" thickBot="1">
      <c r="A221" s="10">
        <v>220</v>
      </c>
      <c r="B221" t="s">
        <v>39</v>
      </c>
      <c r="C221">
        <v>3</v>
      </c>
      <c r="D221" t="s">
        <v>50</v>
      </c>
      <c r="F221" s="20">
        <v>43920.822916666664</v>
      </c>
      <c r="G221">
        <v>105</v>
      </c>
      <c r="H221" t="s">
        <v>16</v>
      </c>
      <c r="I221" t="s">
        <v>10</v>
      </c>
      <c r="J221" s="13" t="s">
        <v>137</v>
      </c>
      <c r="K221" s="4">
        <v>15</v>
      </c>
    </row>
    <row r="222" spans="1:11" ht="15" thickBot="1">
      <c r="A222" s="10">
        <v>221</v>
      </c>
      <c r="B222" t="s">
        <v>37</v>
      </c>
      <c r="C222">
        <v>3</v>
      </c>
      <c r="D222" t="s">
        <v>45</v>
      </c>
      <c r="F222" s="20">
        <v>43920.822916666664</v>
      </c>
      <c r="G222">
        <v>105</v>
      </c>
      <c r="H222" t="s">
        <v>18</v>
      </c>
      <c r="I222" t="s">
        <v>10</v>
      </c>
      <c r="J222" s="13" t="s">
        <v>137</v>
      </c>
      <c r="K222" s="4">
        <v>16</v>
      </c>
    </row>
    <row r="223" spans="1:11" ht="15" thickBot="1">
      <c r="A223" s="10">
        <v>222</v>
      </c>
      <c r="B223" t="s">
        <v>43</v>
      </c>
      <c r="C223">
        <v>4</v>
      </c>
      <c r="D223" t="s">
        <v>46</v>
      </c>
      <c r="F223" s="20">
        <v>43920.822916666664</v>
      </c>
      <c r="G223">
        <v>105</v>
      </c>
      <c r="H223" t="s">
        <v>8</v>
      </c>
      <c r="I223" t="s">
        <v>11</v>
      </c>
      <c r="J223" s="13" t="s">
        <v>137</v>
      </c>
      <c r="K223" s="4">
        <v>13</v>
      </c>
    </row>
    <row r="224" spans="1:11" ht="15" thickBot="1">
      <c r="A224" s="10">
        <v>223</v>
      </c>
      <c r="B224" t="s">
        <v>41</v>
      </c>
      <c r="C224">
        <v>1</v>
      </c>
      <c r="D224" t="s">
        <v>128</v>
      </c>
      <c r="F224" s="20">
        <v>43920.833333333336</v>
      </c>
      <c r="G224">
        <v>120</v>
      </c>
      <c r="H224" t="s">
        <v>6</v>
      </c>
      <c r="I224" t="s">
        <v>6</v>
      </c>
      <c r="J224" s="13" t="s">
        <v>137</v>
      </c>
      <c r="K224" s="4">
        <v>11</v>
      </c>
    </row>
    <row r="225" spans="1:11" ht="15" thickBot="1">
      <c r="A225" s="10">
        <v>224</v>
      </c>
      <c r="B225" t="s">
        <v>42</v>
      </c>
      <c r="C225">
        <v>2</v>
      </c>
      <c r="D225" t="s">
        <v>49</v>
      </c>
      <c r="F225" s="20">
        <v>43920.833333333336</v>
      </c>
      <c r="G225">
        <v>120</v>
      </c>
      <c r="H225" t="s">
        <v>7</v>
      </c>
      <c r="I225" t="s">
        <v>7</v>
      </c>
      <c r="J225" s="13" t="s">
        <v>137</v>
      </c>
      <c r="K225" s="4">
        <v>12</v>
      </c>
    </row>
    <row r="226" spans="1:11" ht="15" thickBot="1">
      <c r="A226" s="10">
        <v>225</v>
      </c>
      <c r="B226" t="s">
        <v>38</v>
      </c>
      <c r="C226">
        <v>2</v>
      </c>
      <c r="D226" t="s">
        <v>45</v>
      </c>
      <c r="F226" s="20">
        <v>43920.833333333336</v>
      </c>
      <c r="G226">
        <v>120</v>
      </c>
      <c r="H226" t="s">
        <v>17</v>
      </c>
      <c r="I226" t="s">
        <v>7</v>
      </c>
      <c r="J226" s="13" t="s">
        <v>137</v>
      </c>
      <c r="K226" s="4">
        <v>15</v>
      </c>
    </row>
    <row r="227" spans="1:11" ht="15" thickBot="1">
      <c r="A227" s="10">
        <v>226</v>
      </c>
      <c r="B227" t="s">
        <v>41</v>
      </c>
      <c r="C227">
        <v>1</v>
      </c>
      <c r="D227" t="s">
        <v>128</v>
      </c>
      <c r="F227" s="20">
        <v>43921.75</v>
      </c>
      <c r="G227">
        <v>120</v>
      </c>
      <c r="H227" t="s">
        <v>6</v>
      </c>
      <c r="I227" t="s">
        <v>6</v>
      </c>
      <c r="J227" s="13" t="s">
        <v>127</v>
      </c>
      <c r="K227" s="4">
        <v>16</v>
      </c>
    </row>
    <row r="228" spans="1:11" ht="15" thickBot="1">
      <c r="A228" s="10">
        <v>227</v>
      </c>
      <c r="B228" t="s">
        <v>42</v>
      </c>
      <c r="C228">
        <v>2</v>
      </c>
      <c r="D228" t="s">
        <v>49</v>
      </c>
      <c r="F228" s="20">
        <v>43921.75</v>
      </c>
      <c r="G228">
        <v>120</v>
      </c>
      <c r="H228" t="s">
        <v>7</v>
      </c>
      <c r="I228" t="s">
        <v>7</v>
      </c>
      <c r="J228" s="13" t="s">
        <v>127</v>
      </c>
      <c r="K228" s="4">
        <v>17</v>
      </c>
    </row>
    <row r="229" spans="1:11" ht="15" thickBot="1">
      <c r="A229" s="10">
        <v>228</v>
      </c>
      <c r="B229" t="s">
        <v>38</v>
      </c>
      <c r="C229">
        <v>2</v>
      </c>
      <c r="D229" t="s">
        <v>45</v>
      </c>
      <c r="F229" s="20">
        <v>43921.75</v>
      </c>
      <c r="G229">
        <v>120</v>
      </c>
      <c r="H229" t="s">
        <v>17</v>
      </c>
      <c r="I229" t="s">
        <v>7</v>
      </c>
      <c r="J229" s="13" t="s">
        <v>127</v>
      </c>
      <c r="K229" s="4">
        <v>18</v>
      </c>
    </row>
    <row r="230" spans="1:11" ht="15" thickBot="1">
      <c r="A230" s="10">
        <v>229</v>
      </c>
      <c r="B230" t="s">
        <v>39</v>
      </c>
      <c r="C230">
        <v>3</v>
      </c>
      <c r="D230" t="s">
        <v>50</v>
      </c>
      <c r="F230" s="20">
        <v>43921.75</v>
      </c>
      <c r="G230">
        <v>105</v>
      </c>
      <c r="H230" t="s">
        <v>16</v>
      </c>
      <c r="I230" t="s">
        <v>10</v>
      </c>
      <c r="J230" s="13" t="s">
        <v>127</v>
      </c>
      <c r="K230" s="4">
        <v>18</v>
      </c>
    </row>
    <row r="231" spans="1:11" ht="15" thickBot="1">
      <c r="A231" s="10">
        <v>230</v>
      </c>
      <c r="B231" t="s">
        <v>37</v>
      </c>
      <c r="C231">
        <v>3</v>
      </c>
      <c r="D231" t="s">
        <v>45</v>
      </c>
      <c r="F231" s="20">
        <v>43921.75</v>
      </c>
      <c r="G231">
        <v>105</v>
      </c>
      <c r="H231" t="s">
        <v>18</v>
      </c>
      <c r="I231" t="s">
        <v>10</v>
      </c>
      <c r="J231" s="13" t="s">
        <v>127</v>
      </c>
      <c r="K231" s="4">
        <v>18</v>
      </c>
    </row>
    <row r="232" spans="1:11" ht="15" thickBot="1">
      <c r="A232" s="10">
        <v>231</v>
      </c>
      <c r="B232" t="s">
        <v>43</v>
      </c>
      <c r="C232">
        <v>4</v>
      </c>
      <c r="D232" t="s">
        <v>46</v>
      </c>
      <c r="F232" s="20">
        <v>43921.75</v>
      </c>
      <c r="G232">
        <v>105</v>
      </c>
      <c r="H232" t="s">
        <v>8</v>
      </c>
      <c r="I232" t="s">
        <v>11</v>
      </c>
      <c r="J232" s="13" t="s">
        <v>127</v>
      </c>
      <c r="K232" s="4">
        <v>18</v>
      </c>
    </row>
    <row r="233" spans="1:11" ht="15" thickBot="1">
      <c r="A233" s="10">
        <v>232</v>
      </c>
      <c r="B233" t="s">
        <v>44</v>
      </c>
      <c r="C233">
        <v>5</v>
      </c>
      <c r="D233" t="s">
        <v>51</v>
      </c>
      <c r="F233" s="20">
        <v>43921.75</v>
      </c>
      <c r="G233">
        <v>90</v>
      </c>
      <c r="H233" t="s">
        <v>14</v>
      </c>
      <c r="I233" t="s">
        <v>9</v>
      </c>
      <c r="J233" s="13" t="s">
        <v>127</v>
      </c>
      <c r="K233" s="4">
        <v>22</v>
      </c>
    </row>
    <row r="234" spans="1:11" ht="15" thickBot="1">
      <c r="A234" s="10">
        <v>233</v>
      </c>
      <c r="B234" t="s">
        <v>40</v>
      </c>
      <c r="C234">
        <v>5</v>
      </c>
      <c r="D234">
        <v>5</v>
      </c>
      <c r="F234" s="20">
        <v>43921.75</v>
      </c>
      <c r="G234">
        <v>90</v>
      </c>
      <c r="H234" t="s">
        <v>15</v>
      </c>
      <c r="I234" t="s">
        <v>9</v>
      </c>
      <c r="J234" s="13" t="s">
        <v>127</v>
      </c>
      <c r="K234" s="4">
        <v>18</v>
      </c>
    </row>
    <row r="235" spans="1:11" ht="15" thickBot="1">
      <c r="A235" s="10">
        <v>234</v>
      </c>
      <c r="B235" t="s">
        <v>44</v>
      </c>
      <c r="C235">
        <v>5</v>
      </c>
      <c r="D235" t="s">
        <v>51</v>
      </c>
      <c r="F235" s="20">
        <v>43921.8125</v>
      </c>
      <c r="G235">
        <v>90</v>
      </c>
      <c r="H235" t="s">
        <v>14</v>
      </c>
      <c r="I235" t="s">
        <v>9</v>
      </c>
      <c r="J235" s="13" t="s">
        <v>127</v>
      </c>
      <c r="K235" s="4">
        <v>18</v>
      </c>
    </row>
    <row r="236" spans="1:11" ht="15" thickBot="1">
      <c r="A236" s="10">
        <v>235</v>
      </c>
      <c r="B236" t="s">
        <v>40</v>
      </c>
      <c r="C236">
        <v>5</v>
      </c>
      <c r="D236">
        <v>5</v>
      </c>
      <c r="F236" s="20">
        <v>43921.8125</v>
      </c>
      <c r="G236">
        <v>90</v>
      </c>
      <c r="H236" t="s">
        <v>15</v>
      </c>
      <c r="I236" t="s">
        <v>9</v>
      </c>
      <c r="J236" s="13" t="s">
        <v>127</v>
      </c>
      <c r="K236" s="4">
        <v>18</v>
      </c>
    </row>
    <row r="237" spans="1:11" ht="15" thickBot="1">
      <c r="A237" s="10">
        <v>236</v>
      </c>
      <c r="B237" t="s">
        <v>39</v>
      </c>
      <c r="C237">
        <v>3</v>
      </c>
      <c r="D237" t="s">
        <v>50</v>
      </c>
      <c r="F237" s="20">
        <v>43921.822916666664</v>
      </c>
      <c r="G237">
        <v>105</v>
      </c>
      <c r="H237" t="s">
        <v>16</v>
      </c>
      <c r="I237" t="s">
        <v>10</v>
      </c>
      <c r="J237" s="13" t="s">
        <v>127</v>
      </c>
      <c r="K237" s="4">
        <v>18</v>
      </c>
    </row>
    <row r="238" spans="1:11" ht="15" thickBot="1">
      <c r="A238" s="10">
        <v>237</v>
      </c>
      <c r="B238" t="s">
        <v>37</v>
      </c>
      <c r="C238">
        <v>3</v>
      </c>
      <c r="D238" t="s">
        <v>45</v>
      </c>
      <c r="F238" s="20">
        <v>43921.822916666664</v>
      </c>
      <c r="G238">
        <v>105</v>
      </c>
      <c r="H238" t="s">
        <v>18</v>
      </c>
      <c r="I238" t="s">
        <v>10</v>
      </c>
      <c r="J238" s="13" t="s">
        <v>127</v>
      </c>
      <c r="K238" s="4">
        <v>18</v>
      </c>
    </row>
    <row r="239" spans="1:11" ht="15" thickBot="1">
      <c r="A239" s="10">
        <v>238</v>
      </c>
      <c r="B239" t="s">
        <v>43</v>
      </c>
      <c r="C239">
        <v>4</v>
      </c>
      <c r="D239" t="s">
        <v>46</v>
      </c>
      <c r="F239" s="20">
        <v>43921.822916666664</v>
      </c>
      <c r="G239">
        <v>105</v>
      </c>
      <c r="H239" t="s">
        <v>8</v>
      </c>
      <c r="I239" t="s">
        <v>11</v>
      </c>
      <c r="J239" s="13" t="s">
        <v>127</v>
      </c>
      <c r="K239" s="4">
        <v>20</v>
      </c>
    </row>
    <row r="240" spans="1:11" ht="15" thickBot="1">
      <c r="A240" s="10">
        <v>239</v>
      </c>
      <c r="B240" t="s">
        <v>41</v>
      </c>
      <c r="C240">
        <v>1</v>
      </c>
      <c r="D240" t="s">
        <v>128</v>
      </c>
      <c r="F240" s="20">
        <v>43921.833333333336</v>
      </c>
      <c r="G240">
        <v>120</v>
      </c>
      <c r="H240" t="s">
        <v>6</v>
      </c>
      <c r="I240" t="s">
        <v>6</v>
      </c>
      <c r="J240" s="13" t="s">
        <v>127</v>
      </c>
      <c r="K240" s="4">
        <v>17</v>
      </c>
    </row>
    <row r="241" spans="1:11" ht="15" thickBot="1">
      <c r="A241" s="10">
        <v>240</v>
      </c>
      <c r="B241" t="s">
        <v>42</v>
      </c>
      <c r="C241">
        <v>2</v>
      </c>
      <c r="D241" t="s">
        <v>49</v>
      </c>
      <c r="F241" s="20">
        <v>43921.833333333336</v>
      </c>
      <c r="G241">
        <v>120</v>
      </c>
      <c r="H241" t="s">
        <v>7</v>
      </c>
      <c r="I241" t="s">
        <v>7</v>
      </c>
      <c r="J241" s="13" t="s">
        <v>127</v>
      </c>
      <c r="K241" s="4">
        <v>17</v>
      </c>
    </row>
    <row r="242" spans="1:11" ht="15" thickBot="1">
      <c r="A242" s="10">
        <v>241</v>
      </c>
      <c r="B242" t="s">
        <v>38</v>
      </c>
      <c r="C242">
        <v>2</v>
      </c>
      <c r="D242" t="s">
        <v>45</v>
      </c>
      <c r="F242" s="20">
        <v>43921.833333333336</v>
      </c>
      <c r="G242">
        <v>120</v>
      </c>
      <c r="H242" t="s">
        <v>17</v>
      </c>
      <c r="I242" t="s">
        <v>7</v>
      </c>
      <c r="J242" s="13" t="s">
        <v>127</v>
      </c>
      <c r="K242" s="4">
        <v>18</v>
      </c>
    </row>
    <row r="243" spans="1:11" ht="15" thickBot="1">
      <c r="A243" s="10">
        <v>242</v>
      </c>
      <c r="B243" t="s">
        <v>41</v>
      </c>
      <c r="C243">
        <v>1</v>
      </c>
      <c r="D243" t="s">
        <v>128</v>
      </c>
      <c r="F243" s="20">
        <v>43922.75</v>
      </c>
      <c r="G243">
        <v>120</v>
      </c>
      <c r="H243" t="s">
        <v>6</v>
      </c>
      <c r="I243" t="s">
        <v>6</v>
      </c>
      <c r="J243" s="13" t="s">
        <v>134</v>
      </c>
      <c r="K243" s="4">
        <v>18</v>
      </c>
    </row>
    <row r="244" spans="1:11" ht="15" thickBot="1">
      <c r="A244" s="10">
        <v>243</v>
      </c>
      <c r="B244" t="s">
        <v>38</v>
      </c>
      <c r="C244">
        <v>1</v>
      </c>
      <c r="D244" t="s">
        <v>45</v>
      </c>
      <c r="F244" s="20">
        <v>43922.75</v>
      </c>
      <c r="G244">
        <v>120</v>
      </c>
      <c r="H244" t="s">
        <v>17</v>
      </c>
      <c r="I244" t="s">
        <v>6</v>
      </c>
      <c r="J244" s="13" t="s">
        <v>134</v>
      </c>
      <c r="K244" s="4">
        <v>18</v>
      </c>
    </row>
    <row r="245" spans="1:11" ht="15" thickBot="1">
      <c r="A245" s="10">
        <v>244</v>
      </c>
      <c r="B245" t="s">
        <v>42</v>
      </c>
      <c r="C245">
        <v>2</v>
      </c>
      <c r="D245" t="s">
        <v>49</v>
      </c>
      <c r="F245" s="20">
        <v>43922.75</v>
      </c>
      <c r="G245">
        <v>120</v>
      </c>
      <c r="H245" t="s">
        <v>7</v>
      </c>
      <c r="I245" t="s">
        <v>7</v>
      </c>
      <c r="J245" s="13" t="s">
        <v>134</v>
      </c>
      <c r="K245" s="4">
        <v>19</v>
      </c>
    </row>
    <row r="246" spans="1:11" ht="15" thickBot="1">
      <c r="A246" s="10">
        <v>245</v>
      </c>
      <c r="B246" t="s">
        <v>39</v>
      </c>
      <c r="C246">
        <v>3</v>
      </c>
      <c r="D246" t="s">
        <v>50</v>
      </c>
      <c r="F246" s="20">
        <v>43922.75</v>
      </c>
      <c r="G246">
        <v>105</v>
      </c>
      <c r="H246" t="s">
        <v>16</v>
      </c>
      <c r="I246" t="s">
        <v>10</v>
      </c>
      <c r="J246" s="13" t="s">
        <v>134</v>
      </c>
      <c r="K246" s="4">
        <v>18</v>
      </c>
    </row>
    <row r="247" spans="1:11" ht="15" thickBot="1">
      <c r="A247" s="10">
        <v>246</v>
      </c>
      <c r="B247" t="s">
        <v>37</v>
      </c>
      <c r="C247">
        <v>3</v>
      </c>
      <c r="D247" t="s">
        <v>45</v>
      </c>
      <c r="F247" s="20">
        <v>43922.75</v>
      </c>
      <c r="G247">
        <v>105</v>
      </c>
      <c r="H247" t="s">
        <v>18</v>
      </c>
      <c r="I247" t="s">
        <v>10</v>
      </c>
      <c r="J247" s="13" t="s">
        <v>134</v>
      </c>
      <c r="K247" s="4">
        <v>19</v>
      </c>
    </row>
    <row r="248" spans="1:11" ht="15" thickBot="1">
      <c r="A248" s="10">
        <v>247</v>
      </c>
      <c r="B248" t="s">
        <v>43</v>
      </c>
      <c r="C248">
        <v>4</v>
      </c>
      <c r="D248" t="s">
        <v>46</v>
      </c>
      <c r="F248" s="20">
        <v>43922.75</v>
      </c>
      <c r="G248">
        <v>105</v>
      </c>
      <c r="H248" t="s">
        <v>8</v>
      </c>
      <c r="I248" t="s">
        <v>11</v>
      </c>
      <c r="J248" s="13" t="s">
        <v>134</v>
      </c>
      <c r="K248" s="4">
        <v>19</v>
      </c>
    </row>
    <row r="249" spans="1:11" ht="15" thickBot="1">
      <c r="A249" s="10">
        <v>248</v>
      </c>
      <c r="B249" t="s">
        <v>40</v>
      </c>
      <c r="C249">
        <v>4</v>
      </c>
      <c r="D249">
        <v>5</v>
      </c>
      <c r="F249" s="20">
        <v>43922.75</v>
      </c>
      <c r="G249">
        <v>105</v>
      </c>
      <c r="H249" t="s">
        <v>15</v>
      </c>
      <c r="I249" t="s">
        <v>11</v>
      </c>
      <c r="J249" s="13" t="s">
        <v>134</v>
      </c>
      <c r="K249" s="4">
        <v>18</v>
      </c>
    </row>
    <row r="250" spans="1:11" ht="15" thickBot="1">
      <c r="A250" s="10">
        <v>249</v>
      </c>
      <c r="B250" t="s">
        <v>44</v>
      </c>
      <c r="C250">
        <v>5</v>
      </c>
      <c r="D250" t="s">
        <v>51</v>
      </c>
      <c r="F250" s="20">
        <v>43922.75</v>
      </c>
      <c r="G250">
        <v>90</v>
      </c>
      <c r="H250" t="s">
        <v>14</v>
      </c>
      <c r="I250" t="s">
        <v>9</v>
      </c>
      <c r="J250" s="13" t="s">
        <v>134</v>
      </c>
      <c r="K250" s="4">
        <v>19</v>
      </c>
    </row>
    <row r="251" spans="1:11" ht="15" thickBot="1">
      <c r="A251" s="10">
        <v>250</v>
      </c>
      <c r="B251" t="s">
        <v>44</v>
      </c>
      <c r="C251">
        <v>5</v>
      </c>
      <c r="D251" t="s">
        <v>51</v>
      </c>
      <c r="F251" s="20">
        <v>43922.8125</v>
      </c>
      <c r="G251">
        <v>90</v>
      </c>
      <c r="H251" t="s">
        <v>14</v>
      </c>
      <c r="I251" t="s">
        <v>9</v>
      </c>
      <c r="J251" s="13" t="s">
        <v>134</v>
      </c>
      <c r="K251" s="4">
        <v>18</v>
      </c>
    </row>
    <row r="252" spans="1:11" ht="15" thickBot="1">
      <c r="A252" s="10">
        <v>251</v>
      </c>
      <c r="B252" t="s">
        <v>39</v>
      </c>
      <c r="C252">
        <v>3</v>
      </c>
      <c r="D252" t="s">
        <v>50</v>
      </c>
      <c r="F252" s="20">
        <v>43922.822916666664</v>
      </c>
      <c r="G252">
        <v>105</v>
      </c>
      <c r="H252" t="s">
        <v>16</v>
      </c>
      <c r="I252" t="s">
        <v>10</v>
      </c>
      <c r="J252" s="13" t="s">
        <v>134</v>
      </c>
      <c r="K252" s="4">
        <v>18</v>
      </c>
    </row>
    <row r="253" spans="1:11" ht="15" thickBot="1">
      <c r="A253" s="10">
        <v>252</v>
      </c>
      <c r="B253" t="s">
        <v>37</v>
      </c>
      <c r="C253">
        <v>3</v>
      </c>
      <c r="D253" t="s">
        <v>45</v>
      </c>
      <c r="F253" s="20">
        <v>43922.822916666664</v>
      </c>
      <c r="G253">
        <v>105</v>
      </c>
      <c r="H253" t="s">
        <v>18</v>
      </c>
      <c r="I253" t="s">
        <v>10</v>
      </c>
      <c r="J253" s="13" t="s">
        <v>134</v>
      </c>
      <c r="K253" s="4">
        <v>19</v>
      </c>
    </row>
    <row r="254" spans="1:11" ht="15" thickBot="1">
      <c r="A254" s="10">
        <v>253</v>
      </c>
      <c r="B254" t="s">
        <v>43</v>
      </c>
      <c r="C254">
        <v>4</v>
      </c>
      <c r="D254" t="s">
        <v>46</v>
      </c>
      <c r="F254" s="20">
        <v>43922.822916666664</v>
      </c>
      <c r="G254">
        <v>105</v>
      </c>
      <c r="H254" t="s">
        <v>8</v>
      </c>
      <c r="I254" t="s">
        <v>11</v>
      </c>
      <c r="J254" s="13" t="s">
        <v>134</v>
      </c>
      <c r="K254" s="4">
        <v>19</v>
      </c>
    </row>
    <row r="255" spans="1:11" ht="15" thickBot="1">
      <c r="A255" s="10">
        <v>254</v>
      </c>
      <c r="B255" t="s">
        <v>40</v>
      </c>
      <c r="C255">
        <v>4</v>
      </c>
      <c r="D255">
        <v>5</v>
      </c>
      <c r="F255" s="20">
        <v>43922.822916666664</v>
      </c>
      <c r="G255">
        <v>105</v>
      </c>
      <c r="H255" t="s">
        <v>15</v>
      </c>
      <c r="I255" t="s">
        <v>11</v>
      </c>
      <c r="J255" s="13" t="s">
        <v>134</v>
      </c>
      <c r="K255" s="4">
        <v>18</v>
      </c>
    </row>
    <row r="256" spans="1:11" ht="15" thickBot="1">
      <c r="A256" s="10">
        <v>255</v>
      </c>
      <c r="B256" t="s">
        <v>41</v>
      </c>
      <c r="C256">
        <v>1</v>
      </c>
      <c r="D256" t="s">
        <v>128</v>
      </c>
      <c r="F256" s="20">
        <v>43922.833333333336</v>
      </c>
      <c r="G256">
        <v>120</v>
      </c>
      <c r="H256" t="s">
        <v>6</v>
      </c>
      <c r="I256" t="s">
        <v>6</v>
      </c>
      <c r="J256" s="13" t="s">
        <v>134</v>
      </c>
      <c r="K256" s="4">
        <v>19</v>
      </c>
    </row>
    <row r="257" spans="1:11" ht="15" thickBot="1">
      <c r="A257" s="10">
        <v>256</v>
      </c>
      <c r="B257" t="s">
        <v>38</v>
      </c>
      <c r="C257">
        <v>1</v>
      </c>
      <c r="D257" t="s">
        <v>45</v>
      </c>
      <c r="F257" s="20">
        <v>43922.833333333336</v>
      </c>
      <c r="G257">
        <v>120</v>
      </c>
      <c r="H257" t="s">
        <v>17</v>
      </c>
      <c r="I257" t="s">
        <v>6</v>
      </c>
      <c r="J257" s="13" t="s">
        <v>134</v>
      </c>
      <c r="K257" s="4">
        <v>19</v>
      </c>
    </row>
    <row r="258" spans="1:11" ht="15" thickBot="1">
      <c r="A258" s="10">
        <v>257</v>
      </c>
      <c r="B258" t="s">
        <v>42</v>
      </c>
      <c r="C258">
        <v>2</v>
      </c>
      <c r="D258" t="s">
        <v>49</v>
      </c>
      <c r="F258" s="20">
        <v>43922.833333333336</v>
      </c>
      <c r="G258">
        <v>120</v>
      </c>
      <c r="H258" t="s">
        <v>7</v>
      </c>
      <c r="I258" t="s">
        <v>7</v>
      </c>
      <c r="J258" s="13" t="s">
        <v>134</v>
      </c>
      <c r="K258" s="4">
        <v>19</v>
      </c>
    </row>
    <row r="259" spans="1:11" ht="15" thickBot="1">
      <c r="A259" s="10">
        <v>258</v>
      </c>
      <c r="B259" t="s">
        <v>41</v>
      </c>
      <c r="C259">
        <v>1</v>
      </c>
      <c r="D259" t="s">
        <v>128</v>
      </c>
      <c r="F259" s="20">
        <v>43924.75</v>
      </c>
      <c r="G259">
        <v>120</v>
      </c>
      <c r="H259" t="s">
        <v>6</v>
      </c>
      <c r="I259" t="s">
        <v>6</v>
      </c>
      <c r="J259" s="13" t="s">
        <v>110</v>
      </c>
      <c r="K259" s="4">
        <v>19</v>
      </c>
    </row>
    <row r="260" spans="1:11" ht="15" thickBot="1">
      <c r="A260" s="10">
        <v>259</v>
      </c>
      <c r="B260" t="s">
        <v>42</v>
      </c>
      <c r="C260">
        <v>2</v>
      </c>
      <c r="D260" t="s">
        <v>49</v>
      </c>
      <c r="F260" s="20">
        <v>43924.75</v>
      </c>
      <c r="G260">
        <v>120</v>
      </c>
      <c r="H260" t="s">
        <v>7</v>
      </c>
      <c r="I260" t="s">
        <v>7</v>
      </c>
      <c r="J260" s="13" t="s">
        <v>110</v>
      </c>
      <c r="K260" s="4">
        <v>19</v>
      </c>
    </row>
    <row r="261" spans="1:11" ht="15" thickBot="1">
      <c r="A261" s="10">
        <v>260</v>
      </c>
      <c r="B261" t="s">
        <v>43</v>
      </c>
      <c r="C261">
        <v>4</v>
      </c>
      <c r="D261" t="s">
        <v>46</v>
      </c>
      <c r="F261" s="20">
        <v>43924.75</v>
      </c>
      <c r="G261">
        <v>105</v>
      </c>
      <c r="H261" t="s">
        <v>8</v>
      </c>
      <c r="I261" t="s">
        <v>11</v>
      </c>
      <c r="J261" s="13" t="s">
        <v>110</v>
      </c>
      <c r="K261" s="4">
        <v>18</v>
      </c>
    </row>
    <row r="262" spans="1:11" ht="15" thickBot="1">
      <c r="A262" s="10">
        <v>261</v>
      </c>
      <c r="B262" t="s">
        <v>40</v>
      </c>
      <c r="C262">
        <v>4</v>
      </c>
      <c r="D262">
        <v>5</v>
      </c>
      <c r="F262" s="20">
        <v>43924.75</v>
      </c>
      <c r="G262">
        <v>105</v>
      </c>
      <c r="H262" t="s">
        <v>15</v>
      </c>
      <c r="I262" t="s">
        <v>11</v>
      </c>
      <c r="J262" s="13" t="s">
        <v>110</v>
      </c>
      <c r="K262" s="4">
        <v>18</v>
      </c>
    </row>
    <row r="263" spans="1:11" ht="15" thickBot="1">
      <c r="A263" s="10">
        <v>262</v>
      </c>
      <c r="B263" t="s">
        <v>44</v>
      </c>
      <c r="C263">
        <v>5</v>
      </c>
      <c r="D263" t="s">
        <v>51</v>
      </c>
      <c r="F263" s="20">
        <v>43924.75</v>
      </c>
      <c r="G263">
        <v>90</v>
      </c>
      <c r="H263" t="s">
        <v>14</v>
      </c>
      <c r="I263" t="s">
        <v>9</v>
      </c>
      <c r="J263" s="13" t="s">
        <v>110</v>
      </c>
      <c r="K263" s="4">
        <v>18</v>
      </c>
    </row>
    <row r="264" spans="1:11" ht="15" thickBot="1">
      <c r="A264" s="10">
        <v>263</v>
      </c>
      <c r="B264" t="s">
        <v>38</v>
      </c>
      <c r="C264">
        <v>5</v>
      </c>
      <c r="D264" t="s">
        <v>45</v>
      </c>
      <c r="F264" s="20">
        <v>43924.75</v>
      </c>
      <c r="G264">
        <v>90</v>
      </c>
      <c r="H264" t="s">
        <v>17</v>
      </c>
      <c r="I264" t="s">
        <v>9</v>
      </c>
      <c r="J264" s="13" t="s">
        <v>110</v>
      </c>
      <c r="K264" s="4">
        <v>19</v>
      </c>
    </row>
    <row r="265" spans="1:11" ht="15" thickBot="1">
      <c r="A265" s="10">
        <v>264</v>
      </c>
      <c r="B265" t="s">
        <v>39</v>
      </c>
      <c r="C265">
        <v>6</v>
      </c>
      <c r="D265" t="s">
        <v>50</v>
      </c>
      <c r="F265" s="20">
        <v>43924.75</v>
      </c>
      <c r="G265">
        <v>60</v>
      </c>
      <c r="H265" t="s">
        <v>16</v>
      </c>
      <c r="I265" t="s">
        <v>12</v>
      </c>
      <c r="J265" s="13" t="s">
        <v>110</v>
      </c>
      <c r="K265" s="4">
        <v>19</v>
      </c>
    </row>
    <row r="266" spans="1:11" ht="15" thickBot="1">
      <c r="A266" s="10">
        <v>265</v>
      </c>
      <c r="B266" t="s">
        <v>37</v>
      </c>
      <c r="C266">
        <v>6</v>
      </c>
      <c r="D266" t="s">
        <v>45</v>
      </c>
      <c r="F266" s="20">
        <v>43924.75</v>
      </c>
      <c r="G266">
        <v>60</v>
      </c>
      <c r="H266" t="s">
        <v>18</v>
      </c>
      <c r="I266" t="s">
        <v>12</v>
      </c>
      <c r="J266" s="13" t="s">
        <v>110</v>
      </c>
      <c r="K266" s="4">
        <v>19</v>
      </c>
    </row>
    <row r="267" spans="1:11" ht="15" thickBot="1">
      <c r="A267" s="10">
        <v>266</v>
      </c>
      <c r="B267" t="s">
        <v>39</v>
      </c>
      <c r="C267">
        <v>6</v>
      </c>
      <c r="D267" t="s">
        <v>50</v>
      </c>
      <c r="F267" s="20">
        <v>43924.791666666664</v>
      </c>
      <c r="G267">
        <v>60</v>
      </c>
      <c r="H267" t="s">
        <v>16</v>
      </c>
      <c r="I267" t="s">
        <v>12</v>
      </c>
      <c r="J267" s="13" t="s">
        <v>110</v>
      </c>
      <c r="K267" s="4">
        <v>19</v>
      </c>
    </row>
    <row r="268" spans="1:11" ht="15" thickBot="1">
      <c r="A268" s="10">
        <v>267</v>
      </c>
      <c r="B268" t="s">
        <v>37</v>
      </c>
      <c r="C268">
        <v>6</v>
      </c>
      <c r="D268" t="s">
        <v>45</v>
      </c>
      <c r="F268" s="20">
        <v>43924.791666666664</v>
      </c>
      <c r="G268">
        <v>60</v>
      </c>
      <c r="H268" t="s">
        <v>18</v>
      </c>
      <c r="I268" t="s">
        <v>12</v>
      </c>
      <c r="J268" s="13" t="s">
        <v>110</v>
      </c>
      <c r="K268" s="4">
        <v>19</v>
      </c>
    </row>
    <row r="269" spans="1:11" ht="15" thickBot="1">
      <c r="A269" s="10">
        <v>268</v>
      </c>
      <c r="B269" t="s">
        <v>44</v>
      </c>
      <c r="C269">
        <v>5</v>
      </c>
      <c r="D269" t="s">
        <v>51</v>
      </c>
      <c r="F269" s="20">
        <v>43924.8125</v>
      </c>
      <c r="G269">
        <v>90</v>
      </c>
      <c r="H269" t="s">
        <v>14</v>
      </c>
      <c r="I269" t="s">
        <v>9</v>
      </c>
      <c r="J269" s="13" t="s">
        <v>110</v>
      </c>
      <c r="K269" s="4">
        <v>18</v>
      </c>
    </row>
    <row r="270" spans="1:11" ht="15" thickBot="1">
      <c r="A270" s="10">
        <v>269</v>
      </c>
      <c r="B270" t="s">
        <v>38</v>
      </c>
      <c r="C270">
        <v>5</v>
      </c>
      <c r="D270" t="s">
        <v>45</v>
      </c>
      <c r="F270" s="20">
        <v>43924.8125</v>
      </c>
      <c r="G270">
        <v>90</v>
      </c>
      <c r="H270" t="s">
        <v>17</v>
      </c>
      <c r="I270" t="s">
        <v>9</v>
      </c>
      <c r="J270" s="13" t="s">
        <v>110</v>
      </c>
      <c r="K270" s="4">
        <v>19</v>
      </c>
    </row>
    <row r="271" spans="1:11" ht="15" thickBot="1">
      <c r="A271" s="10">
        <v>270</v>
      </c>
      <c r="B271" t="s">
        <v>43</v>
      </c>
      <c r="C271">
        <v>4</v>
      </c>
      <c r="D271" t="s">
        <v>46</v>
      </c>
      <c r="F271" s="20">
        <v>43924.822916666664</v>
      </c>
      <c r="G271">
        <v>105</v>
      </c>
      <c r="H271" t="s">
        <v>8</v>
      </c>
      <c r="I271" t="s">
        <v>11</v>
      </c>
      <c r="J271" s="13" t="s">
        <v>110</v>
      </c>
      <c r="K271" s="4">
        <v>18</v>
      </c>
    </row>
    <row r="272" spans="1:11" ht="15" thickBot="1">
      <c r="A272" s="10">
        <v>271</v>
      </c>
      <c r="B272" t="s">
        <v>40</v>
      </c>
      <c r="C272">
        <v>4</v>
      </c>
      <c r="D272">
        <v>5</v>
      </c>
      <c r="F272" s="20">
        <v>43924.822916666664</v>
      </c>
      <c r="G272">
        <v>105</v>
      </c>
      <c r="H272" t="s">
        <v>15</v>
      </c>
      <c r="I272" t="s">
        <v>11</v>
      </c>
      <c r="J272" s="13" t="s">
        <v>110</v>
      </c>
      <c r="K272" s="4">
        <v>18</v>
      </c>
    </row>
    <row r="273" spans="1:11" ht="15" thickBot="1">
      <c r="A273" s="10">
        <v>272</v>
      </c>
      <c r="B273" t="s">
        <v>41</v>
      </c>
      <c r="C273">
        <v>1</v>
      </c>
      <c r="D273" t="s">
        <v>128</v>
      </c>
      <c r="F273" s="20">
        <v>43924.833333333336</v>
      </c>
      <c r="G273">
        <v>120</v>
      </c>
      <c r="H273" t="s">
        <v>6</v>
      </c>
      <c r="I273" t="s">
        <v>6</v>
      </c>
      <c r="J273" s="13" t="s">
        <v>110</v>
      </c>
      <c r="K273" s="4">
        <v>19</v>
      </c>
    </row>
    <row r="274" spans="1:11" ht="15" thickBot="1">
      <c r="A274" s="10">
        <v>273</v>
      </c>
      <c r="B274" t="s">
        <v>42</v>
      </c>
      <c r="C274">
        <v>2</v>
      </c>
      <c r="D274" t="s">
        <v>49</v>
      </c>
      <c r="F274" s="20">
        <v>43924.833333333336</v>
      </c>
      <c r="G274">
        <v>120</v>
      </c>
      <c r="H274" t="s">
        <v>7</v>
      </c>
      <c r="I274" t="s">
        <v>7</v>
      </c>
      <c r="J274" s="13" t="s">
        <v>110</v>
      </c>
      <c r="K274" s="4">
        <v>18</v>
      </c>
    </row>
    <row r="275" spans="1:11" ht="15" thickBot="1">
      <c r="A275" s="10">
        <v>274</v>
      </c>
      <c r="B275" t="s">
        <v>39</v>
      </c>
      <c r="C275">
        <v>4</v>
      </c>
      <c r="D275" t="s">
        <v>50</v>
      </c>
      <c r="F275" s="20">
        <v>43924.833333333336</v>
      </c>
      <c r="G275">
        <v>105</v>
      </c>
      <c r="H275" t="s">
        <v>16</v>
      </c>
      <c r="I275" t="s">
        <v>11</v>
      </c>
      <c r="J275" s="13" t="s">
        <v>110</v>
      </c>
      <c r="K275" s="4">
        <v>19</v>
      </c>
    </row>
    <row r="276" spans="1:11" ht="15" thickBot="1">
      <c r="A276" s="10">
        <v>275</v>
      </c>
      <c r="B276" t="s">
        <v>37</v>
      </c>
      <c r="C276">
        <v>4</v>
      </c>
      <c r="D276" t="s">
        <v>45</v>
      </c>
      <c r="F276" s="20">
        <v>43924.833333333336</v>
      </c>
      <c r="G276">
        <v>105</v>
      </c>
      <c r="H276" t="s">
        <v>18</v>
      </c>
      <c r="I276" t="s">
        <v>11</v>
      </c>
      <c r="J276" s="13" t="s">
        <v>110</v>
      </c>
      <c r="K276" s="4">
        <v>18</v>
      </c>
    </row>
    <row r="277" spans="1:11" ht="15" thickBot="1">
      <c r="A277" s="10">
        <v>276</v>
      </c>
      <c r="B277" t="s">
        <v>41</v>
      </c>
      <c r="C277">
        <v>1</v>
      </c>
      <c r="D277" t="s">
        <v>128</v>
      </c>
      <c r="F277" s="20">
        <v>43925.375</v>
      </c>
      <c r="G277">
        <v>120</v>
      </c>
      <c r="H277" t="s">
        <v>6</v>
      </c>
      <c r="I277" t="s">
        <v>6</v>
      </c>
      <c r="J277" s="13" t="s">
        <v>111</v>
      </c>
      <c r="K277" s="4">
        <v>18</v>
      </c>
    </row>
    <row r="278" spans="1:11" ht="15" thickBot="1">
      <c r="A278" s="10">
        <v>277</v>
      </c>
      <c r="B278" t="s">
        <v>38</v>
      </c>
      <c r="C278">
        <v>1</v>
      </c>
      <c r="D278" t="s">
        <v>45</v>
      </c>
      <c r="F278" s="20">
        <v>43925.375</v>
      </c>
      <c r="G278">
        <v>120</v>
      </c>
      <c r="H278" t="s">
        <v>17</v>
      </c>
      <c r="I278" t="s">
        <v>6</v>
      </c>
      <c r="J278" s="13" t="s">
        <v>111</v>
      </c>
      <c r="K278" s="4">
        <v>18</v>
      </c>
    </row>
    <row r="279" spans="1:11" ht="15" thickBot="1">
      <c r="A279" s="10">
        <v>278</v>
      </c>
      <c r="B279" t="s">
        <v>42</v>
      </c>
      <c r="C279">
        <v>2</v>
      </c>
      <c r="D279" t="s">
        <v>49</v>
      </c>
      <c r="F279" s="20">
        <v>43925.375</v>
      </c>
      <c r="G279">
        <v>120</v>
      </c>
      <c r="H279" t="s">
        <v>7</v>
      </c>
      <c r="I279" t="s">
        <v>7</v>
      </c>
      <c r="J279" s="13" t="s">
        <v>111</v>
      </c>
      <c r="K279" s="4">
        <v>18</v>
      </c>
    </row>
    <row r="280" spans="1:11" ht="15" thickBot="1">
      <c r="A280" s="10">
        <v>279</v>
      </c>
      <c r="B280" t="s">
        <v>39</v>
      </c>
      <c r="C280">
        <v>3</v>
      </c>
      <c r="D280" t="s">
        <v>50</v>
      </c>
      <c r="F280" s="20">
        <v>43925.375</v>
      </c>
      <c r="G280">
        <v>105</v>
      </c>
      <c r="H280" t="s">
        <v>16</v>
      </c>
      <c r="I280" t="s">
        <v>10</v>
      </c>
      <c r="J280" s="13" t="s">
        <v>111</v>
      </c>
      <c r="K280" s="4">
        <v>19</v>
      </c>
    </row>
    <row r="281" spans="1:11" ht="15" thickBot="1">
      <c r="A281" s="10">
        <v>280</v>
      </c>
      <c r="B281" t="s">
        <v>43</v>
      </c>
      <c r="C281">
        <v>4</v>
      </c>
      <c r="D281" t="s">
        <v>46</v>
      </c>
      <c r="F281" s="20">
        <v>43925.375</v>
      </c>
      <c r="G281">
        <v>105</v>
      </c>
      <c r="H281" t="s">
        <v>8</v>
      </c>
      <c r="I281" t="s">
        <v>11</v>
      </c>
      <c r="J281" s="13" t="s">
        <v>111</v>
      </c>
      <c r="K281" s="4">
        <v>19</v>
      </c>
    </row>
    <row r="282" spans="1:11" ht="15" thickBot="1">
      <c r="A282" s="10">
        <v>281</v>
      </c>
      <c r="B282" t="s">
        <v>40</v>
      </c>
      <c r="C282">
        <v>4</v>
      </c>
      <c r="D282">
        <v>5</v>
      </c>
      <c r="F282" s="20">
        <v>43925.375</v>
      </c>
      <c r="G282">
        <v>105</v>
      </c>
      <c r="H282" t="s">
        <v>15</v>
      </c>
      <c r="I282" t="s">
        <v>11</v>
      </c>
      <c r="J282" s="13" t="s">
        <v>111</v>
      </c>
      <c r="K282" s="4">
        <v>19</v>
      </c>
    </row>
    <row r="283" spans="1:11" ht="15" thickBot="1">
      <c r="A283" s="10">
        <v>282</v>
      </c>
      <c r="B283" t="s">
        <v>37</v>
      </c>
      <c r="C283">
        <v>5</v>
      </c>
      <c r="D283" t="s">
        <v>45</v>
      </c>
      <c r="F283" s="20">
        <v>43925.375</v>
      </c>
      <c r="G283">
        <v>90</v>
      </c>
      <c r="H283" t="s">
        <v>18</v>
      </c>
      <c r="I283" t="s">
        <v>9</v>
      </c>
      <c r="J283" s="13" t="s">
        <v>111</v>
      </c>
      <c r="K283" s="4">
        <v>19</v>
      </c>
    </row>
    <row r="284" spans="1:11" ht="15" thickBot="1">
      <c r="A284" s="10">
        <v>283</v>
      </c>
      <c r="B284" t="s">
        <v>44</v>
      </c>
      <c r="C284">
        <v>7</v>
      </c>
      <c r="D284" t="s">
        <v>51</v>
      </c>
      <c r="F284" s="20">
        <v>43925.375</v>
      </c>
      <c r="G284">
        <v>60</v>
      </c>
      <c r="H284" t="s">
        <v>14</v>
      </c>
      <c r="I284" t="s">
        <v>13</v>
      </c>
      <c r="J284" s="13" t="s">
        <v>111</v>
      </c>
      <c r="K284" s="4">
        <v>18</v>
      </c>
    </row>
    <row r="285" spans="1:11" ht="15" thickBot="1">
      <c r="A285" s="10">
        <v>284</v>
      </c>
      <c r="B285" t="s">
        <v>37</v>
      </c>
      <c r="C285">
        <v>5</v>
      </c>
      <c r="D285" t="s">
        <v>45</v>
      </c>
      <c r="F285" s="20">
        <v>43925.4375</v>
      </c>
      <c r="G285">
        <v>90</v>
      </c>
      <c r="H285" t="s">
        <v>18</v>
      </c>
      <c r="I285" t="s">
        <v>9</v>
      </c>
      <c r="J285" s="13" t="s">
        <v>111</v>
      </c>
      <c r="K285" s="4">
        <v>19</v>
      </c>
    </row>
    <row r="286" spans="1:11" ht="15" thickBot="1">
      <c r="A286" s="10">
        <v>285</v>
      </c>
      <c r="B286" t="s">
        <v>39</v>
      </c>
      <c r="C286">
        <v>3</v>
      </c>
      <c r="D286" t="s">
        <v>50</v>
      </c>
      <c r="F286" s="20">
        <v>43925.447916666664</v>
      </c>
      <c r="G286">
        <v>105</v>
      </c>
      <c r="H286" t="s">
        <v>16</v>
      </c>
      <c r="I286" t="s">
        <v>10</v>
      </c>
      <c r="J286" s="13" t="s">
        <v>111</v>
      </c>
      <c r="K286" s="4">
        <v>18</v>
      </c>
    </row>
    <row r="287" spans="1:11" ht="15" thickBot="1">
      <c r="A287" s="10">
        <v>286</v>
      </c>
      <c r="B287" t="s">
        <v>43</v>
      </c>
      <c r="C287">
        <v>4</v>
      </c>
      <c r="D287" t="s">
        <v>46</v>
      </c>
      <c r="F287" s="20">
        <v>43925.447916666664</v>
      </c>
      <c r="G287">
        <v>105</v>
      </c>
      <c r="H287" t="s">
        <v>8</v>
      </c>
      <c r="I287" t="s">
        <v>11</v>
      </c>
      <c r="J287" s="13" t="s">
        <v>111</v>
      </c>
      <c r="K287" s="4">
        <v>19</v>
      </c>
    </row>
    <row r="288" spans="1:11" ht="15" thickBot="1">
      <c r="A288" s="10">
        <v>287</v>
      </c>
      <c r="B288" t="s">
        <v>40</v>
      </c>
      <c r="C288">
        <v>4</v>
      </c>
      <c r="D288">
        <v>5</v>
      </c>
      <c r="F288" s="20">
        <v>43925.447916666664</v>
      </c>
      <c r="G288">
        <v>105</v>
      </c>
      <c r="H288" t="s">
        <v>15</v>
      </c>
      <c r="I288" t="s">
        <v>11</v>
      </c>
      <c r="J288" s="13" t="s">
        <v>111</v>
      </c>
      <c r="K288" s="4">
        <v>19</v>
      </c>
    </row>
    <row r="289" spans="1:11" ht="15" thickBot="1">
      <c r="A289" s="10">
        <v>288</v>
      </c>
      <c r="B289" t="s">
        <v>41</v>
      </c>
      <c r="C289">
        <v>1</v>
      </c>
      <c r="D289" t="s">
        <v>128</v>
      </c>
      <c r="F289" s="20">
        <v>43925.458333333336</v>
      </c>
      <c r="G289">
        <v>120</v>
      </c>
      <c r="H289" t="s">
        <v>6</v>
      </c>
      <c r="I289" t="s">
        <v>6</v>
      </c>
      <c r="J289" s="13" t="s">
        <v>111</v>
      </c>
      <c r="K289" s="4">
        <v>18</v>
      </c>
    </row>
    <row r="290" spans="1:11" ht="15" thickBot="1">
      <c r="A290" s="10">
        <v>289</v>
      </c>
      <c r="B290" t="s">
        <v>42</v>
      </c>
      <c r="C290">
        <v>2</v>
      </c>
      <c r="D290" t="s">
        <v>49</v>
      </c>
      <c r="F290" s="20">
        <v>43925.458333333336</v>
      </c>
      <c r="G290">
        <v>120</v>
      </c>
      <c r="H290" t="s">
        <v>7</v>
      </c>
      <c r="I290" t="s">
        <v>7</v>
      </c>
      <c r="J290" s="13" t="s">
        <v>111</v>
      </c>
      <c r="K290" s="4">
        <v>19</v>
      </c>
    </row>
    <row r="291" spans="1:11" ht="15" thickBot="1">
      <c r="A291" s="10">
        <v>290</v>
      </c>
      <c r="B291" t="s">
        <v>38</v>
      </c>
      <c r="C291">
        <v>2</v>
      </c>
      <c r="D291" t="s">
        <v>45</v>
      </c>
      <c r="F291" s="20">
        <v>43925.458333333336</v>
      </c>
      <c r="G291">
        <v>120</v>
      </c>
      <c r="H291" t="s">
        <v>17</v>
      </c>
      <c r="I291" t="s">
        <v>7</v>
      </c>
      <c r="J291" s="13" t="s">
        <v>111</v>
      </c>
      <c r="K291" s="4">
        <v>18</v>
      </c>
    </row>
    <row r="292" spans="1:11" ht="15" thickBot="1">
      <c r="A292" s="10">
        <v>291</v>
      </c>
      <c r="B292" t="s">
        <v>44</v>
      </c>
      <c r="C292">
        <v>5</v>
      </c>
      <c r="D292" t="s">
        <v>51</v>
      </c>
      <c r="F292" s="20">
        <v>43925.458333333336</v>
      </c>
      <c r="G292">
        <v>90</v>
      </c>
      <c r="H292" t="s">
        <v>14</v>
      </c>
      <c r="I292" t="s">
        <v>9</v>
      </c>
      <c r="J292" s="13" t="s">
        <v>111</v>
      </c>
      <c r="K292" s="4">
        <v>18</v>
      </c>
    </row>
    <row r="293" spans="1:11" ht="15" thickBot="1">
      <c r="A293" s="10">
        <v>292</v>
      </c>
      <c r="B293" t="s">
        <v>37</v>
      </c>
      <c r="C293">
        <v>5</v>
      </c>
      <c r="D293" t="s">
        <v>45</v>
      </c>
      <c r="F293" s="20">
        <v>43925.5</v>
      </c>
      <c r="G293">
        <v>90</v>
      </c>
      <c r="H293" t="s">
        <v>18</v>
      </c>
      <c r="I293" t="s">
        <v>9</v>
      </c>
      <c r="J293" s="13" t="s">
        <v>111</v>
      </c>
      <c r="K293" s="4">
        <v>19</v>
      </c>
    </row>
    <row r="294" spans="1:11" ht="15" thickBot="1">
      <c r="A294" s="10">
        <v>293</v>
      </c>
      <c r="B294" t="s">
        <v>44</v>
      </c>
      <c r="C294">
        <v>5</v>
      </c>
      <c r="D294" t="s">
        <v>51</v>
      </c>
      <c r="F294" s="20">
        <v>43925.520833333336</v>
      </c>
      <c r="G294">
        <v>90</v>
      </c>
      <c r="H294" t="s">
        <v>14</v>
      </c>
      <c r="I294" t="s">
        <v>9</v>
      </c>
      <c r="J294" s="13" t="s">
        <v>111</v>
      </c>
      <c r="K294" s="4">
        <v>18</v>
      </c>
    </row>
    <row r="295" spans="1:11" ht="15" thickBot="1">
      <c r="A295" s="10">
        <v>294</v>
      </c>
      <c r="B295" t="s">
        <v>41</v>
      </c>
      <c r="C295">
        <v>1</v>
      </c>
      <c r="D295" t="s">
        <v>128</v>
      </c>
      <c r="F295" s="20">
        <v>43925.541666666664</v>
      </c>
      <c r="G295">
        <v>120</v>
      </c>
      <c r="H295" t="s">
        <v>6</v>
      </c>
      <c r="I295" t="s">
        <v>6</v>
      </c>
      <c r="J295" s="13" t="s">
        <v>111</v>
      </c>
      <c r="K295" s="4">
        <v>18</v>
      </c>
    </row>
    <row r="296" spans="1:11" ht="15" thickBot="1">
      <c r="A296" s="10">
        <v>295</v>
      </c>
      <c r="B296" t="s">
        <v>42</v>
      </c>
      <c r="C296">
        <v>2</v>
      </c>
      <c r="D296" t="s">
        <v>49</v>
      </c>
      <c r="F296" s="20">
        <v>43925.541666666664</v>
      </c>
      <c r="G296">
        <v>120</v>
      </c>
      <c r="H296" t="s">
        <v>7</v>
      </c>
      <c r="I296" t="s">
        <v>7</v>
      </c>
      <c r="J296" s="13" t="s">
        <v>111</v>
      </c>
      <c r="K296" s="4">
        <v>19</v>
      </c>
    </row>
    <row r="297" spans="1:11" ht="15" thickBot="1">
      <c r="A297" s="10">
        <v>296</v>
      </c>
      <c r="B297" t="s">
        <v>39</v>
      </c>
      <c r="C297">
        <v>3</v>
      </c>
      <c r="D297" t="s">
        <v>50</v>
      </c>
      <c r="F297" s="20">
        <v>43925.541666666664</v>
      </c>
      <c r="G297">
        <v>105</v>
      </c>
      <c r="H297" t="s">
        <v>16</v>
      </c>
      <c r="I297" t="s">
        <v>10</v>
      </c>
      <c r="J297" s="13" t="s">
        <v>111</v>
      </c>
      <c r="K297" s="4">
        <v>18</v>
      </c>
    </row>
    <row r="298" spans="1:11" ht="15" thickBot="1">
      <c r="A298" s="10">
        <v>297</v>
      </c>
      <c r="B298" t="s">
        <v>38</v>
      </c>
      <c r="C298">
        <v>3</v>
      </c>
      <c r="D298" t="s">
        <v>45</v>
      </c>
      <c r="F298" s="20">
        <v>43925.541666666664</v>
      </c>
      <c r="G298">
        <v>105</v>
      </c>
      <c r="H298" t="s">
        <v>17</v>
      </c>
      <c r="I298" t="s">
        <v>10</v>
      </c>
      <c r="J298" s="13" t="s">
        <v>111</v>
      </c>
      <c r="K298" s="4">
        <v>19</v>
      </c>
    </row>
    <row r="299" spans="1:11" ht="15" thickBot="1">
      <c r="A299" s="10">
        <v>298</v>
      </c>
      <c r="B299" t="s">
        <v>43</v>
      </c>
      <c r="C299">
        <v>4</v>
      </c>
      <c r="D299" t="s">
        <v>46</v>
      </c>
      <c r="F299" s="20">
        <v>43925.541666666664</v>
      </c>
      <c r="G299">
        <v>105</v>
      </c>
      <c r="H299" t="s">
        <v>8</v>
      </c>
      <c r="I299" t="s">
        <v>11</v>
      </c>
      <c r="J299" s="13" t="s">
        <v>111</v>
      </c>
      <c r="K299" s="4">
        <v>19</v>
      </c>
    </row>
    <row r="300" spans="1:11" ht="15" thickBot="1">
      <c r="A300" s="10">
        <v>299</v>
      </c>
      <c r="B300" t="s">
        <v>40</v>
      </c>
      <c r="C300">
        <v>4</v>
      </c>
      <c r="D300">
        <v>5</v>
      </c>
      <c r="F300" s="20">
        <v>43925.541666666664</v>
      </c>
      <c r="G300">
        <v>105</v>
      </c>
      <c r="H300" t="s">
        <v>15</v>
      </c>
      <c r="I300" t="s">
        <v>11</v>
      </c>
      <c r="J300" s="13" t="s">
        <v>111</v>
      </c>
      <c r="K300" s="4">
        <v>19</v>
      </c>
    </row>
    <row r="301" spans="1:11" ht="15" thickBot="1">
      <c r="A301" s="10">
        <v>300</v>
      </c>
      <c r="B301" t="s">
        <v>37</v>
      </c>
      <c r="C301">
        <v>2</v>
      </c>
      <c r="D301" t="s">
        <v>45</v>
      </c>
      <c r="F301" s="20">
        <v>43925.583333333336</v>
      </c>
      <c r="G301">
        <v>120</v>
      </c>
      <c r="H301" t="s">
        <v>18</v>
      </c>
      <c r="I301" t="s">
        <v>7</v>
      </c>
      <c r="J301" s="13" t="s">
        <v>111</v>
      </c>
      <c r="K301" s="4">
        <v>18</v>
      </c>
    </row>
    <row r="302" spans="1:11" ht="15" thickBot="1">
      <c r="A302" s="10">
        <v>301</v>
      </c>
      <c r="B302" t="s">
        <v>44</v>
      </c>
      <c r="C302">
        <v>5</v>
      </c>
      <c r="D302" t="s">
        <v>51</v>
      </c>
      <c r="F302" s="20">
        <v>43925.604166666664</v>
      </c>
      <c r="G302">
        <v>90</v>
      </c>
      <c r="H302" t="s">
        <v>14</v>
      </c>
      <c r="I302" t="s">
        <v>9</v>
      </c>
      <c r="J302" s="13" t="s">
        <v>111</v>
      </c>
      <c r="K302" s="4">
        <v>18</v>
      </c>
    </row>
    <row r="303" spans="1:11" ht="15" thickBot="1">
      <c r="A303" s="10">
        <v>302</v>
      </c>
      <c r="B303" t="s">
        <v>39</v>
      </c>
      <c r="C303">
        <v>3</v>
      </c>
      <c r="D303" t="s">
        <v>50</v>
      </c>
      <c r="F303" s="20">
        <v>43925.614583333336</v>
      </c>
      <c r="G303">
        <v>105</v>
      </c>
      <c r="H303" t="s">
        <v>16</v>
      </c>
      <c r="I303" t="s">
        <v>10</v>
      </c>
      <c r="J303" s="13" t="s">
        <v>111</v>
      </c>
      <c r="K303" s="4">
        <v>18</v>
      </c>
    </row>
    <row r="304" spans="1:11" ht="15" thickBot="1">
      <c r="A304" s="10">
        <v>303</v>
      </c>
      <c r="B304" t="s">
        <v>38</v>
      </c>
      <c r="C304">
        <v>3</v>
      </c>
      <c r="D304" t="s">
        <v>45</v>
      </c>
      <c r="F304" s="20">
        <v>43925.614583333336</v>
      </c>
      <c r="G304">
        <v>105</v>
      </c>
      <c r="H304" t="s">
        <v>17</v>
      </c>
      <c r="I304" t="s">
        <v>10</v>
      </c>
      <c r="J304" s="13" t="s">
        <v>111</v>
      </c>
      <c r="K304" s="4">
        <v>19</v>
      </c>
    </row>
    <row r="305" spans="1:11" ht="15" thickBot="1">
      <c r="A305" s="10">
        <v>304</v>
      </c>
      <c r="B305" t="s">
        <v>43</v>
      </c>
      <c r="C305">
        <v>4</v>
      </c>
      <c r="D305" t="s">
        <v>46</v>
      </c>
      <c r="F305" s="20">
        <v>43925.614583333336</v>
      </c>
      <c r="G305">
        <v>105</v>
      </c>
      <c r="H305" t="s">
        <v>8</v>
      </c>
      <c r="I305" t="s">
        <v>11</v>
      </c>
      <c r="J305" s="13" t="s">
        <v>111</v>
      </c>
      <c r="K305" s="4">
        <v>18</v>
      </c>
    </row>
    <row r="306" spans="1:11" ht="15" thickBot="1">
      <c r="A306" s="10">
        <v>305</v>
      </c>
      <c r="B306" t="s">
        <v>40</v>
      </c>
      <c r="C306">
        <v>4</v>
      </c>
      <c r="D306">
        <v>5</v>
      </c>
      <c r="F306" s="20">
        <v>43925.614583333336</v>
      </c>
      <c r="G306">
        <v>105</v>
      </c>
      <c r="H306" t="s">
        <v>15</v>
      </c>
      <c r="I306" t="s">
        <v>11</v>
      </c>
      <c r="J306" s="13" t="s">
        <v>111</v>
      </c>
      <c r="K306" s="4">
        <v>19</v>
      </c>
    </row>
    <row r="307" spans="1:11" ht="15" thickBot="1">
      <c r="A307" s="10">
        <v>306</v>
      </c>
      <c r="B307" t="s">
        <v>41</v>
      </c>
      <c r="C307">
        <v>1</v>
      </c>
      <c r="D307" t="s">
        <v>128</v>
      </c>
      <c r="F307" s="20">
        <v>43925.625</v>
      </c>
      <c r="G307">
        <v>120</v>
      </c>
      <c r="H307" t="s">
        <v>6</v>
      </c>
      <c r="I307" t="s">
        <v>6</v>
      </c>
      <c r="J307" s="13" t="s">
        <v>111</v>
      </c>
      <c r="K307" s="4">
        <v>18</v>
      </c>
    </row>
    <row r="308" spans="1:11" ht="15" thickBot="1">
      <c r="A308" s="10">
        <v>307</v>
      </c>
      <c r="B308" t="s">
        <v>42</v>
      </c>
      <c r="C308">
        <v>2</v>
      </c>
      <c r="D308" t="s">
        <v>49</v>
      </c>
      <c r="F308" s="20">
        <v>43925.625</v>
      </c>
      <c r="G308">
        <v>120</v>
      </c>
      <c r="H308" t="s">
        <v>7</v>
      </c>
      <c r="I308" t="s">
        <v>7</v>
      </c>
      <c r="J308" s="13" t="s">
        <v>111</v>
      </c>
      <c r="K308" s="4">
        <v>19</v>
      </c>
    </row>
    <row r="309" spans="1:11" ht="15" thickBot="1">
      <c r="A309" s="10">
        <v>308</v>
      </c>
      <c r="B309" t="s">
        <v>37</v>
      </c>
      <c r="C309">
        <v>2</v>
      </c>
      <c r="D309" t="s">
        <v>45</v>
      </c>
      <c r="F309" s="20">
        <v>43925.666666666664</v>
      </c>
      <c r="G309">
        <v>120</v>
      </c>
      <c r="H309" t="s">
        <v>18</v>
      </c>
      <c r="I309" t="s">
        <v>7</v>
      </c>
      <c r="J309" s="13" t="s">
        <v>111</v>
      </c>
      <c r="K309" s="4">
        <v>18</v>
      </c>
    </row>
    <row r="310" spans="1:11" ht="15" thickBot="1">
      <c r="A310" s="10">
        <v>309</v>
      </c>
      <c r="B310" t="s">
        <v>44</v>
      </c>
      <c r="C310">
        <v>5</v>
      </c>
      <c r="D310" t="s">
        <v>51</v>
      </c>
      <c r="F310" s="20">
        <v>43925.666666666664</v>
      </c>
      <c r="G310">
        <v>90</v>
      </c>
      <c r="H310" t="s">
        <v>14</v>
      </c>
      <c r="I310" t="s">
        <v>9</v>
      </c>
      <c r="J310" s="13" t="s">
        <v>111</v>
      </c>
      <c r="K310" s="4">
        <v>18</v>
      </c>
    </row>
    <row r="311" spans="1:11" ht="15" thickBot="1">
      <c r="A311" s="10">
        <v>310</v>
      </c>
      <c r="B311" t="s">
        <v>39</v>
      </c>
      <c r="C311">
        <v>3</v>
      </c>
      <c r="D311" t="s">
        <v>50</v>
      </c>
      <c r="F311" s="20">
        <v>43925.6875</v>
      </c>
      <c r="G311">
        <v>105</v>
      </c>
      <c r="H311" t="s">
        <v>16</v>
      </c>
      <c r="I311" t="s">
        <v>10</v>
      </c>
      <c r="J311" s="13" t="s">
        <v>111</v>
      </c>
      <c r="K311" s="4">
        <v>18</v>
      </c>
    </row>
    <row r="312" spans="1:11" ht="15" thickBot="1">
      <c r="A312" s="10">
        <v>311</v>
      </c>
      <c r="B312" t="s">
        <v>38</v>
      </c>
      <c r="C312">
        <v>3</v>
      </c>
      <c r="D312" t="s">
        <v>45</v>
      </c>
      <c r="F312" s="20">
        <v>43925.6875</v>
      </c>
      <c r="G312">
        <v>105</v>
      </c>
      <c r="H312" t="s">
        <v>17</v>
      </c>
      <c r="I312" t="s">
        <v>10</v>
      </c>
      <c r="J312" s="13" t="s">
        <v>111</v>
      </c>
      <c r="K312" s="4">
        <v>19</v>
      </c>
    </row>
    <row r="313" spans="1:11" ht="15" thickBot="1">
      <c r="A313" s="10">
        <v>312</v>
      </c>
      <c r="B313" t="s">
        <v>43</v>
      </c>
      <c r="C313">
        <v>4</v>
      </c>
      <c r="D313" t="s">
        <v>46</v>
      </c>
      <c r="F313" s="20">
        <v>43925.6875</v>
      </c>
      <c r="G313">
        <v>105</v>
      </c>
      <c r="H313" t="s">
        <v>8</v>
      </c>
      <c r="I313" t="s">
        <v>11</v>
      </c>
      <c r="J313" s="13" t="s">
        <v>111</v>
      </c>
      <c r="K313" s="4">
        <v>18</v>
      </c>
    </row>
    <row r="314" spans="1:11" ht="15" thickBot="1">
      <c r="A314" s="10">
        <v>313</v>
      </c>
      <c r="B314" t="s">
        <v>40</v>
      </c>
      <c r="C314">
        <v>4</v>
      </c>
      <c r="D314">
        <v>5</v>
      </c>
      <c r="F314" s="20">
        <v>43925.6875</v>
      </c>
      <c r="G314">
        <v>105</v>
      </c>
      <c r="H314" t="s">
        <v>15</v>
      </c>
      <c r="I314" t="s">
        <v>11</v>
      </c>
      <c r="J314" s="13" t="s">
        <v>111</v>
      </c>
      <c r="K314" s="4">
        <v>19</v>
      </c>
    </row>
    <row r="315" spans="1:11" ht="15" thickBot="1">
      <c r="A315" s="10">
        <v>314</v>
      </c>
      <c r="B315" t="s">
        <v>41</v>
      </c>
      <c r="C315">
        <v>1</v>
      </c>
      <c r="D315" t="s">
        <v>128</v>
      </c>
      <c r="F315" s="20">
        <v>43925.708333333336</v>
      </c>
      <c r="G315">
        <v>120</v>
      </c>
      <c r="H315" t="s">
        <v>6</v>
      </c>
      <c r="I315" t="s">
        <v>6</v>
      </c>
      <c r="J315" s="13" t="s">
        <v>111</v>
      </c>
      <c r="K315" s="4">
        <v>18</v>
      </c>
    </row>
    <row r="316" spans="1:11" ht="15" thickBot="1">
      <c r="A316" s="10">
        <v>315</v>
      </c>
      <c r="B316" t="s">
        <v>42</v>
      </c>
      <c r="C316">
        <v>2</v>
      </c>
      <c r="D316" t="s">
        <v>49</v>
      </c>
      <c r="F316" s="20">
        <v>43925.708333333336</v>
      </c>
      <c r="G316">
        <v>120</v>
      </c>
      <c r="H316" t="s">
        <v>7</v>
      </c>
      <c r="I316" t="s">
        <v>7</v>
      </c>
      <c r="J316" s="13" t="s">
        <v>111</v>
      </c>
      <c r="K316" s="4">
        <v>19</v>
      </c>
    </row>
    <row r="317" spans="1:11" ht="15" thickBot="1">
      <c r="A317" s="10">
        <v>316</v>
      </c>
      <c r="B317" t="s">
        <v>44</v>
      </c>
      <c r="C317">
        <v>5</v>
      </c>
      <c r="D317" t="s">
        <v>51</v>
      </c>
      <c r="F317" s="20">
        <v>43925.729166666664</v>
      </c>
      <c r="G317">
        <v>90</v>
      </c>
      <c r="H317" t="s">
        <v>14</v>
      </c>
      <c r="I317" t="s">
        <v>9</v>
      </c>
      <c r="J317" s="13" t="s">
        <v>111</v>
      </c>
      <c r="K317" s="4">
        <v>19</v>
      </c>
    </row>
    <row r="318" spans="1:11" ht="15" thickBot="1">
      <c r="A318" s="10">
        <v>317</v>
      </c>
      <c r="B318" t="s">
        <v>41</v>
      </c>
      <c r="C318">
        <v>1</v>
      </c>
      <c r="D318" t="s">
        <v>128</v>
      </c>
      <c r="F318" s="20">
        <v>43929.75</v>
      </c>
      <c r="G318">
        <v>120</v>
      </c>
      <c r="H318" t="s">
        <v>6</v>
      </c>
      <c r="I318" t="s">
        <v>6</v>
      </c>
      <c r="J318" s="13" t="s">
        <v>138</v>
      </c>
      <c r="K318" s="4">
        <v>18</v>
      </c>
    </row>
    <row r="319" spans="1:11" ht="15" thickBot="1">
      <c r="A319" s="10">
        <v>318</v>
      </c>
      <c r="B319" t="s">
        <v>42</v>
      </c>
      <c r="C319">
        <v>2</v>
      </c>
      <c r="D319" t="s">
        <v>49</v>
      </c>
      <c r="F319" s="20">
        <v>43929.75</v>
      </c>
      <c r="G319">
        <v>120</v>
      </c>
      <c r="H319" t="s">
        <v>7</v>
      </c>
      <c r="I319" t="s">
        <v>7</v>
      </c>
      <c r="J319" s="13" t="s">
        <v>138</v>
      </c>
      <c r="K319" s="4">
        <v>18</v>
      </c>
    </row>
    <row r="320" spans="1:11" ht="15" thickBot="1">
      <c r="A320" s="10">
        <v>319</v>
      </c>
      <c r="B320" t="s">
        <v>38</v>
      </c>
      <c r="C320">
        <v>2</v>
      </c>
      <c r="D320" t="s">
        <v>45</v>
      </c>
      <c r="F320" s="20">
        <v>43929.75</v>
      </c>
      <c r="G320">
        <v>120</v>
      </c>
      <c r="H320" t="s">
        <v>17</v>
      </c>
      <c r="I320" t="s">
        <v>7</v>
      </c>
      <c r="J320" s="13" t="s">
        <v>138</v>
      </c>
      <c r="K320" s="4">
        <v>18</v>
      </c>
    </row>
    <row r="321" spans="1:11" ht="15" thickBot="1">
      <c r="A321" s="10">
        <v>320</v>
      </c>
      <c r="B321" t="s">
        <v>39</v>
      </c>
      <c r="C321">
        <v>3</v>
      </c>
      <c r="D321" t="s">
        <v>50</v>
      </c>
      <c r="F321" s="20">
        <v>43929.75</v>
      </c>
      <c r="G321">
        <v>105</v>
      </c>
      <c r="H321" t="s">
        <v>16</v>
      </c>
      <c r="I321" t="s">
        <v>10</v>
      </c>
      <c r="J321" s="13" t="s">
        <v>138</v>
      </c>
      <c r="K321" s="4">
        <v>20</v>
      </c>
    </row>
    <row r="322" spans="1:11" ht="15" thickBot="1">
      <c r="A322" s="10">
        <v>321</v>
      </c>
      <c r="B322" t="s">
        <v>37</v>
      </c>
      <c r="C322">
        <v>3</v>
      </c>
      <c r="D322" t="s">
        <v>45</v>
      </c>
      <c r="F322" s="20">
        <v>43929.75</v>
      </c>
      <c r="G322">
        <v>105</v>
      </c>
      <c r="H322" t="s">
        <v>18</v>
      </c>
      <c r="I322" t="s">
        <v>10</v>
      </c>
      <c r="J322" s="13" t="s">
        <v>138</v>
      </c>
      <c r="K322" s="4">
        <v>18</v>
      </c>
    </row>
    <row r="323" spans="1:11" ht="15" thickBot="1">
      <c r="A323" s="10">
        <v>322</v>
      </c>
      <c r="B323" t="s">
        <v>43</v>
      </c>
      <c r="C323">
        <v>4</v>
      </c>
      <c r="D323" t="s">
        <v>46</v>
      </c>
      <c r="F323" s="20">
        <v>43929.75</v>
      </c>
      <c r="G323">
        <v>105</v>
      </c>
      <c r="H323" t="s">
        <v>8</v>
      </c>
      <c r="I323" t="s">
        <v>11</v>
      </c>
      <c r="J323" s="13" t="s">
        <v>138</v>
      </c>
      <c r="K323" s="4">
        <v>18</v>
      </c>
    </row>
    <row r="324" spans="1:11" ht="15" thickBot="1">
      <c r="A324" s="10">
        <v>323</v>
      </c>
      <c r="B324" t="s">
        <v>40</v>
      </c>
      <c r="C324">
        <v>4</v>
      </c>
      <c r="D324">
        <v>5</v>
      </c>
      <c r="F324" s="20">
        <v>43929.75</v>
      </c>
      <c r="G324">
        <v>105</v>
      </c>
      <c r="H324" t="s">
        <v>15</v>
      </c>
      <c r="I324" t="s">
        <v>11</v>
      </c>
      <c r="J324" s="13" t="s">
        <v>138</v>
      </c>
      <c r="K324" s="4">
        <v>20</v>
      </c>
    </row>
    <row r="325" spans="1:11" ht="15" thickBot="1">
      <c r="A325" s="10">
        <v>324</v>
      </c>
      <c r="B325" t="s">
        <v>44</v>
      </c>
      <c r="C325">
        <v>5</v>
      </c>
      <c r="D325" t="s">
        <v>51</v>
      </c>
      <c r="F325" s="20">
        <v>43929.75</v>
      </c>
      <c r="G325">
        <v>90</v>
      </c>
      <c r="H325" t="s">
        <v>14</v>
      </c>
      <c r="I325" t="s">
        <v>9</v>
      </c>
      <c r="J325" s="13" t="s">
        <v>138</v>
      </c>
      <c r="K325" s="4">
        <v>19</v>
      </c>
    </row>
    <row r="326" spans="1:11" ht="15" thickBot="1">
      <c r="A326" s="10">
        <v>325</v>
      </c>
      <c r="B326" t="s">
        <v>44</v>
      </c>
      <c r="C326">
        <v>5</v>
      </c>
      <c r="D326" t="s">
        <v>51</v>
      </c>
      <c r="F326" s="20">
        <v>43929.8125</v>
      </c>
      <c r="G326">
        <v>90</v>
      </c>
      <c r="H326" t="s">
        <v>14</v>
      </c>
      <c r="I326" t="s">
        <v>9</v>
      </c>
      <c r="J326" s="13" t="s">
        <v>138</v>
      </c>
      <c r="K326" s="4">
        <v>19</v>
      </c>
    </row>
    <row r="327" spans="1:11" ht="15" thickBot="1">
      <c r="A327" s="10">
        <v>326</v>
      </c>
      <c r="B327" t="s">
        <v>39</v>
      </c>
      <c r="C327">
        <v>3</v>
      </c>
      <c r="D327" t="s">
        <v>50</v>
      </c>
      <c r="F327" s="20">
        <v>43929.822916666664</v>
      </c>
      <c r="G327">
        <v>105</v>
      </c>
      <c r="H327" t="s">
        <v>16</v>
      </c>
      <c r="I327" t="s">
        <v>10</v>
      </c>
      <c r="J327" s="13" t="s">
        <v>138</v>
      </c>
      <c r="K327" s="4">
        <v>18</v>
      </c>
    </row>
    <row r="328" spans="1:11" ht="15" thickBot="1">
      <c r="A328" s="10">
        <v>327</v>
      </c>
      <c r="B328" t="s">
        <v>37</v>
      </c>
      <c r="C328">
        <v>3</v>
      </c>
      <c r="D328" t="s">
        <v>45</v>
      </c>
      <c r="F328" s="20">
        <v>43929.822916666664</v>
      </c>
      <c r="G328">
        <v>105</v>
      </c>
      <c r="H328" t="s">
        <v>18</v>
      </c>
      <c r="I328" t="s">
        <v>10</v>
      </c>
      <c r="J328" s="13" t="s">
        <v>138</v>
      </c>
      <c r="K328" s="4">
        <v>18</v>
      </c>
    </row>
    <row r="329" spans="1:11" ht="15" thickBot="1">
      <c r="A329" s="10">
        <v>328</v>
      </c>
      <c r="B329" t="s">
        <v>43</v>
      </c>
      <c r="C329">
        <v>4</v>
      </c>
      <c r="D329" t="s">
        <v>46</v>
      </c>
      <c r="F329" s="20">
        <v>43929.822916666664</v>
      </c>
      <c r="G329">
        <v>105</v>
      </c>
      <c r="H329" t="s">
        <v>8</v>
      </c>
      <c r="I329" t="s">
        <v>11</v>
      </c>
      <c r="J329" s="13" t="s">
        <v>138</v>
      </c>
      <c r="K329" s="4">
        <v>18</v>
      </c>
    </row>
    <row r="330" spans="1:11" ht="15" thickBot="1">
      <c r="A330" s="10">
        <v>329</v>
      </c>
      <c r="B330" t="s">
        <v>40</v>
      </c>
      <c r="C330">
        <v>4</v>
      </c>
      <c r="D330">
        <v>5</v>
      </c>
      <c r="F330" s="20">
        <v>43929.822916666664</v>
      </c>
      <c r="G330">
        <v>105</v>
      </c>
      <c r="H330" t="s">
        <v>15</v>
      </c>
      <c r="I330" t="s">
        <v>11</v>
      </c>
      <c r="J330" s="13" t="s">
        <v>138</v>
      </c>
      <c r="K330" s="4">
        <v>20</v>
      </c>
    </row>
    <row r="331" spans="1:11" ht="15" thickBot="1">
      <c r="A331" s="10">
        <v>330</v>
      </c>
      <c r="B331" t="s">
        <v>41</v>
      </c>
      <c r="C331">
        <v>1</v>
      </c>
      <c r="D331" t="s">
        <v>128</v>
      </c>
      <c r="F331" s="20">
        <v>43929.833333333336</v>
      </c>
      <c r="G331">
        <v>120</v>
      </c>
      <c r="H331" t="s">
        <v>6</v>
      </c>
      <c r="I331" t="s">
        <v>6</v>
      </c>
      <c r="J331" s="13" t="s">
        <v>138</v>
      </c>
      <c r="K331" s="4">
        <v>18</v>
      </c>
    </row>
    <row r="332" spans="1:11" ht="15" thickBot="1">
      <c r="A332" s="10">
        <v>331</v>
      </c>
      <c r="B332" t="s">
        <v>38</v>
      </c>
      <c r="C332">
        <v>1</v>
      </c>
      <c r="D332" t="s">
        <v>45</v>
      </c>
      <c r="F332" s="20">
        <v>43929.833333333336</v>
      </c>
      <c r="G332">
        <v>120</v>
      </c>
      <c r="H332" t="s">
        <v>17</v>
      </c>
      <c r="I332" t="s">
        <v>6</v>
      </c>
      <c r="J332" s="13" t="s">
        <v>138</v>
      </c>
      <c r="K332" s="4">
        <v>18</v>
      </c>
    </row>
    <row r="333" spans="1:11" ht="15" thickBot="1">
      <c r="A333" s="10">
        <v>332</v>
      </c>
      <c r="B333" t="s">
        <v>42</v>
      </c>
      <c r="C333">
        <v>2</v>
      </c>
      <c r="D333" t="s">
        <v>49</v>
      </c>
      <c r="F333" s="20">
        <v>43929.833333333336</v>
      </c>
      <c r="G333">
        <v>120</v>
      </c>
      <c r="H333" t="s">
        <v>7</v>
      </c>
      <c r="I333" t="s">
        <v>7</v>
      </c>
      <c r="J333" s="13" t="s">
        <v>138</v>
      </c>
      <c r="K333" s="4">
        <v>18</v>
      </c>
    </row>
    <row r="334" spans="1:11" ht="15" thickBot="1">
      <c r="A334" s="10">
        <v>333</v>
      </c>
      <c r="B334" t="s">
        <v>41</v>
      </c>
      <c r="C334">
        <v>1</v>
      </c>
      <c r="D334" t="s">
        <v>128</v>
      </c>
      <c r="F334" s="20">
        <v>43930.75</v>
      </c>
      <c r="G334">
        <v>120</v>
      </c>
      <c r="H334" t="s">
        <v>6</v>
      </c>
      <c r="I334" t="s">
        <v>6</v>
      </c>
      <c r="J334" s="13" t="s">
        <v>139</v>
      </c>
      <c r="K334" s="4">
        <v>18</v>
      </c>
    </row>
    <row r="335" spans="1:11" ht="15" thickBot="1">
      <c r="A335" s="10">
        <v>334</v>
      </c>
      <c r="B335" t="s">
        <v>42</v>
      </c>
      <c r="C335">
        <v>2</v>
      </c>
      <c r="D335" t="s">
        <v>49</v>
      </c>
      <c r="F335" s="20">
        <v>43930.75</v>
      </c>
      <c r="G335">
        <v>120</v>
      </c>
      <c r="H335" t="s">
        <v>7</v>
      </c>
      <c r="I335" t="s">
        <v>7</v>
      </c>
      <c r="J335" s="13" t="s">
        <v>139</v>
      </c>
      <c r="K335" s="4">
        <v>18</v>
      </c>
    </row>
    <row r="336" spans="1:11" ht="15" thickBot="1">
      <c r="A336" s="10">
        <v>335</v>
      </c>
      <c r="B336" t="s">
        <v>38</v>
      </c>
      <c r="C336">
        <v>2</v>
      </c>
      <c r="D336" t="s">
        <v>45</v>
      </c>
      <c r="F336" s="20">
        <v>43930.75</v>
      </c>
      <c r="G336">
        <v>120</v>
      </c>
      <c r="H336" t="s">
        <v>17</v>
      </c>
      <c r="I336" t="s">
        <v>7</v>
      </c>
      <c r="J336" s="13" t="s">
        <v>139</v>
      </c>
      <c r="K336" s="4">
        <v>18</v>
      </c>
    </row>
    <row r="337" spans="1:11" ht="15" thickBot="1">
      <c r="A337" s="10">
        <v>336</v>
      </c>
      <c r="B337" t="s">
        <v>39</v>
      </c>
      <c r="C337">
        <v>3</v>
      </c>
      <c r="D337" t="s">
        <v>50</v>
      </c>
      <c r="F337" s="20">
        <v>43930.75</v>
      </c>
      <c r="G337">
        <v>105</v>
      </c>
      <c r="H337" t="s">
        <v>16</v>
      </c>
      <c r="I337" t="s">
        <v>10</v>
      </c>
      <c r="J337" s="13" t="s">
        <v>139</v>
      </c>
      <c r="K337" s="4">
        <v>18</v>
      </c>
    </row>
    <row r="338" spans="1:11" ht="15" thickBot="1">
      <c r="A338" s="10">
        <v>337</v>
      </c>
      <c r="B338" t="s">
        <v>43</v>
      </c>
      <c r="C338">
        <v>4</v>
      </c>
      <c r="D338" t="s">
        <v>46</v>
      </c>
      <c r="F338" s="20">
        <v>43930.75</v>
      </c>
      <c r="G338">
        <v>105</v>
      </c>
      <c r="H338" t="s">
        <v>8</v>
      </c>
      <c r="I338" t="s">
        <v>11</v>
      </c>
      <c r="J338" s="13" t="s">
        <v>139</v>
      </c>
      <c r="K338" s="4">
        <v>19</v>
      </c>
    </row>
    <row r="339" spans="1:11" ht="15" thickBot="1">
      <c r="A339" s="10">
        <v>338</v>
      </c>
      <c r="B339" t="s">
        <v>44</v>
      </c>
      <c r="C339">
        <v>5</v>
      </c>
      <c r="D339" t="s">
        <v>51</v>
      </c>
      <c r="F339" s="20">
        <v>43930.75</v>
      </c>
      <c r="G339">
        <v>90</v>
      </c>
      <c r="H339" t="s">
        <v>14</v>
      </c>
      <c r="I339" t="s">
        <v>9</v>
      </c>
      <c r="J339" s="13" t="s">
        <v>139</v>
      </c>
      <c r="K339" s="4">
        <v>19</v>
      </c>
    </row>
    <row r="340" spans="1:11" ht="15" thickBot="1">
      <c r="A340" s="10">
        <v>339</v>
      </c>
      <c r="B340" t="s">
        <v>40</v>
      </c>
      <c r="C340">
        <v>6</v>
      </c>
      <c r="D340">
        <v>5</v>
      </c>
      <c r="F340" s="20">
        <v>43930.75</v>
      </c>
      <c r="G340">
        <v>60</v>
      </c>
      <c r="H340" t="s">
        <v>15</v>
      </c>
      <c r="I340" t="s">
        <v>12</v>
      </c>
      <c r="J340" s="13" t="s">
        <v>139</v>
      </c>
      <c r="K340" s="4">
        <v>20</v>
      </c>
    </row>
    <row r="341" spans="1:11" ht="15" thickBot="1">
      <c r="A341" s="10">
        <v>340</v>
      </c>
      <c r="B341" t="s">
        <v>37</v>
      </c>
      <c r="C341">
        <v>6</v>
      </c>
      <c r="D341" t="s">
        <v>45</v>
      </c>
      <c r="F341" s="20">
        <v>43930.75</v>
      </c>
      <c r="G341">
        <v>60</v>
      </c>
      <c r="H341" t="s">
        <v>18</v>
      </c>
      <c r="I341" t="s">
        <v>12</v>
      </c>
      <c r="J341" s="13" t="s">
        <v>139</v>
      </c>
      <c r="K341" s="4">
        <v>18</v>
      </c>
    </row>
    <row r="342" spans="1:11" ht="15" thickBot="1">
      <c r="A342" s="10">
        <v>341</v>
      </c>
      <c r="B342" t="s">
        <v>40</v>
      </c>
      <c r="C342">
        <v>6</v>
      </c>
      <c r="D342">
        <v>5</v>
      </c>
      <c r="F342" s="20">
        <v>43930.791666666664</v>
      </c>
      <c r="G342">
        <v>60</v>
      </c>
      <c r="H342" t="s">
        <v>15</v>
      </c>
      <c r="I342" t="s">
        <v>12</v>
      </c>
      <c r="J342" s="13" t="s">
        <v>139</v>
      </c>
      <c r="K342" s="4">
        <v>20</v>
      </c>
    </row>
    <row r="343" spans="1:11" ht="15" thickBot="1">
      <c r="A343" s="10">
        <v>342</v>
      </c>
      <c r="B343" t="s">
        <v>37</v>
      </c>
      <c r="C343">
        <v>6</v>
      </c>
      <c r="D343" t="s">
        <v>45</v>
      </c>
      <c r="F343" s="20">
        <v>43930.791666666664</v>
      </c>
      <c r="G343">
        <v>60</v>
      </c>
      <c r="H343" t="s">
        <v>18</v>
      </c>
      <c r="I343" t="s">
        <v>12</v>
      </c>
      <c r="J343" s="13" t="s">
        <v>139</v>
      </c>
      <c r="K343" s="4">
        <v>18</v>
      </c>
    </row>
    <row r="344" spans="1:11" ht="15" thickBot="1">
      <c r="A344" s="10">
        <v>343</v>
      </c>
      <c r="B344" t="s">
        <v>44</v>
      </c>
      <c r="C344">
        <v>5</v>
      </c>
      <c r="D344" t="s">
        <v>51</v>
      </c>
      <c r="F344" s="20">
        <v>43930.8125</v>
      </c>
      <c r="G344">
        <v>90</v>
      </c>
      <c r="H344" t="s">
        <v>14</v>
      </c>
      <c r="I344" t="s">
        <v>9</v>
      </c>
      <c r="J344" s="13" t="s">
        <v>139</v>
      </c>
      <c r="K344" s="4">
        <v>20</v>
      </c>
    </row>
    <row r="345" spans="1:11" ht="15" thickBot="1">
      <c r="A345" s="10">
        <v>344</v>
      </c>
      <c r="B345" t="s">
        <v>39</v>
      </c>
      <c r="C345">
        <v>3</v>
      </c>
      <c r="D345" t="s">
        <v>50</v>
      </c>
      <c r="F345" s="20">
        <v>43930.822916666664</v>
      </c>
      <c r="G345">
        <v>105</v>
      </c>
      <c r="H345" t="s">
        <v>16</v>
      </c>
      <c r="I345" t="s">
        <v>10</v>
      </c>
      <c r="J345" s="13" t="s">
        <v>139</v>
      </c>
      <c r="K345" s="4">
        <v>18</v>
      </c>
    </row>
    <row r="346" spans="1:11" ht="15" thickBot="1">
      <c r="A346" s="10">
        <v>345</v>
      </c>
      <c r="B346" t="s">
        <v>43</v>
      </c>
      <c r="C346">
        <v>4</v>
      </c>
      <c r="D346" t="s">
        <v>46</v>
      </c>
      <c r="F346" s="20">
        <v>43930.822916666664</v>
      </c>
      <c r="G346">
        <v>105</v>
      </c>
      <c r="H346" t="s">
        <v>8</v>
      </c>
      <c r="I346" t="s">
        <v>11</v>
      </c>
      <c r="J346" s="13" t="s">
        <v>139</v>
      </c>
      <c r="K346" s="4">
        <v>19</v>
      </c>
    </row>
    <row r="347" spans="1:11" ht="15" thickBot="1">
      <c r="A347" s="10">
        <v>346</v>
      </c>
      <c r="B347" t="s">
        <v>41</v>
      </c>
      <c r="C347">
        <v>1</v>
      </c>
      <c r="D347" t="s">
        <v>128</v>
      </c>
      <c r="F347" s="20">
        <v>43930.833333333336</v>
      </c>
      <c r="G347">
        <v>120</v>
      </c>
      <c r="H347" t="s">
        <v>6</v>
      </c>
      <c r="I347" t="s">
        <v>6</v>
      </c>
      <c r="J347" s="13" t="s">
        <v>139</v>
      </c>
      <c r="K347" s="4">
        <v>18</v>
      </c>
    </row>
    <row r="348" spans="1:11" ht="15" thickBot="1">
      <c r="A348" s="10">
        <v>347</v>
      </c>
      <c r="B348" t="s">
        <v>38</v>
      </c>
      <c r="C348">
        <v>1</v>
      </c>
      <c r="D348" t="s">
        <v>45</v>
      </c>
      <c r="F348" s="20">
        <v>43930.833333333336</v>
      </c>
      <c r="G348">
        <v>120</v>
      </c>
      <c r="H348" t="s">
        <v>17</v>
      </c>
      <c r="I348" t="s">
        <v>6</v>
      </c>
      <c r="J348" s="13" t="s">
        <v>139</v>
      </c>
      <c r="K348" s="4">
        <v>18</v>
      </c>
    </row>
    <row r="349" spans="1:11" ht="15" thickBot="1">
      <c r="A349" s="10">
        <v>348</v>
      </c>
      <c r="B349" t="s">
        <v>42</v>
      </c>
      <c r="C349">
        <v>2</v>
      </c>
      <c r="D349" t="s">
        <v>49</v>
      </c>
      <c r="F349" s="20">
        <v>43930.833333333336</v>
      </c>
      <c r="G349">
        <v>120</v>
      </c>
      <c r="H349" t="s">
        <v>7</v>
      </c>
      <c r="I349" t="s">
        <v>7</v>
      </c>
      <c r="J349" s="13" t="s">
        <v>139</v>
      </c>
      <c r="K349" s="4">
        <v>19</v>
      </c>
    </row>
    <row r="350" spans="1:11" ht="15" thickBot="1">
      <c r="A350" s="10">
        <v>349</v>
      </c>
      <c r="B350" t="s">
        <v>40</v>
      </c>
      <c r="C350">
        <v>4</v>
      </c>
      <c r="D350">
        <v>5</v>
      </c>
      <c r="F350" s="20">
        <v>43930.833333333336</v>
      </c>
      <c r="G350">
        <v>105</v>
      </c>
      <c r="H350" t="s">
        <v>15</v>
      </c>
      <c r="I350" t="s">
        <v>11</v>
      </c>
      <c r="J350" s="13" t="s">
        <v>139</v>
      </c>
      <c r="K350" s="4">
        <v>20</v>
      </c>
    </row>
    <row r="351" spans="1:11" ht="15" thickBot="1">
      <c r="A351" s="10">
        <v>350</v>
      </c>
      <c r="B351" t="s">
        <v>37</v>
      </c>
      <c r="C351">
        <v>4</v>
      </c>
      <c r="D351" t="s">
        <v>45</v>
      </c>
      <c r="F351" s="20">
        <v>43930.833333333336</v>
      </c>
      <c r="G351">
        <v>105</v>
      </c>
      <c r="H351" t="s">
        <v>18</v>
      </c>
      <c r="I351" t="s">
        <v>11</v>
      </c>
      <c r="J351" s="13" t="s">
        <v>139</v>
      </c>
      <c r="K351" s="4">
        <v>18</v>
      </c>
    </row>
    <row r="352" spans="1:11" ht="15" thickBot="1">
      <c r="A352" s="10">
        <v>351</v>
      </c>
      <c r="B352" t="s">
        <v>41</v>
      </c>
      <c r="C352">
        <v>1</v>
      </c>
      <c r="D352" t="s">
        <v>128</v>
      </c>
      <c r="F352" s="20">
        <v>43934.75</v>
      </c>
      <c r="G352">
        <v>120</v>
      </c>
      <c r="H352" t="s">
        <v>6</v>
      </c>
      <c r="I352" t="s">
        <v>6</v>
      </c>
      <c r="J352" s="13" t="s">
        <v>140</v>
      </c>
      <c r="K352" s="4">
        <v>18</v>
      </c>
    </row>
    <row r="353" spans="1:11" ht="15" thickBot="1">
      <c r="A353" s="10">
        <v>352</v>
      </c>
      <c r="B353" t="s">
        <v>42</v>
      </c>
      <c r="C353">
        <v>2</v>
      </c>
      <c r="D353" t="s">
        <v>49</v>
      </c>
      <c r="F353" s="20">
        <v>43934.75</v>
      </c>
      <c r="G353">
        <v>120</v>
      </c>
      <c r="H353" t="s">
        <v>7</v>
      </c>
      <c r="I353" t="s">
        <v>7</v>
      </c>
      <c r="J353" s="13" t="s">
        <v>140</v>
      </c>
      <c r="K353" s="4">
        <v>19</v>
      </c>
    </row>
    <row r="354" spans="1:11" ht="15" thickBot="1">
      <c r="A354" s="10">
        <v>353</v>
      </c>
      <c r="B354" t="s">
        <v>39</v>
      </c>
      <c r="C354">
        <v>3</v>
      </c>
      <c r="D354" t="s">
        <v>50</v>
      </c>
      <c r="F354" s="20">
        <v>43934.75</v>
      </c>
      <c r="G354">
        <v>105</v>
      </c>
      <c r="H354" t="s">
        <v>16</v>
      </c>
      <c r="I354" t="s">
        <v>10</v>
      </c>
      <c r="J354" s="13" t="s">
        <v>140</v>
      </c>
      <c r="K354" s="4">
        <v>18</v>
      </c>
    </row>
    <row r="355" spans="1:11" ht="15" thickBot="1">
      <c r="A355" s="10">
        <v>354</v>
      </c>
      <c r="B355" t="s">
        <v>38</v>
      </c>
      <c r="C355">
        <v>3</v>
      </c>
      <c r="D355" t="s">
        <v>45</v>
      </c>
      <c r="F355" s="20">
        <v>43934.75</v>
      </c>
      <c r="G355">
        <v>105</v>
      </c>
      <c r="H355" t="s">
        <v>17</v>
      </c>
      <c r="I355" t="s">
        <v>10</v>
      </c>
      <c r="J355" s="13" t="s">
        <v>140</v>
      </c>
      <c r="K355" s="4">
        <v>18</v>
      </c>
    </row>
    <row r="356" spans="1:11" ht="15" thickBot="1">
      <c r="A356" s="10">
        <v>355</v>
      </c>
      <c r="B356" t="s">
        <v>43</v>
      </c>
      <c r="C356">
        <v>4</v>
      </c>
      <c r="D356" t="s">
        <v>46</v>
      </c>
      <c r="F356" s="20">
        <v>43934.75</v>
      </c>
      <c r="G356">
        <v>105</v>
      </c>
      <c r="H356" t="s">
        <v>8</v>
      </c>
      <c r="I356" t="s">
        <v>11</v>
      </c>
      <c r="J356" s="13" t="s">
        <v>140</v>
      </c>
      <c r="K356" s="4">
        <v>20</v>
      </c>
    </row>
    <row r="357" spans="1:11" ht="15" thickBot="1">
      <c r="A357" s="10">
        <v>356</v>
      </c>
      <c r="B357" t="s">
        <v>40</v>
      </c>
      <c r="C357">
        <v>4</v>
      </c>
      <c r="D357">
        <v>5</v>
      </c>
      <c r="F357" s="20">
        <v>43934.75</v>
      </c>
      <c r="G357">
        <v>105</v>
      </c>
      <c r="H357" t="s">
        <v>15</v>
      </c>
      <c r="I357" t="s">
        <v>11</v>
      </c>
      <c r="J357" s="13" t="s">
        <v>140</v>
      </c>
      <c r="K357" s="4">
        <v>18</v>
      </c>
    </row>
    <row r="358" spans="1:11" ht="15" thickBot="1">
      <c r="A358" s="10">
        <v>357</v>
      </c>
      <c r="B358" t="s">
        <v>44</v>
      </c>
      <c r="C358">
        <v>5</v>
      </c>
      <c r="D358" t="s">
        <v>51</v>
      </c>
      <c r="F358" s="20">
        <v>43934.75</v>
      </c>
      <c r="G358">
        <v>90</v>
      </c>
      <c r="H358" t="s">
        <v>14</v>
      </c>
      <c r="I358" t="s">
        <v>9</v>
      </c>
      <c r="J358" s="13" t="s">
        <v>140</v>
      </c>
      <c r="K358" s="4">
        <v>18</v>
      </c>
    </row>
    <row r="359" spans="1:11" ht="15" thickBot="1">
      <c r="A359" s="10">
        <v>358</v>
      </c>
      <c r="B359" t="s">
        <v>37</v>
      </c>
      <c r="C359">
        <v>5</v>
      </c>
      <c r="D359" t="s">
        <v>45</v>
      </c>
      <c r="F359" s="20">
        <v>43934.75</v>
      </c>
      <c r="G359">
        <v>90</v>
      </c>
      <c r="H359" t="s">
        <v>18</v>
      </c>
      <c r="I359" t="s">
        <v>9</v>
      </c>
      <c r="J359" s="13" t="s">
        <v>140</v>
      </c>
      <c r="K359" s="4">
        <v>19</v>
      </c>
    </row>
    <row r="360" spans="1:11" ht="15" thickBot="1">
      <c r="A360" s="10">
        <v>359</v>
      </c>
      <c r="B360" t="s">
        <v>44</v>
      </c>
      <c r="C360">
        <v>5</v>
      </c>
      <c r="D360" t="s">
        <v>51</v>
      </c>
      <c r="F360" s="20">
        <v>43934.8125</v>
      </c>
      <c r="G360">
        <v>90</v>
      </c>
      <c r="H360" t="s">
        <v>14</v>
      </c>
      <c r="I360" t="s">
        <v>9</v>
      </c>
      <c r="J360" s="13" t="s">
        <v>140</v>
      </c>
      <c r="K360" s="4">
        <v>18</v>
      </c>
    </row>
    <row r="361" spans="1:11" ht="15" thickBot="1">
      <c r="A361" s="10">
        <v>360</v>
      </c>
      <c r="B361" t="s">
        <v>37</v>
      </c>
      <c r="C361">
        <v>5</v>
      </c>
      <c r="D361" t="s">
        <v>45</v>
      </c>
      <c r="F361" s="20">
        <v>43934.8125</v>
      </c>
      <c r="G361">
        <v>90</v>
      </c>
      <c r="H361" t="s">
        <v>18</v>
      </c>
      <c r="I361" t="s">
        <v>9</v>
      </c>
      <c r="J361" s="13" t="s">
        <v>140</v>
      </c>
      <c r="K361" s="4">
        <v>19</v>
      </c>
    </row>
    <row r="362" spans="1:11" ht="15" thickBot="1">
      <c r="A362" s="10">
        <v>361</v>
      </c>
      <c r="B362" t="s">
        <v>39</v>
      </c>
      <c r="C362">
        <v>3</v>
      </c>
      <c r="D362" t="s">
        <v>50</v>
      </c>
      <c r="F362" s="20">
        <v>43934.822916666664</v>
      </c>
      <c r="G362">
        <v>105</v>
      </c>
      <c r="H362" t="s">
        <v>16</v>
      </c>
      <c r="I362" t="s">
        <v>10</v>
      </c>
      <c r="J362" s="13" t="s">
        <v>140</v>
      </c>
      <c r="K362" s="4">
        <v>18</v>
      </c>
    </row>
    <row r="363" spans="1:11" ht="15" thickBot="1">
      <c r="A363" s="10">
        <v>362</v>
      </c>
      <c r="B363" t="s">
        <v>38</v>
      </c>
      <c r="C363">
        <v>3</v>
      </c>
      <c r="D363" t="s">
        <v>45</v>
      </c>
      <c r="F363" s="20">
        <v>43934.822916666664</v>
      </c>
      <c r="G363">
        <v>105</v>
      </c>
      <c r="H363" t="s">
        <v>17</v>
      </c>
      <c r="I363" t="s">
        <v>10</v>
      </c>
      <c r="J363" s="13" t="s">
        <v>140</v>
      </c>
      <c r="K363" s="4">
        <v>18</v>
      </c>
    </row>
    <row r="364" spans="1:11" ht="15" thickBot="1">
      <c r="A364" s="10">
        <v>363</v>
      </c>
      <c r="B364" t="s">
        <v>43</v>
      </c>
      <c r="C364">
        <v>4</v>
      </c>
      <c r="D364" t="s">
        <v>46</v>
      </c>
      <c r="F364" s="20">
        <v>43934.822916666664</v>
      </c>
      <c r="G364">
        <v>105</v>
      </c>
      <c r="H364" t="s">
        <v>8</v>
      </c>
      <c r="I364" t="s">
        <v>11</v>
      </c>
      <c r="J364" s="13" t="s">
        <v>140</v>
      </c>
      <c r="K364" s="4">
        <v>20</v>
      </c>
    </row>
    <row r="365" spans="1:11" ht="15" thickBot="1">
      <c r="A365" s="10">
        <v>364</v>
      </c>
      <c r="B365" t="s">
        <v>40</v>
      </c>
      <c r="C365">
        <v>4</v>
      </c>
      <c r="D365">
        <v>5</v>
      </c>
      <c r="F365" s="20">
        <v>43934.822916666664</v>
      </c>
      <c r="G365">
        <v>105</v>
      </c>
      <c r="H365" t="s">
        <v>15</v>
      </c>
      <c r="I365" t="s">
        <v>11</v>
      </c>
      <c r="J365" s="13" t="s">
        <v>140</v>
      </c>
      <c r="K365" s="4">
        <v>18</v>
      </c>
    </row>
    <row r="366" spans="1:11" ht="15" thickBot="1">
      <c r="A366" s="10">
        <v>365</v>
      </c>
      <c r="B366" t="s">
        <v>41</v>
      </c>
      <c r="C366">
        <v>1</v>
      </c>
      <c r="D366" t="s">
        <v>128</v>
      </c>
      <c r="F366" s="20">
        <v>43934.833333333336</v>
      </c>
      <c r="G366">
        <v>120</v>
      </c>
      <c r="H366" t="s">
        <v>6</v>
      </c>
      <c r="I366" t="s">
        <v>6</v>
      </c>
      <c r="J366" s="13" t="s">
        <v>140</v>
      </c>
      <c r="K366" s="4">
        <v>19</v>
      </c>
    </row>
    <row r="367" spans="1:11" ht="15" thickBot="1">
      <c r="A367" s="10">
        <v>366</v>
      </c>
      <c r="B367" t="s">
        <v>42</v>
      </c>
      <c r="C367">
        <v>2</v>
      </c>
      <c r="D367" t="s">
        <v>49</v>
      </c>
      <c r="F367" s="20">
        <v>43934.833333333336</v>
      </c>
      <c r="G367">
        <v>120</v>
      </c>
      <c r="H367" t="s">
        <v>7</v>
      </c>
      <c r="I367" t="s">
        <v>7</v>
      </c>
      <c r="J367" s="13" t="s">
        <v>140</v>
      </c>
      <c r="K367" s="4">
        <v>20</v>
      </c>
    </row>
    <row r="368" spans="1:11" ht="15" thickBot="1">
      <c r="A368" s="10">
        <v>367</v>
      </c>
      <c r="B368" t="s">
        <v>41</v>
      </c>
      <c r="C368">
        <v>1</v>
      </c>
      <c r="D368" t="s">
        <v>128</v>
      </c>
      <c r="F368" s="20">
        <v>43935.75</v>
      </c>
      <c r="G368">
        <v>120</v>
      </c>
      <c r="H368" t="s">
        <v>6</v>
      </c>
      <c r="I368" t="s">
        <v>6</v>
      </c>
      <c r="J368" s="13" t="s">
        <v>104</v>
      </c>
      <c r="K368" s="4">
        <v>20</v>
      </c>
    </row>
    <row r="369" spans="1:11" ht="15" thickBot="1">
      <c r="A369" s="10">
        <v>368</v>
      </c>
      <c r="B369" t="s">
        <v>38</v>
      </c>
      <c r="C369">
        <v>1</v>
      </c>
      <c r="D369" t="s">
        <v>45</v>
      </c>
      <c r="F369" s="20">
        <v>43935.75</v>
      </c>
      <c r="G369">
        <v>120</v>
      </c>
      <c r="H369" t="s">
        <v>17</v>
      </c>
      <c r="I369" t="s">
        <v>6</v>
      </c>
      <c r="J369" s="13" t="s">
        <v>104</v>
      </c>
      <c r="K369" s="4">
        <v>19</v>
      </c>
    </row>
    <row r="370" spans="1:11" ht="15" thickBot="1">
      <c r="A370" s="10">
        <v>369</v>
      </c>
      <c r="B370" t="s">
        <v>42</v>
      </c>
      <c r="C370">
        <v>2</v>
      </c>
      <c r="D370" t="s">
        <v>49</v>
      </c>
      <c r="F370" s="20">
        <v>43935.75</v>
      </c>
      <c r="G370">
        <v>120</v>
      </c>
      <c r="H370" t="s">
        <v>7</v>
      </c>
      <c r="I370" t="s">
        <v>7</v>
      </c>
      <c r="J370" s="13" t="s">
        <v>104</v>
      </c>
      <c r="K370" s="4">
        <v>20</v>
      </c>
    </row>
    <row r="371" spans="1:11" ht="15" thickBot="1">
      <c r="A371" s="10">
        <v>370</v>
      </c>
      <c r="B371" t="s">
        <v>37</v>
      </c>
      <c r="C371">
        <v>2</v>
      </c>
      <c r="D371" t="s">
        <v>45</v>
      </c>
      <c r="F371" s="20">
        <v>43935.75</v>
      </c>
      <c r="G371">
        <v>120</v>
      </c>
      <c r="H371" t="s">
        <v>18</v>
      </c>
      <c r="I371" t="s">
        <v>7</v>
      </c>
      <c r="J371" s="13" t="s">
        <v>104</v>
      </c>
      <c r="K371" s="4">
        <v>20</v>
      </c>
    </row>
    <row r="372" spans="1:11" ht="15" thickBot="1">
      <c r="A372" s="10">
        <v>371</v>
      </c>
      <c r="B372" t="s">
        <v>39</v>
      </c>
      <c r="C372">
        <v>3</v>
      </c>
      <c r="D372" t="s">
        <v>50</v>
      </c>
      <c r="F372" s="20">
        <v>43935.75</v>
      </c>
      <c r="G372">
        <v>105</v>
      </c>
      <c r="H372" t="s">
        <v>16</v>
      </c>
      <c r="I372" t="s">
        <v>10</v>
      </c>
      <c r="J372" s="13" t="s">
        <v>104</v>
      </c>
      <c r="K372" s="4">
        <v>18</v>
      </c>
    </row>
    <row r="373" spans="1:11" ht="15" thickBot="1">
      <c r="A373" s="10">
        <v>372</v>
      </c>
      <c r="B373" t="s">
        <v>43</v>
      </c>
      <c r="C373">
        <v>4</v>
      </c>
      <c r="D373" t="s">
        <v>46</v>
      </c>
      <c r="F373" s="20">
        <v>43935.75</v>
      </c>
      <c r="G373">
        <v>105</v>
      </c>
      <c r="H373" t="s">
        <v>8</v>
      </c>
      <c r="I373" t="s">
        <v>11</v>
      </c>
      <c r="J373" s="13" t="s">
        <v>104</v>
      </c>
      <c r="K373" s="4">
        <v>18</v>
      </c>
    </row>
    <row r="374" spans="1:11" ht="15" thickBot="1">
      <c r="A374" s="10">
        <v>373</v>
      </c>
      <c r="B374" t="s">
        <v>44</v>
      </c>
      <c r="C374">
        <v>5</v>
      </c>
      <c r="D374" t="s">
        <v>51</v>
      </c>
      <c r="F374" s="20">
        <v>43935.75</v>
      </c>
      <c r="G374">
        <v>90</v>
      </c>
      <c r="H374" t="s">
        <v>14</v>
      </c>
      <c r="I374" t="s">
        <v>9</v>
      </c>
      <c r="J374" s="13" t="s">
        <v>104</v>
      </c>
      <c r="K374" s="4">
        <v>18</v>
      </c>
    </row>
    <row r="375" spans="1:11" ht="15" thickBot="1">
      <c r="A375" s="10">
        <v>374</v>
      </c>
      <c r="B375" t="s">
        <v>40</v>
      </c>
      <c r="C375">
        <v>5</v>
      </c>
      <c r="D375">
        <v>5</v>
      </c>
      <c r="F375" s="20">
        <v>43935.75</v>
      </c>
      <c r="G375">
        <v>90</v>
      </c>
      <c r="H375" t="s">
        <v>15</v>
      </c>
      <c r="I375" t="s">
        <v>9</v>
      </c>
      <c r="J375" s="13" t="s">
        <v>104</v>
      </c>
      <c r="K375" s="4">
        <v>18</v>
      </c>
    </row>
    <row r="376" spans="1:11" ht="15" thickBot="1">
      <c r="A376" s="10">
        <v>375</v>
      </c>
      <c r="B376" t="s">
        <v>40</v>
      </c>
      <c r="C376">
        <v>4</v>
      </c>
      <c r="D376">
        <v>5</v>
      </c>
      <c r="F376" s="20">
        <v>43935.8125</v>
      </c>
      <c r="G376">
        <v>105</v>
      </c>
      <c r="H376" t="s">
        <v>15</v>
      </c>
      <c r="I376" t="s">
        <v>11</v>
      </c>
      <c r="J376" s="13" t="s">
        <v>104</v>
      </c>
      <c r="K376" s="4">
        <v>18</v>
      </c>
    </row>
    <row r="377" spans="1:11" ht="15" thickBot="1">
      <c r="A377" s="10">
        <v>376</v>
      </c>
      <c r="B377" t="s">
        <v>44</v>
      </c>
      <c r="C377">
        <v>5</v>
      </c>
      <c r="D377" t="s">
        <v>51</v>
      </c>
      <c r="F377" s="20">
        <v>43935.8125</v>
      </c>
      <c r="G377">
        <v>90</v>
      </c>
      <c r="H377" t="s">
        <v>14</v>
      </c>
      <c r="I377" t="s">
        <v>9</v>
      </c>
      <c r="J377" s="13" t="s">
        <v>104</v>
      </c>
      <c r="K377" s="4">
        <v>18</v>
      </c>
    </row>
    <row r="378" spans="1:11" ht="15" thickBot="1">
      <c r="A378" s="10">
        <v>377</v>
      </c>
      <c r="B378" t="s">
        <v>39</v>
      </c>
      <c r="C378">
        <v>3</v>
      </c>
      <c r="D378" t="s">
        <v>50</v>
      </c>
      <c r="F378" s="20">
        <v>43935.822916666664</v>
      </c>
      <c r="G378">
        <v>105</v>
      </c>
      <c r="H378" t="s">
        <v>16</v>
      </c>
      <c r="I378" t="s">
        <v>10</v>
      </c>
      <c r="J378" s="13" t="s">
        <v>104</v>
      </c>
      <c r="K378" s="4">
        <v>19</v>
      </c>
    </row>
    <row r="379" spans="1:11" ht="15" thickBot="1">
      <c r="A379" s="10">
        <v>378</v>
      </c>
      <c r="B379" t="s">
        <v>43</v>
      </c>
      <c r="C379">
        <v>4</v>
      </c>
      <c r="D379" t="s">
        <v>46</v>
      </c>
      <c r="F379" s="20">
        <v>43935.822916666664</v>
      </c>
      <c r="G379">
        <v>105</v>
      </c>
      <c r="H379" t="s">
        <v>8</v>
      </c>
      <c r="I379" t="s">
        <v>11</v>
      </c>
      <c r="J379" s="13" t="s">
        <v>104</v>
      </c>
      <c r="K379" s="4">
        <v>18</v>
      </c>
    </row>
    <row r="380" spans="1:11" ht="15" thickBot="1">
      <c r="A380" s="10">
        <v>379</v>
      </c>
      <c r="B380" t="s">
        <v>41</v>
      </c>
      <c r="C380">
        <v>1</v>
      </c>
      <c r="D380" t="s">
        <v>128</v>
      </c>
      <c r="F380" s="20">
        <v>43935.833333333336</v>
      </c>
      <c r="G380">
        <v>120</v>
      </c>
      <c r="H380" t="s">
        <v>6</v>
      </c>
      <c r="I380" t="s">
        <v>6</v>
      </c>
      <c r="J380" s="13" t="s">
        <v>104</v>
      </c>
      <c r="K380" s="4">
        <v>20</v>
      </c>
    </row>
    <row r="381" spans="1:11" ht="15" thickBot="1">
      <c r="A381" s="10">
        <v>380</v>
      </c>
      <c r="B381" t="s">
        <v>38</v>
      </c>
      <c r="C381">
        <v>1</v>
      </c>
      <c r="D381" t="s">
        <v>45</v>
      </c>
      <c r="F381" s="20">
        <v>43935.833333333336</v>
      </c>
      <c r="G381">
        <v>120</v>
      </c>
      <c r="H381" t="s">
        <v>17</v>
      </c>
      <c r="I381" t="s">
        <v>6</v>
      </c>
      <c r="J381" s="13" t="s">
        <v>104</v>
      </c>
      <c r="K381" s="4">
        <v>20</v>
      </c>
    </row>
    <row r="382" spans="1:11" ht="15" thickBot="1">
      <c r="A382" s="10">
        <v>381</v>
      </c>
      <c r="B382" t="s">
        <v>42</v>
      </c>
      <c r="C382">
        <v>2</v>
      </c>
      <c r="D382" t="s">
        <v>49</v>
      </c>
      <c r="F382" s="20">
        <v>43935.833333333336</v>
      </c>
      <c r="G382">
        <v>120</v>
      </c>
      <c r="H382" t="s">
        <v>7</v>
      </c>
      <c r="I382" t="s">
        <v>7</v>
      </c>
      <c r="J382" s="13" t="s">
        <v>104</v>
      </c>
      <c r="K382" s="4">
        <v>18</v>
      </c>
    </row>
    <row r="383" spans="1:11" ht="15" thickBot="1">
      <c r="A383" s="10">
        <v>382</v>
      </c>
      <c r="B383" t="s">
        <v>37</v>
      </c>
      <c r="C383">
        <v>2</v>
      </c>
      <c r="D383" t="s">
        <v>45</v>
      </c>
      <c r="F383" s="20">
        <v>43935.833333333336</v>
      </c>
      <c r="G383">
        <v>120</v>
      </c>
      <c r="H383" t="s">
        <v>18</v>
      </c>
      <c r="I383" t="s">
        <v>7</v>
      </c>
      <c r="J383" s="13" t="s">
        <v>104</v>
      </c>
      <c r="K383" s="4">
        <v>20</v>
      </c>
    </row>
    <row r="384" spans="1:11" ht="15" thickBot="1">
      <c r="A384" s="10">
        <v>383</v>
      </c>
      <c r="B384" t="s">
        <v>41</v>
      </c>
      <c r="C384">
        <v>1</v>
      </c>
      <c r="D384" t="s">
        <v>128</v>
      </c>
      <c r="F384" s="20">
        <v>43936.75</v>
      </c>
      <c r="G384">
        <v>120</v>
      </c>
      <c r="H384" t="s">
        <v>6</v>
      </c>
      <c r="I384" t="s">
        <v>6</v>
      </c>
      <c r="J384" s="13" t="s">
        <v>104</v>
      </c>
      <c r="K384" s="4">
        <v>18</v>
      </c>
    </row>
    <row r="385" spans="1:11" ht="15" thickBot="1">
      <c r="A385" s="10">
        <v>384</v>
      </c>
      <c r="B385" t="s">
        <v>38</v>
      </c>
      <c r="C385">
        <v>1</v>
      </c>
      <c r="D385" t="s">
        <v>45</v>
      </c>
      <c r="F385" s="20">
        <v>43936.75</v>
      </c>
      <c r="G385">
        <v>120</v>
      </c>
      <c r="H385" t="s">
        <v>17</v>
      </c>
      <c r="I385" t="s">
        <v>6</v>
      </c>
      <c r="J385" s="13" t="s">
        <v>104</v>
      </c>
      <c r="K385" s="4">
        <v>20</v>
      </c>
    </row>
    <row r="386" spans="1:11" ht="15" thickBot="1">
      <c r="A386" s="10">
        <v>385</v>
      </c>
      <c r="B386" t="s">
        <v>42</v>
      </c>
      <c r="C386">
        <v>2</v>
      </c>
      <c r="D386" t="s">
        <v>49</v>
      </c>
      <c r="F386" s="20">
        <v>43936.75</v>
      </c>
      <c r="G386">
        <v>120</v>
      </c>
      <c r="H386" t="s">
        <v>7</v>
      </c>
      <c r="I386" t="s">
        <v>7</v>
      </c>
      <c r="J386" s="13" t="s">
        <v>104</v>
      </c>
      <c r="K386" s="4">
        <v>18</v>
      </c>
    </row>
    <row r="387" spans="1:11" ht="15" thickBot="1">
      <c r="A387" s="10">
        <v>386</v>
      </c>
      <c r="B387" t="s">
        <v>37</v>
      </c>
      <c r="C387">
        <v>2</v>
      </c>
      <c r="D387" t="s">
        <v>45</v>
      </c>
      <c r="F387" s="20">
        <v>43936.75</v>
      </c>
      <c r="G387">
        <v>120</v>
      </c>
      <c r="H387" t="s">
        <v>18</v>
      </c>
      <c r="I387" t="s">
        <v>7</v>
      </c>
      <c r="J387" s="13" t="s">
        <v>104</v>
      </c>
      <c r="K387" s="4">
        <v>18</v>
      </c>
    </row>
    <row r="388" spans="1:11" ht="15" thickBot="1">
      <c r="A388" s="10">
        <v>387</v>
      </c>
      <c r="B388" t="s">
        <v>39</v>
      </c>
      <c r="C388">
        <v>3</v>
      </c>
      <c r="D388" t="s">
        <v>50</v>
      </c>
      <c r="F388" s="20">
        <v>43936.75</v>
      </c>
      <c r="G388">
        <v>105</v>
      </c>
      <c r="H388" t="s">
        <v>16</v>
      </c>
      <c r="I388" t="s">
        <v>10</v>
      </c>
      <c r="J388" s="13" t="s">
        <v>104</v>
      </c>
      <c r="K388" s="4">
        <v>19</v>
      </c>
    </row>
    <row r="389" spans="1:11" ht="15" thickBot="1">
      <c r="A389" s="10">
        <v>388</v>
      </c>
      <c r="B389" t="s">
        <v>43</v>
      </c>
      <c r="C389">
        <v>4</v>
      </c>
      <c r="D389" t="s">
        <v>46</v>
      </c>
      <c r="F389" s="20">
        <v>43936.75</v>
      </c>
      <c r="G389">
        <v>105</v>
      </c>
      <c r="H389" t="s">
        <v>8</v>
      </c>
      <c r="I389" t="s">
        <v>11</v>
      </c>
      <c r="J389" s="13" t="s">
        <v>104</v>
      </c>
      <c r="K389" s="4">
        <v>18</v>
      </c>
    </row>
    <row r="390" spans="1:11" ht="15" thickBot="1">
      <c r="A390" s="10">
        <v>389</v>
      </c>
      <c r="B390" t="s">
        <v>44</v>
      </c>
      <c r="C390">
        <v>5</v>
      </c>
      <c r="D390" t="s">
        <v>51</v>
      </c>
      <c r="F390" s="20">
        <v>43936.75</v>
      </c>
      <c r="G390">
        <v>90</v>
      </c>
      <c r="H390" t="s">
        <v>14</v>
      </c>
      <c r="I390" t="s">
        <v>9</v>
      </c>
      <c r="J390" s="13" t="s">
        <v>104</v>
      </c>
      <c r="K390" s="4">
        <v>18</v>
      </c>
    </row>
    <row r="391" spans="1:11" ht="15" thickBot="1">
      <c r="A391" s="10">
        <v>390</v>
      </c>
      <c r="B391" t="s">
        <v>40</v>
      </c>
      <c r="C391">
        <v>5</v>
      </c>
      <c r="D391">
        <v>5</v>
      </c>
      <c r="F391" s="20">
        <v>43936.75</v>
      </c>
      <c r="G391">
        <v>90</v>
      </c>
      <c r="H391" t="s">
        <v>15</v>
      </c>
      <c r="I391" t="s">
        <v>9</v>
      </c>
      <c r="J391" s="13" t="s">
        <v>104</v>
      </c>
      <c r="K391" s="4">
        <v>19</v>
      </c>
    </row>
    <row r="392" spans="1:11" ht="15" thickBot="1">
      <c r="A392" s="10">
        <v>391</v>
      </c>
      <c r="B392" t="s">
        <v>40</v>
      </c>
      <c r="C392">
        <v>4</v>
      </c>
      <c r="D392">
        <v>5</v>
      </c>
      <c r="F392" s="20">
        <v>43936.8125</v>
      </c>
      <c r="G392">
        <v>105</v>
      </c>
      <c r="H392" t="s">
        <v>15</v>
      </c>
      <c r="I392" t="s">
        <v>11</v>
      </c>
      <c r="J392" s="13" t="s">
        <v>104</v>
      </c>
      <c r="K392" s="4">
        <v>19</v>
      </c>
    </row>
    <row r="393" spans="1:11" ht="15" thickBot="1">
      <c r="A393" s="10">
        <v>392</v>
      </c>
      <c r="B393" t="s">
        <v>44</v>
      </c>
      <c r="C393">
        <v>5</v>
      </c>
      <c r="D393" t="s">
        <v>51</v>
      </c>
      <c r="F393" s="20">
        <v>43936.8125</v>
      </c>
      <c r="G393">
        <v>90</v>
      </c>
      <c r="H393" t="s">
        <v>14</v>
      </c>
      <c r="I393" t="s">
        <v>9</v>
      </c>
      <c r="J393" s="13" t="s">
        <v>104</v>
      </c>
      <c r="K393" s="4">
        <v>18</v>
      </c>
    </row>
    <row r="394" spans="1:11" ht="15" thickBot="1">
      <c r="A394" s="10">
        <v>393</v>
      </c>
      <c r="B394" t="s">
        <v>39</v>
      </c>
      <c r="C394">
        <v>3</v>
      </c>
      <c r="D394" t="s">
        <v>50</v>
      </c>
      <c r="F394" s="20">
        <v>43936.822916666664</v>
      </c>
      <c r="G394">
        <v>105</v>
      </c>
      <c r="H394" t="s">
        <v>16</v>
      </c>
      <c r="I394" t="s">
        <v>10</v>
      </c>
      <c r="J394" s="13" t="s">
        <v>104</v>
      </c>
      <c r="K394" s="4">
        <v>20</v>
      </c>
    </row>
    <row r="395" spans="1:11" ht="15" thickBot="1">
      <c r="A395" s="10">
        <v>394</v>
      </c>
      <c r="B395" t="s">
        <v>43</v>
      </c>
      <c r="C395">
        <v>4</v>
      </c>
      <c r="D395" t="s">
        <v>46</v>
      </c>
      <c r="F395" s="20">
        <v>43936.822916666664</v>
      </c>
      <c r="G395">
        <v>105</v>
      </c>
      <c r="H395" t="s">
        <v>8</v>
      </c>
      <c r="I395" t="s">
        <v>11</v>
      </c>
      <c r="J395" s="13" t="s">
        <v>104</v>
      </c>
      <c r="K395" s="4">
        <v>18</v>
      </c>
    </row>
    <row r="396" spans="1:11" ht="15" thickBot="1">
      <c r="A396" s="10">
        <v>395</v>
      </c>
      <c r="B396" t="s">
        <v>41</v>
      </c>
      <c r="C396">
        <v>1</v>
      </c>
      <c r="D396" t="s">
        <v>128</v>
      </c>
      <c r="F396" s="20">
        <v>43936.833333333336</v>
      </c>
      <c r="G396">
        <v>120</v>
      </c>
      <c r="H396" t="s">
        <v>6</v>
      </c>
      <c r="I396" t="s">
        <v>6</v>
      </c>
      <c r="J396" s="13" t="s">
        <v>104</v>
      </c>
      <c r="K396" s="4">
        <v>18</v>
      </c>
    </row>
    <row r="397" spans="1:11" ht="15" thickBot="1">
      <c r="A397" s="10">
        <v>396</v>
      </c>
      <c r="B397" t="s">
        <v>38</v>
      </c>
      <c r="C397">
        <v>1</v>
      </c>
      <c r="D397" t="s">
        <v>45</v>
      </c>
      <c r="F397" s="20">
        <v>43936.833333333336</v>
      </c>
      <c r="G397">
        <v>120</v>
      </c>
      <c r="H397" t="s">
        <v>17</v>
      </c>
      <c r="I397" t="s">
        <v>6</v>
      </c>
      <c r="J397" s="13" t="s">
        <v>104</v>
      </c>
      <c r="K397" s="4">
        <v>20</v>
      </c>
    </row>
    <row r="398" spans="1:11" ht="15" thickBot="1">
      <c r="A398" s="10">
        <v>397</v>
      </c>
      <c r="B398" t="s">
        <v>42</v>
      </c>
      <c r="C398">
        <v>2</v>
      </c>
      <c r="D398" t="s">
        <v>49</v>
      </c>
      <c r="F398" s="20">
        <v>43936.833333333336</v>
      </c>
      <c r="G398">
        <v>120</v>
      </c>
      <c r="H398" t="s">
        <v>7</v>
      </c>
      <c r="I398" t="s">
        <v>7</v>
      </c>
      <c r="J398" s="13" t="s">
        <v>104</v>
      </c>
      <c r="K398" s="4">
        <v>18</v>
      </c>
    </row>
    <row r="399" spans="1:11" ht="15" thickBot="1">
      <c r="A399" s="10">
        <v>398</v>
      </c>
      <c r="B399" t="s">
        <v>37</v>
      </c>
      <c r="C399">
        <v>2</v>
      </c>
      <c r="D399" t="s">
        <v>45</v>
      </c>
      <c r="F399" s="20">
        <v>43936.833333333336</v>
      </c>
      <c r="G399">
        <v>120</v>
      </c>
      <c r="H399" t="s">
        <v>18</v>
      </c>
      <c r="I399" t="s">
        <v>7</v>
      </c>
      <c r="J399" s="13" t="s">
        <v>104</v>
      </c>
      <c r="K399" s="4">
        <v>18</v>
      </c>
    </row>
    <row r="400" spans="1:11" ht="15" thickBot="1">
      <c r="A400" s="10">
        <v>399</v>
      </c>
      <c r="B400" t="s">
        <v>41</v>
      </c>
      <c r="C400">
        <v>1</v>
      </c>
      <c r="D400" t="s">
        <v>128</v>
      </c>
      <c r="F400" s="20">
        <v>43937.75</v>
      </c>
      <c r="G400">
        <v>120</v>
      </c>
      <c r="H400" t="s">
        <v>6</v>
      </c>
      <c r="I400" t="s">
        <v>6</v>
      </c>
      <c r="J400" s="13" t="s">
        <v>102</v>
      </c>
      <c r="K400" s="4">
        <v>18</v>
      </c>
    </row>
    <row r="401" spans="1:11" ht="15" thickBot="1">
      <c r="A401" s="10">
        <v>400</v>
      </c>
      <c r="B401" t="s">
        <v>38</v>
      </c>
      <c r="C401">
        <v>1</v>
      </c>
      <c r="D401" t="s">
        <v>45</v>
      </c>
      <c r="F401" s="20">
        <v>43937.75</v>
      </c>
      <c r="G401">
        <v>120</v>
      </c>
      <c r="H401" t="s">
        <v>17</v>
      </c>
      <c r="I401" t="s">
        <v>6</v>
      </c>
      <c r="J401" s="13" t="s">
        <v>102</v>
      </c>
      <c r="K401" s="4">
        <v>18</v>
      </c>
    </row>
    <row r="402" spans="1:11" ht="15" thickBot="1">
      <c r="A402" s="10">
        <v>401</v>
      </c>
      <c r="B402" t="s">
        <v>42</v>
      </c>
      <c r="C402">
        <v>2</v>
      </c>
      <c r="D402" t="s">
        <v>49</v>
      </c>
      <c r="F402" s="20">
        <v>43937.75</v>
      </c>
      <c r="G402">
        <v>120</v>
      </c>
      <c r="H402" t="s">
        <v>7</v>
      </c>
      <c r="I402" t="s">
        <v>7</v>
      </c>
      <c r="J402" s="13" t="s">
        <v>102</v>
      </c>
      <c r="K402" s="4">
        <v>18</v>
      </c>
    </row>
    <row r="403" spans="1:11" ht="15" thickBot="1">
      <c r="A403" s="10">
        <v>402</v>
      </c>
      <c r="B403" t="s">
        <v>37</v>
      </c>
      <c r="C403">
        <v>2</v>
      </c>
      <c r="D403" t="s">
        <v>45</v>
      </c>
      <c r="F403" s="20">
        <v>43937.75</v>
      </c>
      <c r="G403">
        <v>120</v>
      </c>
      <c r="H403" t="s">
        <v>18</v>
      </c>
      <c r="I403" t="s">
        <v>7</v>
      </c>
      <c r="J403" s="13" t="s">
        <v>102</v>
      </c>
      <c r="K403" s="4">
        <v>18</v>
      </c>
    </row>
    <row r="404" spans="1:11" ht="15" thickBot="1">
      <c r="A404" s="10">
        <v>403</v>
      </c>
      <c r="B404" t="s">
        <v>39</v>
      </c>
      <c r="C404">
        <v>3</v>
      </c>
      <c r="D404" t="s">
        <v>50</v>
      </c>
      <c r="F404" s="20">
        <v>43937.75</v>
      </c>
      <c r="G404">
        <v>105</v>
      </c>
      <c r="H404" t="s">
        <v>16</v>
      </c>
      <c r="I404" t="s">
        <v>10</v>
      </c>
      <c r="J404" s="13" t="s">
        <v>102</v>
      </c>
      <c r="K404" s="4">
        <v>20</v>
      </c>
    </row>
    <row r="405" spans="1:11" ht="15" thickBot="1">
      <c r="A405" s="10">
        <v>404</v>
      </c>
      <c r="B405" t="s">
        <v>43</v>
      </c>
      <c r="C405">
        <v>4</v>
      </c>
      <c r="D405" t="s">
        <v>46</v>
      </c>
      <c r="F405" s="20">
        <v>43937.75</v>
      </c>
      <c r="G405">
        <v>105</v>
      </c>
      <c r="H405" t="s">
        <v>8</v>
      </c>
      <c r="I405" t="s">
        <v>11</v>
      </c>
      <c r="J405" s="13" t="s">
        <v>102</v>
      </c>
      <c r="K405" s="4">
        <v>18</v>
      </c>
    </row>
    <row r="406" spans="1:11" ht="15" thickBot="1">
      <c r="A406" s="10">
        <v>405</v>
      </c>
      <c r="B406" t="s">
        <v>40</v>
      </c>
      <c r="C406">
        <v>4</v>
      </c>
      <c r="D406">
        <v>5</v>
      </c>
      <c r="F406" s="20">
        <v>43937.75</v>
      </c>
      <c r="G406">
        <v>105</v>
      </c>
      <c r="H406" t="s">
        <v>15</v>
      </c>
      <c r="I406" t="s">
        <v>11</v>
      </c>
      <c r="J406" s="13" t="s">
        <v>102</v>
      </c>
      <c r="K406" s="4">
        <v>20</v>
      </c>
    </row>
    <row r="407" spans="1:11" ht="15" thickBot="1">
      <c r="A407" s="10">
        <v>406</v>
      </c>
      <c r="B407" t="s">
        <v>44</v>
      </c>
      <c r="C407">
        <v>5</v>
      </c>
      <c r="D407" t="s">
        <v>51</v>
      </c>
      <c r="F407" s="20">
        <v>43937.75</v>
      </c>
      <c r="G407">
        <v>90</v>
      </c>
      <c r="H407" t="s">
        <v>14</v>
      </c>
      <c r="I407" t="s">
        <v>9</v>
      </c>
      <c r="J407" s="13" t="s">
        <v>102</v>
      </c>
      <c r="K407" s="4">
        <v>19</v>
      </c>
    </row>
    <row r="408" spans="1:11" ht="15" thickBot="1">
      <c r="A408" s="10">
        <v>407</v>
      </c>
      <c r="B408" t="s">
        <v>44</v>
      </c>
      <c r="C408">
        <v>5</v>
      </c>
      <c r="D408" t="s">
        <v>51</v>
      </c>
      <c r="F408" s="20">
        <v>43937.8125</v>
      </c>
      <c r="G408">
        <v>90</v>
      </c>
      <c r="H408" t="s">
        <v>14</v>
      </c>
      <c r="I408" t="s">
        <v>9</v>
      </c>
      <c r="J408" s="13" t="s">
        <v>102</v>
      </c>
      <c r="K408" s="4">
        <v>19</v>
      </c>
    </row>
    <row r="409" spans="1:11" ht="15" thickBot="1">
      <c r="A409" s="10">
        <v>408</v>
      </c>
      <c r="B409" t="s">
        <v>39</v>
      </c>
      <c r="C409">
        <v>3</v>
      </c>
      <c r="D409" t="s">
        <v>50</v>
      </c>
      <c r="F409" s="20">
        <v>43937.822916666664</v>
      </c>
      <c r="G409">
        <v>105</v>
      </c>
      <c r="H409" t="s">
        <v>16</v>
      </c>
      <c r="I409" t="s">
        <v>10</v>
      </c>
      <c r="J409" s="13" t="s">
        <v>102</v>
      </c>
      <c r="K409" s="4">
        <v>18</v>
      </c>
    </row>
    <row r="410" spans="1:11" ht="15" thickBot="1">
      <c r="A410" s="10">
        <v>409</v>
      </c>
      <c r="B410" t="s">
        <v>43</v>
      </c>
      <c r="C410">
        <v>4</v>
      </c>
      <c r="D410" t="s">
        <v>46</v>
      </c>
      <c r="F410" s="20">
        <v>43937.822916666664</v>
      </c>
      <c r="G410">
        <v>105</v>
      </c>
      <c r="H410" t="s">
        <v>8</v>
      </c>
      <c r="I410" t="s">
        <v>11</v>
      </c>
      <c r="J410" s="13" t="s">
        <v>102</v>
      </c>
      <c r="K410" s="4">
        <v>18</v>
      </c>
    </row>
    <row r="411" spans="1:11" ht="15" thickBot="1">
      <c r="A411" s="10">
        <v>410</v>
      </c>
      <c r="B411" t="s">
        <v>40</v>
      </c>
      <c r="C411">
        <v>4</v>
      </c>
      <c r="D411">
        <v>5</v>
      </c>
      <c r="F411" s="20">
        <v>43937.822916666664</v>
      </c>
      <c r="G411">
        <v>105</v>
      </c>
      <c r="H411" t="s">
        <v>15</v>
      </c>
      <c r="I411" t="s">
        <v>11</v>
      </c>
      <c r="J411" s="13" t="s">
        <v>102</v>
      </c>
      <c r="K411" s="4">
        <v>20</v>
      </c>
    </row>
    <row r="412" spans="1:11" ht="15" thickBot="1">
      <c r="A412" s="10">
        <v>411</v>
      </c>
      <c r="B412" t="s">
        <v>41</v>
      </c>
      <c r="C412">
        <v>1</v>
      </c>
      <c r="D412" t="s">
        <v>128</v>
      </c>
      <c r="F412" s="20">
        <v>43937.833333333336</v>
      </c>
      <c r="G412">
        <v>120</v>
      </c>
      <c r="H412" t="s">
        <v>6</v>
      </c>
      <c r="I412" t="s">
        <v>6</v>
      </c>
      <c r="J412" s="13" t="s">
        <v>102</v>
      </c>
      <c r="K412" s="4">
        <v>18</v>
      </c>
    </row>
    <row r="413" spans="1:11" ht="15" thickBot="1">
      <c r="A413" s="10">
        <v>412</v>
      </c>
      <c r="B413" t="s">
        <v>38</v>
      </c>
      <c r="C413">
        <v>1</v>
      </c>
      <c r="D413" t="s">
        <v>45</v>
      </c>
      <c r="F413" s="20">
        <v>43937.833333333336</v>
      </c>
      <c r="G413">
        <v>120</v>
      </c>
      <c r="H413" t="s">
        <v>17</v>
      </c>
      <c r="I413" t="s">
        <v>6</v>
      </c>
      <c r="J413" s="13" t="s">
        <v>102</v>
      </c>
      <c r="K413" s="4">
        <v>18</v>
      </c>
    </row>
    <row r="414" spans="1:11" ht="15" thickBot="1">
      <c r="A414" s="10">
        <v>413</v>
      </c>
      <c r="B414" t="s">
        <v>42</v>
      </c>
      <c r="C414">
        <v>2</v>
      </c>
      <c r="D414" t="s">
        <v>49</v>
      </c>
      <c r="F414" s="20">
        <v>43937.833333333336</v>
      </c>
      <c r="G414">
        <v>120</v>
      </c>
      <c r="H414" t="s">
        <v>7</v>
      </c>
      <c r="I414" t="s">
        <v>7</v>
      </c>
      <c r="J414" s="13" t="s">
        <v>102</v>
      </c>
      <c r="K414" s="4">
        <v>18</v>
      </c>
    </row>
    <row r="415" spans="1:11" ht="15" thickBot="1">
      <c r="A415" s="10">
        <v>414</v>
      </c>
      <c r="B415" t="s">
        <v>37</v>
      </c>
      <c r="C415">
        <v>2</v>
      </c>
      <c r="D415" t="s">
        <v>45</v>
      </c>
      <c r="F415" s="20">
        <v>43937.833333333336</v>
      </c>
      <c r="G415">
        <v>120</v>
      </c>
      <c r="H415" t="s">
        <v>18</v>
      </c>
      <c r="I415" t="s">
        <v>7</v>
      </c>
      <c r="J415" s="13" t="s">
        <v>102</v>
      </c>
      <c r="K415" s="4">
        <v>18</v>
      </c>
    </row>
    <row r="416" spans="1:11" ht="15" thickBot="1">
      <c r="A416" s="10">
        <v>415</v>
      </c>
      <c r="B416" t="s">
        <v>41</v>
      </c>
      <c r="C416">
        <v>1</v>
      </c>
      <c r="D416" t="s">
        <v>128</v>
      </c>
      <c r="F416" s="20">
        <v>43938.75</v>
      </c>
      <c r="G416">
        <v>120</v>
      </c>
      <c r="H416" t="s">
        <v>6</v>
      </c>
      <c r="I416" t="s">
        <v>6</v>
      </c>
      <c r="J416" s="13" t="s">
        <v>141</v>
      </c>
      <c r="K416" s="4">
        <v>18</v>
      </c>
    </row>
    <row r="417" spans="1:11" ht="15" thickBot="1">
      <c r="A417" s="10">
        <v>416</v>
      </c>
      <c r="B417" t="s">
        <v>38</v>
      </c>
      <c r="C417">
        <v>1</v>
      </c>
      <c r="D417" t="s">
        <v>45</v>
      </c>
      <c r="F417" s="20">
        <v>43938.75</v>
      </c>
      <c r="G417">
        <v>120</v>
      </c>
      <c r="H417" t="s">
        <v>17</v>
      </c>
      <c r="I417" t="s">
        <v>6</v>
      </c>
      <c r="J417" s="13" t="s">
        <v>141</v>
      </c>
      <c r="K417" s="4">
        <v>18</v>
      </c>
    </row>
    <row r="418" spans="1:11" ht="15" thickBot="1">
      <c r="A418" s="10">
        <v>417</v>
      </c>
      <c r="B418" t="s">
        <v>42</v>
      </c>
      <c r="C418">
        <v>2</v>
      </c>
      <c r="D418" t="s">
        <v>49</v>
      </c>
      <c r="F418" s="20">
        <v>43938.75</v>
      </c>
      <c r="G418">
        <v>120</v>
      </c>
      <c r="H418" t="s">
        <v>7</v>
      </c>
      <c r="I418" t="s">
        <v>7</v>
      </c>
      <c r="J418" s="13" t="s">
        <v>141</v>
      </c>
      <c r="K418" s="4">
        <v>18</v>
      </c>
    </row>
    <row r="419" spans="1:11" ht="15" thickBot="1">
      <c r="A419" s="10">
        <v>418</v>
      </c>
      <c r="B419" t="s">
        <v>39</v>
      </c>
      <c r="C419">
        <v>2</v>
      </c>
      <c r="D419" t="s">
        <v>50</v>
      </c>
      <c r="F419" s="20">
        <v>43938.75</v>
      </c>
      <c r="G419">
        <v>120</v>
      </c>
      <c r="H419" t="s">
        <v>16</v>
      </c>
      <c r="I419" t="s">
        <v>7</v>
      </c>
      <c r="J419" s="13" t="s">
        <v>141</v>
      </c>
      <c r="K419" s="4">
        <v>18</v>
      </c>
    </row>
    <row r="420" spans="1:11" ht="15" thickBot="1">
      <c r="A420" s="10">
        <v>419</v>
      </c>
      <c r="B420" t="s">
        <v>43</v>
      </c>
      <c r="C420">
        <v>4</v>
      </c>
      <c r="D420" t="s">
        <v>46</v>
      </c>
      <c r="F420" s="20">
        <v>43938.75</v>
      </c>
      <c r="G420">
        <v>105</v>
      </c>
      <c r="H420" t="s">
        <v>8</v>
      </c>
      <c r="I420" t="s">
        <v>11</v>
      </c>
      <c r="J420" s="13" t="s">
        <v>141</v>
      </c>
      <c r="K420" s="4">
        <v>20</v>
      </c>
    </row>
    <row r="421" spans="1:11" ht="15" thickBot="1">
      <c r="A421" s="10">
        <v>420</v>
      </c>
      <c r="B421" t="s">
        <v>40</v>
      </c>
      <c r="C421">
        <v>4</v>
      </c>
      <c r="D421">
        <v>5</v>
      </c>
      <c r="F421" s="20">
        <v>43938.75</v>
      </c>
      <c r="G421">
        <v>105</v>
      </c>
      <c r="H421" t="s">
        <v>15</v>
      </c>
      <c r="I421" t="s">
        <v>11</v>
      </c>
      <c r="J421" s="13" t="s">
        <v>141</v>
      </c>
      <c r="K421" s="4">
        <v>18</v>
      </c>
    </row>
    <row r="422" spans="1:11" ht="15" thickBot="1">
      <c r="A422" s="10">
        <v>421</v>
      </c>
      <c r="B422" t="s">
        <v>44</v>
      </c>
      <c r="C422">
        <v>5</v>
      </c>
      <c r="D422" t="s">
        <v>51</v>
      </c>
      <c r="F422" s="20">
        <v>43938.75</v>
      </c>
      <c r="G422">
        <v>90</v>
      </c>
      <c r="H422" t="s">
        <v>14</v>
      </c>
      <c r="I422" t="s">
        <v>9</v>
      </c>
      <c r="J422" s="13" t="s">
        <v>141</v>
      </c>
      <c r="K422" s="4">
        <v>20</v>
      </c>
    </row>
    <row r="423" spans="1:11" ht="15" thickBot="1">
      <c r="A423" s="10">
        <v>422</v>
      </c>
      <c r="B423" t="s">
        <v>37</v>
      </c>
      <c r="C423">
        <v>5</v>
      </c>
      <c r="D423" t="s">
        <v>45</v>
      </c>
      <c r="F423" s="20">
        <v>43938.75</v>
      </c>
      <c r="G423">
        <v>90</v>
      </c>
      <c r="H423" t="s">
        <v>18</v>
      </c>
      <c r="I423" t="s">
        <v>9</v>
      </c>
      <c r="J423" s="13" t="s">
        <v>141</v>
      </c>
      <c r="K423" s="4">
        <v>18</v>
      </c>
    </row>
    <row r="424" spans="1:11" ht="15" thickBot="1">
      <c r="A424" s="10">
        <v>423</v>
      </c>
      <c r="B424" t="s">
        <v>37</v>
      </c>
      <c r="C424">
        <v>4</v>
      </c>
      <c r="D424" t="s">
        <v>45</v>
      </c>
      <c r="F424" s="20">
        <v>43938.8125</v>
      </c>
      <c r="G424">
        <v>105</v>
      </c>
      <c r="H424" t="s">
        <v>18</v>
      </c>
      <c r="I424" t="s">
        <v>11</v>
      </c>
      <c r="J424" s="13" t="s">
        <v>141</v>
      </c>
      <c r="K424" s="4">
        <v>18</v>
      </c>
    </row>
    <row r="425" spans="1:11" ht="15" thickBot="1">
      <c r="A425" s="10">
        <v>424</v>
      </c>
      <c r="B425" t="s">
        <v>44</v>
      </c>
      <c r="C425">
        <v>5</v>
      </c>
      <c r="D425" t="s">
        <v>51</v>
      </c>
      <c r="F425" s="20">
        <v>43938.8125</v>
      </c>
      <c r="G425">
        <v>90</v>
      </c>
      <c r="H425" t="s">
        <v>14</v>
      </c>
      <c r="I425" t="s">
        <v>9</v>
      </c>
      <c r="J425" s="13" t="s">
        <v>141</v>
      </c>
      <c r="K425" s="4">
        <v>20</v>
      </c>
    </row>
    <row r="426" spans="1:11" ht="15" thickBot="1">
      <c r="A426" s="10">
        <v>425</v>
      </c>
      <c r="B426" t="s">
        <v>43</v>
      </c>
      <c r="C426">
        <v>2</v>
      </c>
      <c r="D426" t="s">
        <v>46</v>
      </c>
      <c r="F426" s="20">
        <v>43938.822916666664</v>
      </c>
      <c r="G426">
        <v>120</v>
      </c>
      <c r="H426" t="s">
        <v>8</v>
      </c>
      <c r="I426" t="s">
        <v>7</v>
      </c>
      <c r="J426" s="13" t="s">
        <v>141</v>
      </c>
      <c r="K426" s="4">
        <v>20</v>
      </c>
    </row>
    <row r="427" spans="1:11" ht="15" thickBot="1">
      <c r="A427" s="10">
        <v>426</v>
      </c>
      <c r="B427" t="s">
        <v>40</v>
      </c>
      <c r="C427">
        <v>2</v>
      </c>
      <c r="D427">
        <v>5</v>
      </c>
      <c r="F427" s="20">
        <v>43938.822916666664</v>
      </c>
      <c r="G427">
        <v>120</v>
      </c>
      <c r="H427" t="s">
        <v>15</v>
      </c>
      <c r="I427" t="s">
        <v>7</v>
      </c>
      <c r="J427" s="13" t="s">
        <v>141</v>
      </c>
      <c r="K427" s="4">
        <v>18</v>
      </c>
    </row>
    <row r="428" spans="1:11" ht="15" thickBot="1">
      <c r="A428" s="10">
        <v>427</v>
      </c>
      <c r="B428" t="s">
        <v>41</v>
      </c>
      <c r="C428">
        <v>1</v>
      </c>
      <c r="D428" t="s">
        <v>128</v>
      </c>
      <c r="F428" s="20">
        <v>43938.833333333336</v>
      </c>
      <c r="G428">
        <v>120</v>
      </c>
      <c r="H428" t="s">
        <v>6</v>
      </c>
      <c r="I428" t="s">
        <v>6</v>
      </c>
      <c r="J428" s="13" t="s">
        <v>141</v>
      </c>
      <c r="K428" s="4">
        <v>18</v>
      </c>
    </row>
    <row r="429" spans="1:11" ht="15" thickBot="1">
      <c r="A429" s="10">
        <v>428</v>
      </c>
      <c r="B429" t="s">
        <v>38</v>
      </c>
      <c r="C429">
        <v>1</v>
      </c>
      <c r="D429" t="s">
        <v>45</v>
      </c>
      <c r="F429" s="20">
        <v>43938.833333333336</v>
      </c>
      <c r="G429">
        <v>120</v>
      </c>
      <c r="H429" t="s">
        <v>17</v>
      </c>
      <c r="I429" t="s">
        <v>6</v>
      </c>
      <c r="J429" s="13" t="s">
        <v>141</v>
      </c>
      <c r="K429" s="4">
        <v>18</v>
      </c>
    </row>
    <row r="430" spans="1:11" ht="15" thickBot="1">
      <c r="A430" s="10">
        <v>429</v>
      </c>
      <c r="B430" t="s">
        <v>42</v>
      </c>
      <c r="C430">
        <v>2</v>
      </c>
      <c r="D430" t="s">
        <v>49</v>
      </c>
      <c r="F430" s="20">
        <v>43938.833333333336</v>
      </c>
      <c r="G430">
        <v>120</v>
      </c>
      <c r="H430" t="s">
        <v>7</v>
      </c>
      <c r="I430" t="s">
        <v>7</v>
      </c>
      <c r="J430" s="13" t="s">
        <v>141</v>
      </c>
      <c r="K430" s="4">
        <v>19</v>
      </c>
    </row>
    <row r="431" spans="1:11" ht="15" thickBot="1">
      <c r="A431" s="10">
        <v>430</v>
      </c>
      <c r="B431" t="s">
        <v>39</v>
      </c>
      <c r="C431">
        <v>2</v>
      </c>
      <c r="D431" t="s">
        <v>50</v>
      </c>
      <c r="F431" s="20">
        <v>43938.833333333336</v>
      </c>
      <c r="G431">
        <v>120</v>
      </c>
      <c r="H431" t="s">
        <v>16</v>
      </c>
      <c r="I431" t="s">
        <v>7</v>
      </c>
      <c r="J431" s="13" t="s">
        <v>141</v>
      </c>
      <c r="K431" s="4">
        <v>18</v>
      </c>
    </row>
    <row r="432" spans="1:11" ht="15" thickBot="1">
      <c r="A432" s="10">
        <v>431</v>
      </c>
      <c r="B432" t="s">
        <v>41</v>
      </c>
      <c r="C432">
        <v>1</v>
      </c>
      <c r="D432" t="s">
        <v>128</v>
      </c>
      <c r="F432" s="20">
        <v>43939.375</v>
      </c>
      <c r="G432">
        <v>120</v>
      </c>
      <c r="H432" t="s">
        <v>6</v>
      </c>
      <c r="I432" t="s">
        <v>6</v>
      </c>
      <c r="J432" s="13" t="s">
        <v>119</v>
      </c>
      <c r="K432" s="4">
        <v>19</v>
      </c>
    </row>
    <row r="433" spans="1:11" ht="15" thickBot="1">
      <c r="A433" s="10">
        <v>432</v>
      </c>
      <c r="B433" t="s">
        <v>38</v>
      </c>
      <c r="C433">
        <v>1</v>
      </c>
      <c r="D433" t="s">
        <v>45</v>
      </c>
      <c r="F433" s="20">
        <v>43939.375</v>
      </c>
      <c r="G433">
        <v>120</v>
      </c>
      <c r="H433" t="s">
        <v>17</v>
      </c>
      <c r="I433" t="s">
        <v>6</v>
      </c>
      <c r="J433" s="13" t="s">
        <v>119</v>
      </c>
      <c r="K433" s="4">
        <v>18</v>
      </c>
    </row>
    <row r="434" spans="1:11" ht="15" thickBot="1">
      <c r="A434" s="10">
        <v>433</v>
      </c>
      <c r="B434" t="s">
        <v>42</v>
      </c>
      <c r="C434">
        <v>2</v>
      </c>
      <c r="D434" t="s">
        <v>49</v>
      </c>
      <c r="F434" s="20">
        <v>43939.375</v>
      </c>
      <c r="G434">
        <v>120</v>
      </c>
      <c r="H434" t="s">
        <v>7</v>
      </c>
      <c r="I434" t="s">
        <v>7</v>
      </c>
      <c r="J434" s="13" t="s">
        <v>119</v>
      </c>
      <c r="K434" s="4">
        <v>18</v>
      </c>
    </row>
    <row r="435" spans="1:11" ht="15" thickBot="1">
      <c r="A435" s="10">
        <v>434</v>
      </c>
      <c r="B435" t="s">
        <v>37</v>
      </c>
      <c r="C435">
        <v>3</v>
      </c>
      <c r="D435" t="s">
        <v>45</v>
      </c>
      <c r="F435" s="20">
        <v>43939.375</v>
      </c>
      <c r="G435">
        <v>105</v>
      </c>
      <c r="H435" t="s">
        <v>18</v>
      </c>
      <c r="I435" t="s">
        <v>10</v>
      </c>
      <c r="J435" s="13" t="s">
        <v>119</v>
      </c>
      <c r="K435" s="4">
        <v>19</v>
      </c>
    </row>
    <row r="436" spans="1:11" ht="15" thickBot="1">
      <c r="A436" s="10">
        <v>435</v>
      </c>
      <c r="B436" t="s">
        <v>43</v>
      </c>
      <c r="C436">
        <v>6</v>
      </c>
      <c r="D436" t="s">
        <v>46</v>
      </c>
      <c r="F436" s="20">
        <v>43939.375</v>
      </c>
      <c r="G436">
        <v>60</v>
      </c>
      <c r="H436" t="s">
        <v>8</v>
      </c>
      <c r="I436" t="s">
        <v>12</v>
      </c>
      <c r="J436" s="13" t="s">
        <v>119</v>
      </c>
      <c r="K436" s="4">
        <v>18</v>
      </c>
    </row>
    <row r="437" spans="1:11" ht="15" thickBot="1">
      <c r="A437" s="10">
        <v>436</v>
      </c>
      <c r="B437" t="s">
        <v>40</v>
      </c>
      <c r="C437">
        <v>6</v>
      </c>
      <c r="D437">
        <v>5</v>
      </c>
      <c r="F437" s="20">
        <v>43939.375</v>
      </c>
      <c r="G437">
        <v>60</v>
      </c>
      <c r="H437" t="s">
        <v>15</v>
      </c>
      <c r="I437" t="s">
        <v>12</v>
      </c>
      <c r="J437" s="13" t="s">
        <v>119</v>
      </c>
      <c r="K437" s="4">
        <v>18</v>
      </c>
    </row>
    <row r="438" spans="1:11" ht="15" thickBot="1">
      <c r="A438" s="10">
        <v>437</v>
      </c>
      <c r="B438" t="s">
        <v>39</v>
      </c>
      <c r="C438">
        <v>6</v>
      </c>
      <c r="D438" t="s">
        <v>50</v>
      </c>
      <c r="F438" s="20">
        <v>43939.375</v>
      </c>
      <c r="G438">
        <v>60</v>
      </c>
      <c r="H438" t="s">
        <v>16</v>
      </c>
      <c r="I438" t="s">
        <v>12</v>
      </c>
      <c r="J438" s="13" t="s">
        <v>119</v>
      </c>
      <c r="K438" s="4">
        <v>20</v>
      </c>
    </row>
    <row r="439" spans="1:11" ht="15" thickBot="1">
      <c r="A439" s="10">
        <v>438</v>
      </c>
      <c r="B439" t="s">
        <v>44</v>
      </c>
      <c r="C439">
        <v>7</v>
      </c>
      <c r="D439" t="s">
        <v>51</v>
      </c>
      <c r="F439" s="20">
        <v>43939.375</v>
      </c>
      <c r="G439">
        <v>60</v>
      </c>
      <c r="H439" t="s">
        <v>14</v>
      </c>
      <c r="I439" t="s">
        <v>13</v>
      </c>
      <c r="J439" s="13" t="s">
        <v>119</v>
      </c>
      <c r="K439" s="4">
        <v>20</v>
      </c>
    </row>
    <row r="440" spans="1:11" ht="15" thickBot="1">
      <c r="A440" s="10">
        <v>439</v>
      </c>
      <c r="B440" t="s">
        <v>43</v>
      </c>
      <c r="C440">
        <v>4</v>
      </c>
      <c r="D440" t="s">
        <v>46</v>
      </c>
      <c r="F440" s="20">
        <v>43939.416666666664</v>
      </c>
      <c r="G440">
        <v>105</v>
      </c>
      <c r="H440" t="s">
        <v>8</v>
      </c>
      <c r="I440" t="s">
        <v>11</v>
      </c>
      <c r="J440" s="13" t="s">
        <v>119</v>
      </c>
      <c r="K440" s="4">
        <v>18</v>
      </c>
    </row>
    <row r="441" spans="1:11" ht="15" thickBot="1">
      <c r="A441" s="10">
        <v>440</v>
      </c>
      <c r="B441" t="s">
        <v>40</v>
      </c>
      <c r="C441">
        <v>4</v>
      </c>
      <c r="D441">
        <v>5</v>
      </c>
      <c r="F441" s="20">
        <v>43939.416666666664</v>
      </c>
      <c r="G441">
        <v>105</v>
      </c>
      <c r="H441" t="s">
        <v>15</v>
      </c>
      <c r="I441" t="s">
        <v>11</v>
      </c>
      <c r="J441" s="13" t="s">
        <v>119</v>
      </c>
      <c r="K441" s="4">
        <v>18</v>
      </c>
    </row>
    <row r="442" spans="1:11" ht="15" thickBot="1">
      <c r="A442" s="10">
        <v>441</v>
      </c>
      <c r="B442" t="s">
        <v>44</v>
      </c>
      <c r="C442">
        <v>5</v>
      </c>
      <c r="D442" t="s">
        <v>51</v>
      </c>
      <c r="F442" s="20">
        <v>43939.416666666664</v>
      </c>
      <c r="G442">
        <v>90</v>
      </c>
      <c r="H442" t="s">
        <v>14</v>
      </c>
      <c r="I442" t="s">
        <v>9</v>
      </c>
      <c r="J442" s="13" t="s">
        <v>119</v>
      </c>
      <c r="K442" s="4">
        <v>20</v>
      </c>
    </row>
    <row r="443" spans="1:11" ht="15" thickBot="1">
      <c r="A443" s="10">
        <v>442</v>
      </c>
      <c r="B443" t="s">
        <v>39</v>
      </c>
      <c r="C443">
        <v>6</v>
      </c>
      <c r="D443" t="s">
        <v>50</v>
      </c>
      <c r="F443" s="20">
        <v>43939.416666666664</v>
      </c>
      <c r="G443">
        <v>60</v>
      </c>
      <c r="H443" t="s">
        <v>16</v>
      </c>
      <c r="I443" t="s">
        <v>12</v>
      </c>
      <c r="J443" s="13" t="s">
        <v>119</v>
      </c>
      <c r="K443" s="4">
        <v>20</v>
      </c>
    </row>
    <row r="444" spans="1:11" ht="15" thickBot="1">
      <c r="A444" s="10">
        <v>443</v>
      </c>
      <c r="B444" t="s">
        <v>37</v>
      </c>
      <c r="C444">
        <v>3</v>
      </c>
      <c r="D444" t="s">
        <v>45</v>
      </c>
      <c r="F444" s="20">
        <v>43939.447916666664</v>
      </c>
      <c r="G444">
        <v>105</v>
      </c>
      <c r="H444" t="s">
        <v>18</v>
      </c>
      <c r="I444" t="s">
        <v>10</v>
      </c>
      <c r="J444" s="13" t="s">
        <v>119</v>
      </c>
      <c r="K444" s="4">
        <v>20</v>
      </c>
    </row>
    <row r="445" spans="1:11" ht="15" thickBot="1">
      <c r="A445" s="10">
        <v>444</v>
      </c>
      <c r="B445" t="s">
        <v>41</v>
      </c>
      <c r="C445">
        <v>1</v>
      </c>
      <c r="D445" t="s">
        <v>128</v>
      </c>
      <c r="F445" s="20">
        <v>43939.458333333336</v>
      </c>
      <c r="G445">
        <v>120</v>
      </c>
      <c r="H445" t="s">
        <v>6</v>
      </c>
      <c r="I445" t="s">
        <v>6</v>
      </c>
      <c r="J445" s="13" t="s">
        <v>119</v>
      </c>
      <c r="K445" s="4">
        <v>20</v>
      </c>
    </row>
    <row r="446" spans="1:11" ht="15" thickBot="1">
      <c r="A446" s="10">
        <v>445</v>
      </c>
      <c r="B446" t="s">
        <v>42</v>
      </c>
      <c r="C446">
        <v>2</v>
      </c>
      <c r="D446" t="s">
        <v>49</v>
      </c>
      <c r="F446" s="20">
        <v>43939.458333333336</v>
      </c>
      <c r="G446">
        <v>120</v>
      </c>
      <c r="H446" t="s">
        <v>7</v>
      </c>
      <c r="I446" t="s">
        <v>7</v>
      </c>
      <c r="J446" s="13" t="s">
        <v>119</v>
      </c>
      <c r="K446" s="4">
        <v>18</v>
      </c>
    </row>
    <row r="447" spans="1:11" ht="15" thickBot="1">
      <c r="A447" s="10">
        <v>446</v>
      </c>
      <c r="B447" t="s">
        <v>38</v>
      </c>
      <c r="C447">
        <v>2</v>
      </c>
      <c r="D447" t="s">
        <v>45</v>
      </c>
      <c r="F447" s="20">
        <v>43939.458333333336</v>
      </c>
      <c r="G447">
        <v>120</v>
      </c>
      <c r="H447" t="s">
        <v>17</v>
      </c>
      <c r="I447" t="s">
        <v>7</v>
      </c>
      <c r="J447" s="13" t="s">
        <v>119</v>
      </c>
      <c r="K447" s="4">
        <v>18</v>
      </c>
    </row>
    <row r="448" spans="1:11" ht="15" thickBot="1">
      <c r="A448" s="10">
        <v>447</v>
      </c>
      <c r="B448" t="s">
        <v>39</v>
      </c>
      <c r="C448">
        <v>5</v>
      </c>
      <c r="D448" t="s">
        <v>50</v>
      </c>
      <c r="F448" s="20">
        <v>43939.458333333336</v>
      </c>
      <c r="G448">
        <v>90</v>
      </c>
      <c r="H448" t="s">
        <v>16</v>
      </c>
      <c r="I448" t="s">
        <v>9</v>
      </c>
      <c r="J448" s="13" t="s">
        <v>119</v>
      </c>
      <c r="K448" s="4">
        <v>20</v>
      </c>
    </row>
    <row r="449" spans="1:11" ht="15" thickBot="1">
      <c r="A449" s="10">
        <v>448</v>
      </c>
      <c r="B449" t="s">
        <v>44</v>
      </c>
      <c r="C449">
        <v>5</v>
      </c>
      <c r="D449" t="s">
        <v>51</v>
      </c>
      <c r="F449" s="20">
        <v>43939.479166666664</v>
      </c>
      <c r="G449">
        <v>90</v>
      </c>
      <c r="H449" t="s">
        <v>14</v>
      </c>
      <c r="I449" t="s">
        <v>9</v>
      </c>
      <c r="J449" s="13" t="s">
        <v>119</v>
      </c>
      <c r="K449" s="4">
        <v>18</v>
      </c>
    </row>
    <row r="450" spans="1:11" ht="15" thickBot="1">
      <c r="A450" s="10">
        <v>449</v>
      </c>
      <c r="B450" t="s">
        <v>43</v>
      </c>
      <c r="C450">
        <v>4</v>
      </c>
      <c r="D450" t="s">
        <v>46</v>
      </c>
      <c r="F450" s="20">
        <v>43939.489583333336</v>
      </c>
      <c r="G450">
        <v>105</v>
      </c>
      <c r="H450" t="s">
        <v>8</v>
      </c>
      <c r="I450" t="s">
        <v>11</v>
      </c>
      <c r="J450" s="13" t="s">
        <v>119</v>
      </c>
      <c r="K450" s="4">
        <v>18</v>
      </c>
    </row>
    <row r="451" spans="1:11" ht="15" thickBot="1">
      <c r="A451" s="10">
        <v>450</v>
      </c>
      <c r="B451" t="s">
        <v>40</v>
      </c>
      <c r="C451">
        <v>4</v>
      </c>
      <c r="D451">
        <v>5</v>
      </c>
      <c r="F451" s="20">
        <v>43939.489583333336</v>
      </c>
      <c r="G451">
        <v>105</v>
      </c>
      <c r="H451" t="s">
        <v>15</v>
      </c>
      <c r="I451" t="s">
        <v>11</v>
      </c>
      <c r="J451" s="13" t="s">
        <v>119</v>
      </c>
      <c r="K451" s="4">
        <v>18</v>
      </c>
    </row>
    <row r="452" spans="1:11" ht="15" thickBot="1">
      <c r="A452" s="10">
        <v>451</v>
      </c>
      <c r="B452" t="s">
        <v>37</v>
      </c>
      <c r="C452">
        <v>3</v>
      </c>
      <c r="D452" t="s">
        <v>45</v>
      </c>
      <c r="F452" s="20">
        <v>43939.520833333336</v>
      </c>
      <c r="G452">
        <v>105</v>
      </c>
      <c r="H452" t="s">
        <v>18</v>
      </c>
      <c r="I452" t="s">
        <v>10</v>
      </c>
      <c r="J452" s="13" t="s">
        <v>119</v>
      </c>
      <c r="K452" s="4">
        <v>20</v>
      </c>
    </row>
    <row r="453" spans="1:11" ht="15" thickBot="1">
      <c r="A453" s="10">
        <v>452</v>
      </c>
      <c r="B453" t="s">
        <v>39</v>
      </c>
      <c r="C453">
        <v>5</v>
      </c>
      <c r="D453" t="s">
        <v>50</v>
      </c>
      <c r="F453" s="20">
        <v>43939.520833333336</v>
      </c>
      <c r="G453">
        <v>90</v>
      </c>
      <c r="H453" t="s">
        <v>16</v>
      </c>
      <c r="I453" t="s">
        <v>9</v>
      </c>
      <c r="J453" s="13" t="s">
        <v>119</v>
      </c>
      <c r="K453" s="4">
        <v>18</v>
      </c>
    </row>
    <row r="454" spans="1:11" ht="15" thickBot="1">
      <c r="A454" s="10">
        <v>453</v>
      </c>
      <c r="B454" t="s">
        <v>41</v>
      </c>
      <c r="C454">
        <v>1</v>
      </c>
      <c r="D454" t="s">
        <v>128</v>
      </c>
      <c r="F454" s="20">
        <v>43939.541666666664</v>
      </c>
      <c r="G454">
        <v>120</v>
      </c>
      <c r="H454" t="s">
        <v>6</v>
      </c>
      <c r="I454" t="s">
        <v>6</v>
      </c>
      <c r="J454" s="13" t="s">
        <v>119</v>
      </c>
      <c r="K454" s="4">
        <v>20</v>
      </c>
    </row>
    <row r="455" spans="1:11" ht="15" thickBot="1">
      <c r="A455" s="10">
        <v>454</v>
      </c>
      <c r="B455" t="s">
        <v>42</v>
      </c>
      <c r="C455">
        <v>2</v>
      </c>
      <c r="D455" t="s">
        <v>49</v>
      </c>
      <c r="F455" s="20">
        <v>43939.541666666664</v>
      </c>
      <c r="G455">
        <v>120</v>
      </c>
      <c r="H455" t="s">
        <v>7</v>
      </c>
      <c r="I455" t="s">
        <v>7</v>
      </c>
      <c r="J455" s="13" t="s">
        <v>119</v>
      </c>
      <c r="K455" s="4">
        <v>18</v>
      </c>
    </row>
    <row r="456" spans="1:11" ht="15" thickBot="1">
      <c r="A456" s="10">
        <v>455</v>
      </c>
      <c r="B456" t="s">
        <v>38</v>
      </c>
      <c r="C456">
        <v>2</v>
      </c>
      <c r="D456" t="s">
        <v>45</v>
      </c>
      <c r="F456" s="20">
        <v>43939.541666666664</v>
      </c>
      <c r="G456">
        <v>120</v>
      </c>
      <c r="H456" t="s">
        <v>17</v>
      </c>
      <c r="I456" t="s">
        <v>7</v>
      </c>
      <c r="J456" s="13" t="s">
        <v>119</v>
      </c>
      <c r="K456" s="4">
        <v>18</v>
      </c>
    </row>
    <row r="457" spans="1:11" ht="15" thickBot="1">
      <c r="A457" s="10">
        <v>456</v>
      </c>
      <c r="B457" t="s">
        <v>44</v>
      </c>
      <c r="C457">
        <v>5</v>
      </c>
      <c r="D457" t="s">
        <v>51</v>
      </c>
      <c r="F457" s="20">
        <v>43939.541666666664</v>
      </c>
      <c r="G457">
        <v>90</v>
      </c>
      <c r="H457" t="s">
        <v>14</v>
      </c>
      <c r="I457" t="s">
        <v>9</v>
      </c>
      <c r="J457" s="13" t="s">
        <v>119</v>
      </c>
      <c r="K457" s="4">
        <v>18</v>
      </c>
    </row>
    <row r="458" spans="1:11" ht="15" thickBot="1">
      <c r="A458" s="10">
        <v>457</v>
      </c>
      <c r="B458" t="s">
        <v>43</v>
      </c>
      <c r="C458">
        <v>4</v>
      </c>
      <c r="D458" t="s">
        <v>46</v>
      </c>
      <c r="F458" s="20">
        <v>43939.572916666664</v>
      </c>
      <c r="G458">
        <v>105</v>
      </c>
      <c r="H458" t="s">
        <v>8</v>
      </c>
      <c r="I458" t="s">
        <v>11</v>
      </c>
      <c r="J458" s="13" t="s">
        <v>119</v>
      </c>
      <c r="K458" s="4">
        <v>19</v>
      </c>
    </row>
    <row r="459" spans="1:11" ht="15" thickBot="1">
      <c r="A459" s="10">
        <v>458</v>
      </c>
      <c r="B459" t="s">
        <v>40</v>
      </c>
      <c r="C459">
        <v>4</v>
      </c>
      <c r="D459">
        <v>5</v>
      </c>
      <c r="F459" s="20">
        <v>43939.572916666664</v>
      </c>
      <c r="G459">
        <v>105</v>
      </c>
      <c r="H459" t="s">
        <v>15</v>
      </c>
      <c r="I459" t="s">
        <v>11</v>
      </c>
      <c r="J459" s="13" t="s">
        <v>119</v>
      </c>
      <c r="K459" s="4">
        <v>18</v>
      </c>
    </row>
    <row r="460" spans="1:11" ht="15" thickBot="1">
      <c r="A460" s="10">
        <v>459</v>
      </c>
      <c r="B460" t="s">
        <v>39</v>
      </c>
      <c r="C460">
        <v>5</v>
      </c>
      <c r="D460" t="s">
        <v>50</v>
      </c>
      <c r="F460" s="20">
        <v>43939.583333333336</v>
      </c>
      <c r="G460">
        <v>90</v>
      </c>
      <c r="H460" t="s">
        <v>16</v>
      </c>
      <c r="I460" t="s">
        <v>9</v>
      </c>
      <c r="J460" s="13" t="s">
        <v>119</v>
      </c>
      <c r="K460" s="4">
        <v>18</v>
      </c>
    </row>
    <row r="461" spans="1:11" ht="15" thickBot="1">
      <c r="A461" s="10">
        <v>460</v>
      </c>
      <c r="B461" t="s">
        <v>37</v>
      </c>
      <c r="C461">
        <v>3</v>
      </c>
      <c r="D461" t="s">
        <v>45</v>
      </c>
      <c r="F461" s="20">
        <v>43939.614583333336</v>
      </c>
      <c r="G461">
        <v>105</v>
      </c>
      <c r="H461" t="s">
        <v>18</v>
      </c>
      <c r="I461" t="s">
        <v>10</v>
      </c>
      <c r="J461" s="13" t="s">
        <v>119</v>
      </c>
      <c r="K461" s="4">
        <v>20</v>
      </c>
    </row>
    <row r="462" spans="1:11" ht="15" thickBot="1">
      <c r="A462" s="10">
        <v>461</v>
      </c>
      <c r="B462" t="s">
        <v>41</v>
      </c>
      <c r="C462">
        <v>1</v>
      </c>
      <c r="D462" t="s">
        <v>128</v>
      </c>
      <c r="F462" s="20">
        <v>43939.625</v>
      </c>
      <c r="G462">
        <v>120</v>
      </c>
      <c r="H462" t="s">
        <v>6</v>
      </c>
      <c r="I462" t="s">
        <v>6</v>
      </c>
      <c r="J462" s="13" t="s">
        <v>119</v>
      </c>
      <c r="K462" s="4">
        <v>20</v>
      </c>
    </row>
    <row r="463" spans="1:11" ht="15" thickBot="1">
      <c r="A463" s="10">
        <v>462</v>
      </c>
      <c r="B463" t="s">
        <v>42</v>
      </c>
      <c r="C463">
        <v>2</v>
      </c>
      <c r="D463" t="s">
        <v>49</v>
      </c>
      <c r="F463" s="20">
        <v>43939.625</v>
      </c>
      <c r="G463">
        <v>120</v>
      </c>
      <c r="H463" t="s">
        <v>7</v>
      </c>
      <c r="I463" t="s">
        <v>7</v>
      </c>
      <c r="J463" s="13" t="s">
        <v>119</v>
      </c>
      <c r="K463" s="4">
        <v>18</v>
      </c>
    </row>
    <row r="464" spans="1:11" ht="15" thickBot="1">
      <c r="A464" s="10">
        <v>463</v>
      </c>
      <c r="B464" t="s">
        <v>44</v>
      </c>
      <c r="C464">
        <v>5</v>
      </c>
      <c r="D464" t="s">
        <v>51</v>
      </c>
      <c r="F464" s="20">
        <v>43939.625</v>
      </c>
      <c r="G464">
        <v>90</v>
      </c>
      <c r="H464" t="s">
        <v>14</v>
      </c>
      <c r="I464" t="s">
        <v>9</v>
      </c>
      <c r="J464" s="13" t="s">
        <v>119</v>
      </c>
      <c r="K464" s="4">
        <v>18</v>
      </c>
    </row>
    <row r="465" spans="1:11" ht="15" thickBot="1">
      <c r="A465" s="10">
        <v>464</v>
      </c>
      <c r="B465" t="s">
        <v>38</v>
      </c>
      <c r="C465">
        <v>2</v>
      </c>
      <c r="D465" t="s">
        <v>45</v>
      </c>
      <c r="F465" s="20">
        <v>43939.635416666664</v>
      </c>
      <c r="G465">
        <v>120</v>
      </c>
      <c r="H465" t="s">
        <v>17</v>
      </c>
      <c r="I465" t="s">
        <v>7</v>
      </c>
      <c r="J465" s="13" t="s">
        <v>119</v>
      </c>
      <c r="K465" s="4">
        <v>18</v>
      </c>
    </row>
    <row r="466" spans="1:11" ht="15" thickBot="1">
      <c r="A466" s="10">
        <v>465</v>
      </c>
      <c r="B466" t="s">
        <v>39</v>
      </c>
      <c r="C466">
        <v>3</v>
      </c>
      <c r="D466" t="s">
        <v>50</v>
      </c>
      <c r="F466" s="20">
        <v>43939.645833333336</v>
      </c>
      <c r="G466">
        <v>105</v>
      </c>
      <c r="H466" t="s">
        <v>16</v>
      </c>
      <c r="I466" t="s">
        <v>10</v>
      </c>
      <c r="J466" s="13" t="s">
        <v>119</v>
      </c>
      <c r="K466" s="4">
        <v>18</v>
      </c>
    </row>
    <row r="467" spans="1:11" ht="15" thickBot="1">
      <c r="A467" s="10">
        <v>466</v>
      </c>
      <c r="B467" t="s">
        <v>43</v>
      </c>
      <c r="C467">
        <v>4</v>
      </c>
      <c r="D467" t="s">
        <v>46</v>
      </c>
      <c r="F467" s="20">
        <v>43939.645833333336</v>
      </c>
      <c r="G467">
        <v>105</v>
      </c>
      <c r="H467" t="s">
        <v>8</v>
      </c>
      <c r="I467" t="s">
        <v>11</v>
      </c>
      <c r="J467" s="13" t="s">
        <v>119</v>
      </c>
      <c r="K467" s="4">
        <v>20</v>
      </c>
    </row>
    <row r="468" spans="1:11" ht="15" thickBot="1">
      <c r="A468" s="10">
        <v>467</v>
      </c>
      <c r="B468" t="s">
        <v>40</v>
      </c>
      <c r="C468">
        <v>4</v>
      </c>
      <c r="D468">
        <v>5</v>
      </c>
      <c r="F468" s="20">
        <v>43939.645833333336</v>
      </c>
      <c r="G468">
        <v>105</v>
      </c>
      <c r="H468" t="s">
        <v>15</v>
      </c>
      <c r="I468" t="s">
        <v>11</v>
      </c>
      <c r="J468" s="13" t="s">
        <v>119</v>
      </c>
      <c r="K468" s="4">
        <v>19</v>
      </c>
    </row>
    <row r="469" spans="1:11" ht="15" thickBot="1">
      <c r="A469" s="10">
        <v>468</v>
      </c>
      <c r="B469" t="s">
        <v>37</v>
      </c>
      <c r="C469">
        <v>3</v>
      </c>
      <c r="D469" t="s">
        <v>45</v>
      </c>
      <c r="F469" s="20">
        <v>43939.6875</v>
      </c>
      <c r="G469">
        <v>105</v>
      </c>
      <c r="H469" t="s">
        <v>18</v>
      </c>
      <c r="I469" t="s">
        <v>10</v>
      </c>
      <c r="J469" s="13" t="s">
        <v>119</v>
      </c>
      <c r="K469" s="4">
        <v>18</v>
      </c>
    </row>
    <row r="470" spans="1:11" ht="15" thickBot="1">
      <c r="A470" s="10">
        <v>469</v>
      </c>
      <c r="B470" t="s">
        <v>44</v>
      </c>
      <c r="C470">
        <v>5</v>
      </c>
      <c r="D470" t="s">
        <v>51</v>
      </c>
      <c r="F470" s="20">
        <v>43939.6875</v>
      </c>
      <c r="G470">
        <v>90</v>
      </c>
      <c r="H470" t="s">
        <v>14</v>
      </c>
      <c r="I470" t="s">
        <v>9</v>
      </c>
      <c r="J470" s="13" t="s">
        <v>119</v>
      </c>
      <c r="K470" s="4">
        <v>18</v>
      </c>
    </row>
    <row r="471" spans="1:11" ht="15" thickBot="1">
      <c r="A471" s="10">
        <v>470</v>
      </c>
      <c r="B471" t="s">
        <v>41</v>
      </c>
      <c r="C471">
        <v>1</v>
      </c>
      <c r="D471" t="s">
        <v>128</v>
      </c>
      <c r="F471" s="20">
        <v>43939.708333333336</v>
      </c>
      <c r="G471">
        <v>120</v>
      </c>
      <c r="H471" t="s">
        <v>6</v>
      </c>
      <c r="I471" t="s">
        <v>6</v>
      </c>
      <c r="J471" s="13" t="s">
        <v>119</v>
      </c>
      <c r="K471" s="4">
        <v>20</v>
      </c>
    </row>
    <row r="472" spans="1:11" ht="15" thickBot="1">
      <c r="A472" s="10">
        <v>471</v>
      </c>
      <c r="B472" t="s">
        <v>42</v>
      </c>
      <c r="C472">
        <v>2</v>
      </c>
      <c r="D472" t="s">
        <v>49</v>
      </c>
      <c r="F472" s="20">
        <v>43939.708333333336</v>
      </c>
      <c r="G472">
        <v>120</v>
      </c>
      <c r="H472" t="s">
        <v>7</v>
      </c>
      <c r="I472" t="s">
        <v>7</v>
      </c>
      <c r="J472" s="13" t="s">
        <v>119</v>
      </c>
      <c r="K472" s="4">
        <v>18</v>
      </c>
    </row>
    <row r="473" spans="1:11" ht="15" thickBot="1">
      <c r="A473" s="10">
        <v>472</v>
      </c>
      <c r="B473" t="s">
        <v>39</v>
      </c>
      <c r="C473">
        <v>3</v>
      </c>
      <c r="D473" t="s">
        <v>50</v>
      </c>
      <c r="F473" s="20">
        <v>43939.71875</v>
      </c>
      <c r="G473">
        <v>105</v>
      </c>
      <c r="H473" t="s">
        <v>16</v>
      </c>
      <c r="I473" t="s">
        <v>10</v>
      </c>
      <c r="J473" s="13" t="s">
        <v>119</v>
      </c>
      <c r="K473" s="4">
        <v>18</v>
      </c>
    </row>
    <row r="474" spans="1:11" ht="15" thickBot="1">
      <c r="A474" s="10">
        <v>473</v>
      </c>
      <c r="B474" t="s">
        <v>38</v>
      </c>
      <c r="C474">
        <v>3</v>
      </c>
      <c r="D474" t="s">
        <v>45</v>
      </c>
      <c r="F474" s="20">
        <v>43939.71875</v>
      </c>
      <c r="G474">
        <v>105</v>
      </c>
      <c r="H474" t="s">
        <v>17</v>
      </c>
      <c r="I474" t="s">
        <v>10</v>
      </c>
      <c r="J474" s="13" t="s">
        <v>119</v>
      </c>
      <c r="K474" s="4">
        <v>19</v>
      </c>
    </row>
    <row r="475" spans="1:11" ht="15" thickBot="1">
      <c r="A475" s="10">
        <v>474</v>
      </c>
      <c r="B475" t="s">
        <v>43</v>
      </c>
      <c r="C475">
        <v>4</v>
      </c>
      <c r="D475" t="s">
        <v>46</v>
      </c>
      <c r="F475" s="20">
        <v>43939.71875</v>
      </c>
      <c r="G475">
        <v>105</v>
      </c>
      <c r="H475" t="s">
        <v>8</v>
      </c>
      <c r="I475" t="s">
        <v>11</v>
      </c>
      <c r="J475" s="13" t="s">
        <v>119</v>
      </c>
      <c r="K475" s="4">
        <v>20</v>
      </c>
    </row>
    <row r="476" spans="1:11" ht="15" thickBot="1">
      <c r="A476" s="10">
        <v>475</v>
      </c>
      <c r="B476" t="s">
        <v>40</v>
      </c>
      <c r="C476">
        <v>4</v>
      </c>
      <c r="D476">
        <v>5</v>
      </c>
      <c r="F476" s="20">
        <v>43939.71875</v>
      </c>
      <c r="G476">
        <v>105</v>
      </c>
      <c r="H476" t="s">
        <v>15</v>
      </c>
      <c r="I476" t="s">
        <v>11</v>
      </c>
      <c r="J476" s="13" t="s">
        <v>119</v>
      </c>
      <c r="K476" s="4">
        <v>19</v>
      </c>
    </row>
    <row r="477" spans="1:11" ht="15" thickBot="1">
      <c r="A477" s="10">
        <v>476</v>
      </c>
      <c r="B477" t="s">
        <v>41</v>
      </c>
      <c r="C477">
        <v>1</v>
      </c>
      <c r="D477" t="s">
        <v>128</v>
      </c>
      <c r="F477" s="20">
        <v>43941.75</v>
      </c>
      <c r="G477">
        <v>120</v>
      </c>
      <c r="H477" t="s">
        <v>6</v>
      </c>
      <c r="I477" t="s">
        <v>6</v>
      </c>
      <c r="J477" s="13" t="s">
        <v>102</v>
      </c>
      <c r="K477" s="4">
        <v>18</v>
      </c>
    </row>
    <row r="478" spans="1:11" ht="15" thickBot="1">
      <c r="A478" s="10">
        <v>477</v>
      </c>
      <c r="B478" t="s">
        <v>38</v>
      </c>
      <c r="C478">
        <v>1</v>
      </c>
      <c r="D478" t="s">
        <v>45</v>
      </c>
      <c r="F478" s="20">
        <v>43941.75</v>
      </c>
      <c r="G478">
        <v>120</v>
      </c>
      <c r="H478" t="s">
        <v>17</v>
      </c>
      <c r="I478" t="s">
        <v>6</v>
      </c>
      <c r="J478" s="13" t="s">
        <v>102</v>
      </c>
      <c r="K478" s="4">
        <v>18</v>
      </c>
    </row>
    <row r="479" spans="1:11" ht="15" thickBot="1">
      <c r="A479" s="10">
        <v>478</v>
      </c>
      <c r="B479" t="s">
        <v>42</v>
      </c>
      <c r="C479">
        <v>2</v>
      </c>
      <c r="D479" t="s">
        <v>49</v>
      </c>
      <c r="F479" s="20">
        <v>43941.75</v>
      </c>
      <c r="G479">
        <v>120</v>
      </c>
      <c r="H479" t="s">
        <v>7</v>
      </c>
      <c r="I479" t="s">
        <v>7</v>
      </c>
      <c r="J479" s="13" t="s">
        <v>102</v>
      </c>
      <c r="K479" s="4">
        <v>18</v>
      </c>
    </row>
    <row r="480" spans="1:11" ht="15" thickBot="1">
      <c r="A480" s="10">
        <v>479</v>
      </c>
      <c r="B480" t="s">
        <v>37</v>
      </c>
      <c r="C480">
        <v>2</v>
      </c>
      <c r="D480" t="s">
        <v>45</v>
      </c>
      <c r="F480" s="20">
        <v>43941.75</v>
      </c>
      <c r="G480">
        <v>120</v>
      </c>
      <c r="H480" t="s">
        <v>18</v>
      </c>
      <c r="I480" t="s">
        <v>7</v>
      </c>
      <c r="J480" s="13" t="s">
        <v>102</v>
      </c>
      <c r="K480" s="4">
        <v>18</v>
      </c>
    </row>
    <row r="481" spans="1:11" ht="15" thickBot="1">
      <c r="A481" s="10">
        <v>480</v>
      </c>
      <c r="B481" t="s">
        <v>39</v>
      </c>
      <c r="C481">
        <v>3</v>
      </c>
      <c r="D481" t="s">
        <v>50</v>
      </c>
      <c r="F481" s="20">
        <v>43941.75</v>
      </c>
      <c r="G481">
        <v>105</v>
      </c>
      <c r="H481" t="s">
        <v>16</v>
      </c>
      <c r="I481" t="s">
        <v>10</v>
      </c>
      <c r="J481" s="13" t="s">
        <v>102</v>
      </c>
      <c r="K481" s="4">
        <v>20</v>
      </c>
    </row>
    <row r="482" spans="1:11" ht="15" thickBot="1">
      <c r="A482" s="10">
        <v>481</v>
      </c>
      <c r="B482" t="s">
        <v>43</v>
      </c>
      <c r="C482">
        <v>4</v>
      </c>
      <c r="D482" t="s">
        <v>46</v>
      </c>
      <c r="F482" s="20">
        <v>43941.75</v>
      </c>
      <c r="G482">
        <v>105</v>
      </c>
      <c r="H482" t="s">
        <v>8</v>
      </c>
      <c r="I482" t="s">
        <v>11</v>
      </c>
      <c r="J482" s="13" t="s">
        <v>102</v>
      </c>
      <c r="K482" s="4">
        <v>18</v>
      </c>
    </row>
    <row r="483" spans="1:11" ht="15" thickBot="1">
      <c r="A483" s="10">
        <v>482</v>
      </c>
      <c r="B483" t="s">
        <v>40</v>
      </c>
      <c r="C483">
        <v>4</v>
      </c>
      <c r="D483">
        <v>5</v>
      </c>
      <c r="F483" s="20">
        <v>43941.75</v>
      </c>
      <c r="G483">
        <v>105</v>
      </c>
      <c r="H483" t="s">
        <v>15</v>
      </c>
      <c r="I483" t="s">
        <v>11</v>
      </c>
      <c r="J483" s="13" t="s">
        <v>102</v>
      </c>
      <c r="K483" s="4">
        <v>19</v>
      </c>
    </row>
    <row r="484" spans="1:11" ht="15" thickBot="1">
      <c r="A484" s="10">
        <v>483</v>
      </c>
      <c r="B484" t="s">
        <v>44</v>
      </c>
      <c r="C484">
        <v>5</v>
      </c>
      <c r="D484" t="s">
        <v>51</v>
      </c>
      <c r="F484" s="20">
        <v>43941.75</v>
      </c>
      <c r="G484">
        <v>90</v>
      </c>
      <c r="H484" t="s">
        <v>14</v>
      </c>
      <c r="I484" t="s">
        <v>9</v>
      </c>
      <c r="J484" s="13" t="s">
        <v>102</v>
      </c>
      <c r="K484" s="4">
        <v>18</v>
      </c>
    </row>
    <row r="485" spans="1:11" ht="15" thickBot="1">
      <c r="A485" s="10">
        <v>484</v>
      </c>
      <c r="B485" t="s">
        <v>44</v>
      </c>
      <c r="C485">
        <v>5</v>
      </c>
      <c r="D485" t="s">
        <v>51</v>
      </c>
      <c r="F485" s="20">
        <v>43941.8125</v>
      </c>
      <c r="G485">
        <v>90</v>
      </c>
      <c r="H485" t="s">
        <v>14</v>
      </c>
      <c r="I485" t="s">
        <v>9</v>
      </c>
      <c r="J485" s="13" t="s">
        <v>102</v>
      </c>
      <c r="K485" s="4">
        <v>19</v>
      </c>
    </row>
    <row r="486" spans="1:11" ht="15" thickBot="1">
      <c r="A486" s="10">
        <v>485</v>
      </c>
      <c r="B486" t="s">
        <v>39</v>
      </c>
      <c r="C486">
        <v>3</v>
      </c>
      <c r="D486" t="s">
        <v>50</v>
      </c>
      <c r="F486" s="20">
        <v>43941.822916666664</v>
      </c>
      <c r="G486">
        <v>105</v>
      </c>
      <c r="H486" t="s">
        <v>16</v>
      </c>
      <c r="I486" t="s">
        <v>10</v>
      </c>
      <c r="J486" s="13" t="s">
        <v>102</v>
      </c>
      <c r="K486" s="4">
        <v>20</v>
      </c>
    </row>
    <row r="487" spans="1:11" ht="15" thickBot="1">
      <c r="A487" s="10">
        <v>486</v>
      </c>
      <c r="B487" t="s">
        <v>43</v>
      </c>
      <c r="C487">
        <v>4</v>
      </c>
      <c r="D487" t="s">
        <v>46</v>
      </c>
      <c r="F487" s="20">
        <v>43941.822916666664</v>
      </c>
      <c r="G487">
        <v>105</v>
      </c>
      <c r="H487" t="s">
        <v>8</v>
      </c>
      <c r="I487" t="s">
        <v>11</v>
      </c>
      <c r="J487" s="13" t="s">
        <v>102</v>
      </c>
      <c r="K487" s="4">
        <v>18</v>
      </c>
    </row>
    <row r="488" spans="1:11" ht="15" thickBot="1">
      <c r="A488" s="10">
        <v>487</v>
      </c>
      <c r="B488" t="s">
        <v>40</v>
      </c>
      <c r="C488">
        <v>4</v>
      </c>
      <c r="D488">
        <v>5</v>
      </c>
      <c r="F488" s="20">
        <v>43941.822916666664</v>
      </c>
      <c r="G488">
        <v>105</v>
      </c>
      <c r="H488" t="s">
        <v>15</v>
      </c>
      <c r="I488" t="s">
        <v>11</v>
      </c>
      <c r="J488" s="13" t="s">
        <v>102</v>
      </c>
      <c r="K488" s="4">
        <v>20</v>
      </c>
    </row>
    <row r="489" spans="1:11" ht="15" thickBot="1">
      <c r="A489" s="10">
        <v>488</v>
      </c>
      <c r="B489" t="s">
        <v>41</v>
      </c>
      <c r="C489">
        <v>1</v>
      </c>
      <c r="D489" t="s">
        <v>128</v>
      </c>
      <c r="F489" s="20">
        <v>43941.833333333336</v>
      </c>
      <c r="G489">
        <v>120</v>
      </c>
      <c r="H489" t="s">
        <v>6</v>
      </c>
      <c r="I489" t="s">
        <v>6</v>
      </c>
      <c r="J489" s="13" t="s">
        <v>102</v>
      </c>
      <c r="K489" s="4">
        <v>18</v>
      </c>
    </row>
    <row r="490" spans="1:11" ht="15" thickBot="1">
      <c r="A490" s="10">
        <v>489</v>
      </c>
      <c r="B490" t="s">
        <v>38</v>
      </c>
      <c r="C490">
        <v>1</v>
      </c>
      <c r="D490" t="s">
        <v>45</v>
      </c>
      <c r="F490" s="20">
        <v>43941.833333333336</v>
      </c>
      <c r="G490">
        <v>120</v>
      </c>
      <c r="H490" t="s">
        <v>17</v>
      </c>
      <c r="I490" t="s">
        <v>6</v>
      </c>
      <c r="J490" s="13" t="s">
        <v>102</v>
      </c>
      <c r="K490" s="4">
        <v>18</v>
      </c>
    </row>
    <row r="491" spans="1:11" ht="15" thickBot="1">
      <c r="A491" s="10">
        <v>490</v>
      </c>
      <c r="B491" t="s">
        <v>42</v>
      </c>
      <c r="C491">
        <v>2</v>
      </c>
      <c r="D491" t="s">
        <v>49</v>
      </c>
      <c r="F491" s="20">
        <v>43941.833333333336</v>
      </c>
      <c r="G491">
        <v>120</v>
      </c>
      <c r="H491" t="s">
        <v>7</v>
      </c>
      <c r="I491" t="s">
        <v>7</v>
      </c>
      <c r="J491" s="13" t="s">
        <v>102</v>
      </c>
      <c r="K491" s="4">
        <v>18</v>
      </c>
    </row>
    <row r="492" spans="1:11" ht="15" thickBot="1">
      <c r="A492" s="10">
        <v>491</v>
      </c>
      <c r="B492" t="s">
        <v>37</v>
      </c>
      <c r="C492">
        <v>2</v>
      </c>
      <c r="D492" t="s">
        <v>45</v>
      </c>
      <c r="F492" s="20">
        <v>43941.833333333336</v>
      </c>
      <c r="G492">
        <v>120</v>
      </c>
      <c r="H492" t="s">
        <v>18</v>
      </c>
      <c r="I492" t="s">
        <v>7</v>
      </c>
      <c r="J492" s="13" t="s">
        <v>102</v>
      </c>
      <c r="K492" s="4">
        <v>18</v>
      </c>
    </row>
    <row r="493" spans="1:11" ht="15" thickBot="1">
      <c r="A493" s="10">
        <v>492</v>
      </c>
      <c r="B493" t="s">
        <v>41</v>
      </c>
      <c r="C493">
        <v>1</v>
      </c>
      <c r="D493" t="s">
        <v>128</v>
      </c>
      <c r="F493" s="20">
        <v>43942.75</v>
      </c>
      <c r="G493">
        <v>120</v>
      </c>
      <c r="H493" t="s">
        <v>6</v>
      </c>
      <c r="I493" t="s">
        <v>6</v>
      </c>
      <c r="J493" s="13" t="s">
        <v>133</v>
      </c>
      <c r="K493" s="4">
        <v>18</v>
      </c>
    </row>
    <row r="494" spans="1:11" ht="15" thickBot="1">
      <c r="A494" s="10">
        <v>493</v>
      </c>
      <c r="B494" t="s">
        <v>38</v>
      </c>
      <c r="C494">
        <v>1</v>
      </c>
      <c r="D494" t="s">
        <v>45</v>
      </c>
      <c r="F494" s="20">
        <v>43942.75</v>
      </c>
      <c r="G494">
        <v>120</v>
      </c>
      <c r="H494" t="s">
        <v>17</v>
      </c>
      <c r="I494" t="s">
        <v>6</v>
      </c>
      <c r="J494" s="13" t="s">
        <v>133</v>
      </c>
      <c r="K494" s="4">
        <v>18</v>
      </c>
    </row>
    <row r="495" spans="1:11" ht="15" thickBot="1">
      <c r="A495" s="10">
        <v>494</v>
      </c>
      <c r="B495" t="s">
        <v>42</v>
      </c>
      <c r="C495">
        <v>2</v>
      </c>
      <c r="D495" t="s">
        <v>49</v>
      </c>
      <c r="F495" s="20">
        <v>43942.75</v>
      </c>
      <c r="G495">
        <v>120</v>
      </c>
      <c r="H495" t="s">
        <v>7</v>
      </c>
      <c r="I495" t="s">
        <v>7</v>
      </c>
      <c r="J495" s="13" t="s">
        <v>133</v>
      </c>
      <c r="K495" s="4">
        <v>18</v>
      </c>
    </row>
    <row r="496" spans="1:11" ht="15" thickBot="1">
      <c r="A496" s="10">
        <v>495</v>
      </c>
      <c r="B496" t="s">
        <v>39</v>
      </c>
      <c r="C496">
        <v>3</v>
      </c>
      <c r="D496" t="s">
        <v>50</v>
      </c>
      <c r="F496" s="20">
        <v>43942.75</v>
      </c>
      <c r="G496">
        <v>105</v>
      </c>
      <c r="H496" t="s">
        <v>16</v>
      </c>
      <c r="I496" t="s">
        <v>10</v>
      </c>
      <c r="J496" s="13" t="s">
        <v>133</v>
      </c>
      <c r="K496" s="4">
        <v>18</v>
      </c>
    </row>
    <row r="497" spans="1:11" ht="15" thickBot="1">
      <c r="A497" s="10">
        <v>496</v>
      </c>
      <c r="B497" t="s">
        <v>37</v>
      </c>
      <c r="C497">
        <v>3</v>
      </c>
      <c r="D497" t="s">
        <v>45</v>
      </c>
      <c r="F497" s="20">
        <v>43942.75</v>
      </c>
      <c r="G497">
        <v>105</v>
      </c>
      <c r="H497" t="s">
        <v>18</v>
      </c>
      <c r="I497" t="s">
        <v>10</v>
      </c>
      <c r="J497" s="13" t="s">
        <v>133</v>
      </c>
      <c r="K497" s="4">
        <v>18</v>
      </c>
    </row>
    <row r="498" spans="1:11" ht="15" thickBot="1">
      <c r="A498" s="10">
        <v>497</v>
      </c>
      <c r="B498" t="s">
        <v>43</v>
      </c>
      <c r="C498">
        <v>4</v>
      </c>
      <c r="D498" t="s">
        <v>46</v>
      </c>
      <c r="F498" s="20">
        <v>43942.75</v>
      </c>
      <c r="G498">
        <v>105</v>
      </c>
      <c r="H498" t="s">
        <v>8</v>
      </c>
      <c r="I498" t="s">
        <v>11</v>
      </c>
      <c r="J498" s="13" t="s">
        <v>133</v>
      </c>
      <c r="K498" s="4">
        <v>19</v>
      </c>
    </row>
    <row r="499" spans="1:11" ht="15" thickBot="1">
      <c r="A499" s="10">
        <v>498</v>
      </c>
      <c r="B499" t="s">
        <v>44</v>
      </c>
      <c r="C499">
        <v>5</v>
      </c>
      <c r="D499" t="s">
        <v>51</v>
      </c>
      <c r="F499" s="20">
        <v>43942.75</v>
      </c>
      <c r="G499">
        <v>90</v>
      </c>
      <c r="H499" t="s">
        <v>14</v>
      </c>
      <c r="I499" t="s">
        <v>9</v>
      </c>
      <c r="J499" s="13" t="s">
        <v>133</v>
      </c>
      <c r="K499" s="4">
        <v>20</v>
      </c>
    </row>
    <row r="500" spans="1:11" ht="15" thickBot="1">
      <c r="A500" s="10">
        <v>499</v>
      </c>
      <c r="B500" t="s">
        <v>40</v>
      </c>
      <c r="C500">
        <v>5</v>
      </c>
      <c r="D500">
        <v>5</v>
      </c>
      <c r="F500" s="20">
        <v>43942.75</v>
      </c>
      <c r="G500">
        <v>90</v>
      </c>
      <c r="H500" t="s">
        <v>15</v>
      </c>
      <c r="I500" t="s">
        <v>9</v>
      </c>
      <c r="J500" s="13" t="s">
        <v>133</v>
      </c>
      <c r="K500" s="4">
        <v>20</v>
      </c>
    </row>
    <row r="501" spans="1:11" ht="15" thickBot="1">
      <c r="A501" s="10">
        <v>500</v>
      </c>
      <c r="B501" t="s">
        <v>44</v>
      </c>
      <c r="C501">
        <v>5</v>
      </c>
      <c r="D501" t="s">
        <v>51</v>
      </c>
      <c r="F501" s="20">
        <v>43942.8125</v>
      </c>
      <c r="G501">
        <v>90</v>
      </c>
      <c r="H501" t="s">
        <v>14</v>
      </c>
      <c r="I501" t="s">
        <v>9</v>
      </c>
      <c r="J501" s="13" t="s">
        <v>133</v>
      </c>
      <c r="K501" s="4">
        <v>20</v>
      </c>
    </row>
    <row r="502" spans="1:11" ht="15" thickBot="1">
      <c r="A502" s="10">
        <v>501</v>
      </c>
      <c r="B502" t="s">
        <v>40</v>
      </c>
      <c r="C502">
        <v>5</v>
      </c>
      <c r="D502">
        <v>5</v>
      </c>
      <c r="F502" s="20">
        <v>43942.8125</v>
      </c>
      <c r="G502">
        <v>90</v>
      </c>
      <c r="H502" t="s">
        <v>15</v>
      </c>
      <c r="I502" t="s">
        <v>9</v>
      </c>
      <c r="J502" s="13" t="s">
        <v>133</v>
      </c>
      <c r="K502" s="4">
        <v>18</v>
      </c>
    </row>
    <row r="503" spans="1:11" ht="15" thickBot="1">
      <c r="A503" s="10">
        <v>502</v>
      </c>
      <c r="B503" t="s">
        <v>39</v>
      </c>
      <c r="C503">
        <v>3</v>
      </c>
      <c r="D503" t="s">
        <v>50</v>
      </c>
      <c r="F503" s="20">
        <v>43942.822916666664</v>
      </c>
      <c r="G503">
        <v>105</v>
      </c>
      <c r="H503" t="s">
        <v>16</v>
      </c>
      <c r="I503" t="s">
        <v>10</v>
      </c>
      <c r="J503" s="13" t="s">
        <v>133</v>
      </c>
      <c r="K503" s="4">
        <v>18</v>
      </c>
    </row>
    <row r="504" spans="1:11" ht="15" thickBot="1">
      <c r="A504" s="10">
        <v>503</v>
      </c>
      <c r="B504" t="s">
        <v>37</v>
      </c>
      <c r="C504">
        <v>3</v>
      </c>
      <c r="D504" t="s">
        <v>45</v>
      </c>
      <c r="F504" s="20">
        <v>43942.822916666664</v>
      </c>
      <c r="G504">
        <v>105</v>
      </c>
      <c r="H504" t="s">
        <v>18</v>
      </c>
      <c r="I504" t="s">
        <v>10</v>
      </c>
      <c r="J504" s="13" t="s">
        <v>133</v>
      </c>
      <c r="K504" s="4">
        <v>18</v>
      </c>
    </row>
    <row r="505" spans="1:11" ht="15" thickBot="1">
      <c r="A505" s="10">
        <v>504</v>
      </c>
      <c r="B505" t="s">
        <v>43</v>
      </c>
      <c r="C505">
        <v>4</v>
      </c>
      <c r="D505" t="s">
        <v>46</v>
      </c>
      <c r="F505" s="20">
        <v>43942.822916666664</v>
      </c>
      <c r="G505">
        <v>105</v>
      </c>
      <c r="H505" t="s">
        <v>8</v>
      </c>
      <c r="I505" t="s">
        <v>11</v>
      </c>
      <c r="J505" s="13" t="s">
        <v>133</v>
      </c>
      <c r="K505" s="4">
        <v>19</v>
      </c>
    </row>
    <row r="506" spans="1:11" ht="15" thickBot="1">
      <c r="A506" s="10">
        <v>505</v>
      </c>
      <c r="B506" t="s">
        <v>41</v>
      </c>
      <c r="C506">
        <v>1</v>
      </c>
      <c r="D506" t="s">
        <v>128</v>
      </c>
      <c r="F506" s="20">
        <v>43942.833333333336</v>
      </c>
      <c r="G506">
        <v>120</v>
      </c>
      <c r="H506" t="s">
        <v>6</v>
      </c>
      <c r="I506" t="s">
        <v>6</v>
      </c>
      <c r="J506" s="13" t="s">
        <v>133</v>
      </c>
      <c r="K506" s="4">
        <v>18</v>
      </c>
    </row>
    <row r="507" spans="1:11" ht="15" thickBot="1">
      <c r="A507" s="10">
        <v>506</v>
      </c>
      <c r="B507" t="s">
        <v>38</v>
      </c>
      <c r="C507">
        <v>1</v>
      </c>
      <c r="D507" t="s">
        <v>45</v>
      </c>
      <c r="F507" s="20">
        <v>43942.833333333336</v>
      </c>
      <c r="G507">
        <v>120</v>
      </c>
      <c r="H507" t="s">
        <v>17</v>
      </c>
      <c r="I507" t="s">
        <v>6</v>
      </c>
      <c r="J507" s="13" t="s">
        <v>133</v>
      </c>
      <c r="K507" s="4">
        <v>18</v>
      </c>
    </row>
    <row r="508" spans="1:11" ht="15" thickBot="1">
      <c r="A508" s="10">
        <v>507</v>
      </c>
      <c r="B508" t="s">
        <v>42</v>
      </c>
      <c r="C508">
        <v>2</v>
      </c>
      <c r="D508" t="s">
        <v>49</v>
      </c>
      <c r="F508" s="20">
        <v>43942.833333333336</v>
      </c>
      <c r="G508">
        <v>120</v>
      </c>
      <c r="H508" t="s">
        <v>7</v>
      </c>
      <c r="I508" t="s">
        <v>7</v>
      </c>
      <c r="J508" s="13" t="s">
        <v>133</v>
      </c>
      <c r="K508" s="4">
        <v>18</v>
      </c>
    </row>
    <row r="509" spans="1:11" ht="15" thickBot="1">
      <c r="A509" s="10">
        <v>508</v>
      </c>
      <c r="B509" t="s">
        <v>41</v>
      </c>
      <c r="C509">
        <v>1</v>
      </c>
      <c r="D509" t="s">
        <v>128</v>
      </c>
      <c r="F509" s="20">
        <v>43943.75</v>
      </c>
      <c r="G509">
        <v>120</v>
      </c>
      <c r="H509" t="s">
        <v>6</v>
      </c>
      <c r="I509" t="s">
        <v>6</v>
      </c>
      <c r="J509" s="13" t="s">
        <v>136</v>
      </c>
      <c r="K509" s="4">
        <v>18</v>
      </c>
    </row>
    <row r="510" spans="1:11" ht="15" thickBot="1">
      <c r="A510" s="10">
        <v>509</v>
      </c>
      <c r="B510" t="s">
        <v>38</v>
      </c>
      <c r="C510">
        <v>1</v>
      </c>
      <c r="D510" t="s">
        <v>45</v>
      </c>
      <c r="F510" s="20">
        <v>43943.75</v>
      </c>
      <c r="G510">
        <v>120</v>
      </c>
      <c r="H510" t="s">
        <v>17</v>
      </c>
      <c r="I510" t="s">
        <v>6</v>
      </c>
      <c r="J510" s="13" t="s">
        <v>136</v>
      </c>
      <c r="K510" s="4">
        <v>18</v>
      </c>
    </row>
    <row r="511" spans="1:11" ht="15" thickBot="1">
      <c r="A511" s="10">
        <v>510</v>
      </c>
      <c r="B511" t="s">
        <v>42</v>
      </c>
      <c r="C511">
        <v>2</v>
      </c>
      <c r="D511" t="s">
        <v>49</v>
      </c>
      <c r="F511" s="20">
        <v>43943.75</v>
      </c>
      <c r="G511">
        <v>120</v>
      </c>
      <c r="H511" t="s">
        <v>7</v>
      </c>
      <c r="I511" t="s">
        <v>7</v>
      </c>
      <c r="J511" s="13" t="s">
        <v>136</v>
      </c>
      <c r="K511" s="4">
        <v>19</v>
      </c>
    </row>
    <row r="512" spans="1:11" ht="15" thickBot="1">
      <c r="A512" s="10">
        <v>511</v>
      </c>
      <c r="B512" t="s">
        <v>39</v>
      </c>
      <c r="C512">
        <v>3</v>
      </c>
      <c r="D512" t="s">
        <v>50</v>
      </c>
      <c r="F512" s="20">
        <v>43943.75</v>
      </c>
      <c r="G512">
        <v>105</v>
      </c>
      <c r="H512" t="s">
        <v>16</v>
      </c>
      <c r="I512" t="s">
        <v>10</v>
      </c>
      <c r="J512" s="13" t="s">
        <v>136</v>
      </c>
      <c r="K512" s="4">
        <v>18</v>
      </c>
    </row>
    <row r="513" spans="1:11" ht="15" thickBot="1">
      <c r="A513" s="10">
        <v>512</v>
      </c>
      <c r="B513" t="s">
        <v>43</v>
      </c>
      <c r="C513">
        <v>4</v>
      </c>
      <c r="D513" t="s">
        <v>46</v>
      </c>
      <c r="F513" s="20">
        <v>43943.75</v>
      </c>
      <c r="G513">
        <v>105</v>
      </c>
      <c r="H513" t="s">
        <v>8</v>
      </c>
      <c r="I513" t="s">
        <v>11</v>
      </c>
      <c r="J513" s="13" t="s">
        <v>136</v>
      </c>
      <c r="K513" s="4">
        <v>20</v>
      </c>
    </row>
    <row r="514" spans="1:11" ht="15" thickBot="1">
      <c r="A514" s="10">
        <v>513</v>
      </c>
      <c r="B514" t="s">
        <v>40</v>
      </c>
      <c r="C514">
        <v>4</v>
      </c>
      <c r="D514">
        <v>5</v>
      </c>
      <c r="F514" s="20">
        <v>43943.75</v>
      </c>
      <c r="G514">
        <v>105</v>
      </c>
      <c r="H514" t="s">
        <v>15</v>
      </c>
      <c r="I514" t="s">
        <v>11</v>
      </c>
      <c r="J514" s="13" t="s">
        <v>136</v>
      </c>
      <c r="K514" s="4">
        <v>18</v>
      </c>
    </row>
    <row r="515" spans="1:11" ht="15" thickBot="1">
      <c r="A515" s="10">
        <v>514</v>
      </c>
      <c r="B515" t="s">
        <v>44</v>
      </c>
      <c r="C515">
        <v>5</v>
      </c>
      <c r="D515" t="s">
        <v>51</v>
      </c>
      <c r="F515" s="20">
        <v>43943.75</v>
      </c>
      <c r="G515">
        <v>90</v>
      </c>
      <c r="H515" t="s">
        <v>14</v>
      </c>
      <c r="I515" t="s">
        <v>9</v>
      </c>
      <c r="J515" s="13" t="s">
        <v>136</v>
      </c>
      <c r="K515" s="4">
        <v>18</v>
      </c>
    </row>
    <row r="516" spans="1:11" ht="15" thickBot="1">
      <c r="A516" s="10">
        <v>515</v>
      </c>
      <c r="B516" t="s">
        <v>37</v>
      </c>
      <c r="C516">
        <v>5</v>
      </c>
      <c r="D516" t="s">
        <v>45</v>
      </c>
      <c r="F516" s="20">
        <v>43943.75</v>
      </c>
      <c r="G516">
        <v>90</v>
      </c>
      <c r="H516" t="s">
        <v>18</v>
      </c>
      <c r="I516" t="s">
        <v>9</v>
      </c>
      <c r="J516" s="13" t="s">
        <v>136</v>
      </c>
      <c r="K516" s="4">
        <v>19</v>
      </c>
    </row>
    <row r="517" spans="1:11" ht="15" thickBot="1">
      <c r="A517" s="10">
        <v>516</v>
      </c>
      <c r="B517" t="s">
        <v>44</v>
      </c>
      <c r="C517">
        <v>5</v>
      </c>
      <c r="D517" t="s">
        <v>51</v>
      </c>
      <c r="F517" s="20">
        <v>43943.8125</v>
      </c>
      <c r="G517">
        <v>90</v>
      </c>
      <c r="H517" t="s">
        <v>14</v>
      </c>
      <c r="I517" t="s">
        <v>9</v>
      </c>
      <c r="J517" s="13" t="s">
        <v>136</v>
      </c>
      <c r="K517" s="4">
        <v>18</v>
      </c>
    </row>
    <row r="518" spans="1:11" ht="15" thickBot="1">
      <c r="A518" s="10">
        <v>517</v>
      </c>
      <c r="B518" t="s">
        <v>37</v>
      </c>
      <c r="C518">
        <v>5</v>
      </c>
      <c r="D518" t="s">
        <v>45</v>
      </c>
      <c r="F518" s="20">
        <v>43943.8125</v>
      </c>
      <c r="G518">
        <v>90</v>
      </c>
      <c r="H518" t="s">
        <v>18</v>
      </c>
      <c r="I518" t="s">
        <v>9</v>
      </c>
      <c r="J518" s="13" t="s">
        <v>136</v>
      </c>
      <c r="K518" s="4">
        <v>20</v>
      </c>
    </row>
    <row r="519" spans="1:11" ht="15" thickBot="1">
      <c r="A519" s="10">
        <v>518</v>
      </c>
      <c r="B519" t="s">
        <v>39</v>
      </c>
      <c r="C519">
        <v>3</v>
      </c>
      <c r="D519" t="s">
        <v>50</v>
      </c>
      <c r="F519" s="20">
        <v>43943.822916666664</v>
      </c>
      <c r="G519">
        <v>105</v>
      </c>
      <c r="H519" t="s">
        <v>16</v>
      </c>
      <c r="I519" t="s">
        <v>10</v>
      </c>
      <c r="J519" s="13" t="s">
        <v>136</v>
      </c>
      <c r="K519" s="4">
        <v>18</v>
      </c>
    </row>
    <row r="520" spans="1:11" ht="15" thickBot="1">
      <c r="A520" s="10">
        <v>519</v>
      </c>
      <c r="B520" t="s">
        <v>43</v>
      </c>
      <c r="C520">
        <v>4</v>
      </c>
      <c r="D520" t="s">
        <v>46</v>
      </c>
      <c r="F520" s="20">
        <v>43943.822916666664</v>
      </c>
      <c r="G520">
        <v>105</v>
      </c>
      <c r="H520" t="s">
        <v>8</v>
      </c>
      <c r="I520" t="s">
        <v>11</v>
      </c>
      <c r="J520" s="13" t="s">
        <v>136</v>
      </c>
      <c r="K520" s="4">
        <v>20</v>
      </c>
    </row>
    <row r="521" spans="1:11" ht="15" thickBot="1">
      <c r="A521" s="10">
        <v>520</v>
      </c>
      <c r="B521" t="s">
        <v>40</v>
      </c>
      <c r="C521">
        <v>4</v>
      </c>
      <c r="D521">
        <v>5</v>
      </c>
      <c r="F521" s="20">
        <v>43943.822916666664</v>
      </c>
      <c r="G521">
        <v>105</v>
      </c>
      <c r="H521" t="s">
        <v>15</v>
      </c>
      <c r="I521" t="s">
        <v>11</v>
      </c>
      <c r="J521" s="13" t="s">
        <v>136</v>
      </c>
      <c r="K521" s="4">
        <v>18</v>
      </c>
    </row>
    <row r="522" spans="1:11" ht="15" thickBot="1">
      <c r="A522" s="10">
        <v>521</v>
      </c>
      <c r="B522" t="s">
        <v>41</v>
      </c>
      <c r="C522">
        <v>1</v>
      </c>
      <c r="D522" t="s">
        <v>128</v>
      </c>
      <c r="F522" s="20">
        <v>43943.833333333336</v>
      </c>
      <c r="G522">
        <v>120</v>
      </c>
      <c r="H522" t="s">
        <v>6</v>
      </c>
      <c r="I522" t="s">
        <v>6</v>
      </c>
      <c r="J522" s="13" t="s">
        <v>136</v>
      </c>
      <c r="K522" s="4">
        <v>19</v>
      </c>
    </row>
    <row r="523" spans="1:11" ht="15" thickBot="1">
      <c r="A523" s="10">
        <v>522</v>
      </c>
      <c r="B523" t="s">
        <v>38</v>
      </c>
      <c r="C523">
        <v>1</v>
      </c>
      <c r="D523" t="s">
        <v>45</v>
      </c>
      <c r="F523" s="20">
        <v>43943.833333333336</v>
      </c>
      <c r="G523">
        <v>120</v>
      </c>
      <c r="H523" t="s">
        <v>17</v>
      </c>
      <c r="I523" t="s">
        <v>6</v>
      </c>
      <c r="J523" s="13" t="s">
        <v>136</v>
      </c>
      <c r="K523" s="4">
        <v>18</v>
      </c>
    </row>
    <row r="524" spans="1:11" ht="15" thickBot="1">
      <c r="A524" s="10">
        <v>523</v>
      </c>
      <c r="B524" t="s">
        <v>42</v>
      </c>
      <c r="C524">
        <v>2</v>
      </c>
      <c r="D524" t="s">
        <v>49</v>
      </c>
      <c r="F524" s="20">
        <v>43943.833333333336</v>
      </c>
      <c r="G524">
        <v>120</v>
      </c>
      <c r="H524" t="s">
        <v>7</v>
      </c>
      <c r="I524" t="s">
        <v>7</v>
      </c>
      <c r="J524" s="13" t="s">
        <v>136</v>
      </c>
      <c r="K524" s="4">
        <v>20</v>
      </c>
    </row>
    <row r="525" spans="1:11" ht="15" thickBot="1">
      <c r="A525" s="10">
        <v>524</v>
      </c>
      <c r="B525" t="s">
        <v>41</v>
      </c>
      <c r="C525">
        <v>1</v>
      </c>
      <c r="D525" t="s">
        <v>128</v>
      </c>
      <c r="F525" s="20">
        <v>43945.75</v>
      </c>
      <c r="G525">
        <v>120</v>
      </c>
      <c r="H525" t="s">
        <v>6</v>
      </c>
      <c r="I525" t="s">
        <v>6</v>
      </c>
      <c r="J525" s="13" t="s">
        <v>112</v>
      </c>
      <c r="K525" s="4">
        <v>20</v>
      </c>
    </row>
    <row r="526" spans="1:11" ht="15" thickBot="1">
      <c r="A526" s="10">
        <v>525</v>
      </c>
      <c r="B526" t="s">
        <v>42</v>
      </c>
      <c r="C526">
        <v>2</v>
      </c>
      <c r="D526" t="s">
        <v>49</v>
      </c>
      <c r="F526" s="20">
        <v>43945.75</v>
      </c>
      <c r="G526">
        <v>120</v>
      </c>
      <c r="H526" t="s">
        <v>7</v>
      </c>
      <c r="I526" t="s">
        <v>7</v>
      </c>
      <c r="J526" s="13" t="s">
        <v>112</v>
      </c>
      <c r="K526" s="4">
        <v>20</v>
      </c>
    </row>
    <row r="527" spans="1:11" ht="15" thickBot="1">
      <c r="A527" s="10">
        <v>526</v>
      </c>
      <c r="B527" t="s">
        <v>38</v>
      </c>
      <c r="C527">
        <v>2</v>
      </c>
      <c r="D527" t="s">
        <v>45</v>
      </c>
      <c r="F527" s="20">
        <v>43945.75</v>
      </c>
      <c r="G527">
        <v>120</v>
      </c>
      <c r="H527" t="s">
        <v>17</v>
      </c>
      <c r="I527" t="s">
        <v>7</v>
      </c>
      <c r="J527" s="13" t="s">
        <v>112</v>
      </c>
      <c r="K527" s="4">
        <v>20</v>
      </c>
    </row>
    <row r="528" spans="1:11" ht="15" thickBot="1">
      <c r="A528" s="10">
        <v>527</v>
      </c>
      <c r="B528" t="s">
        <v>39</v>
      </c>
      <c r="C528">
        <v>3</v>
      </c>
      <c r="D528" t="s">
        <v>50</v>
      </c>
      <c r="F528" s="20">
        <v>43945.75</v>
      </c>
      <c r="G528">
        <v>105</v>
      </c>
      <c r="H528" t="s">
        <v>16</v>
      </c>
      <c r="I528" t="s">
        <v>10</v>
      </c>
      <c r="J528" s="13" t="s">
        <v>112</v>
      </c>
      <c r="K528" s="4">
        <v>20</v>
      </c>
    </row>
    <row r="529" spans="1:11" ht="15" thickBot="1">
      <c r="A529" s="10">
        <v>528</v>
      </c>
      <c r="B529" t="s">
        <v>37</v>
      </c>
      <c r="C529">
        <v>3</v>
      </c>
      <c r="D529" t="s">
        <v>45</v>
      </c>
      <c r="F529" s="20">
        <v>43945.75</v>
      </c>
      <c r="G529">
        <v>105</v>
      </c>
      <c r="H529" t="s">
        <v>18</v>
      </c>
      <c r="I529" t="s">
        <v>10</v>
      </c>
      <c r="J529" s="13" t="s">
        <v>112</v>
      </c>
      <c r="K529" s="4">
        <v>18</v>
      </c>
    </row>
    <row r="530" spans="1:11" ht="15" thickBot="1">
      <c r="A530" s="10">
        <v>529</v>
      </c>
      <c r="B530" t="s">
        <v>44</v>
      </c>
      <c r="C530">
        <v>5</v>
      </c>
      <c r="D530" t="s">
        <v>51</v>
      </c>
      <c r="F530" s="20">
        <v>43945.75</v>
      </c>
      <c r="G530">
        <v>90</v>
      </c>
      <c r="H530" t="s">
        <v>14</v>
      </c>
      <c r="I530" t="s">
        <v>9</v>
      </c>
      <c r="J530" s="13" t="s">
        <v>112</v>
      </c>
      <c r="K530" s="4">
        <v>18</v>
      </c>
    </row>
    <row r="531" spans="1:11" ht="15" thickBot="1">
      <c r="A531" s="10">
        <v>530</v>
      </c>
      <c r="B531" t="s">
        <v>43</v>
      </c>
      <c r="C531">
        <v>6</v>
      </c>
      <c r="D531" t="s">
        <v>46</v>
      </c>
      <c r="F531" s="20">
        <v>43945.75</v>
      </c>
      <c r="G531">
        <v>60</v>
      </c>
      <c r="H531" t="s">
        <v>8</v>
      </c>
      <c r="I531" t="s">
        <v>12</v>
      </c>
      <c r="J531" s="13" t="s">
        <v>112</v>
      </c>
      <c r="K531" s="4">
        <v>18</v>
      </c>
    </row>
    <row r="532" spans="1:11" ht="15" thickBot="1">
      <c r="A532" s="10">
        <v>531</v>
      </c>
      <c r="B532" t="s">
        <v>40</v>
      </c>
      <c r="C532">
        <v>6</v>
      </c>
      <c r="D532">
        <v>5</v>
      </c>
      <c r="F532" s="20">
        <v>43945.75</v>
      </c>
      <c r="G532">
        <v>60</v>
      </c>
      <c r="H532" t="s">
        <v>15</v>
      </c>
      <c r="I532" t="s">
        <v>12</v>
      </c>
      <c r="J532" s="13" t="s">
        <v>112</v>
      </c>
      <c r="K532" s="4">
        <v>18</v>
      </c>
    </row>
    <row r="533" spans="1:11" ht="15" thickBot="1">
      <c r="A533" s="10">
        <v>532</v>
      </c>
      <c r="B533" t="s">
        <v>43</v>
      </c>
      <c r="C533">
        <v>6</v>
      </c>
      <c r="D533" t="s">
        <v>46</v>
      </c>
      <c r="F533" s="20">
        <v>43945.791666666664</v>
      </c>
      <c r="G533">
        <v>60</v>
      </c>
      <c r="H533" t="s">
        <v>8</v>
      </c>
      <c r="I533" t="s">
        <v>12</v>
      </c>
      <c r="J533" s="13" t="s">
        <v>112</v>
      </c>
      <c r="K533" s="4">
        <v>18</v>
      </c>
    </row>
    <row r="534" spans="1:11" ht="15" thickBot="1">
      <c r="A534" s="10">
        <v>533</v>
      </c>
      <c r="B534" t="s">
        <v>40</v>
      </c>
      <c r="C534">
        <v>6</v>
      </c>
      <c r="D534">
        <v>5</v>
      </c>
      <c r="F534" s="20">
        <v>43945.791666666664</v>
      </c>
      <c r="G534">
        <v>60</v>
      </c>
      <c r="H534" t="s">
        <v>15</v>
      </c>
      <c r="I534" t="s">
        <v>12</v>
      </c>
      <c r="J534" s="13" t="s">
        <v>112</v>
      </c>
      <c r="K534" s="4">
        <v>18</v>
      </c>
    </row>
    <row r="535" spans="1:11" ht="15" thickBot="1">
      <c r="A535" s="10">
        <v>534</v>
      </c>
      <c r="B535" t="s">
        <v>44</v>
      </c>
      <c r="C535">
        <v>5</v>
      </c>
      <c r="D535" t="s">
        <v>51</v>
      </c>
      <c r="F535" s="20">
        <v>43945.8125</v>
      </c>
      <c r="G535">
        <v>90</v>
      </c>
      <c r="H535" t="s">
        <v>14</v>
      </c>
      <c r="I535" t="s">
        <v>9</v>
      </c>
      <c r="J535" s="13" t="s">
        <v>112</v>
      </c>
      <c r="K535" s="4">
        <v>18</v>
      </c>
    </row>
    <row r="536" spans="1:11" ht="15" thickBot="1">
      <c r="A536" s="10">
        <v>535</v>
      </c>
      <c r="B536" t="s">
        <v>39</v>
      </c>
      <c r="C536">
        <v>3</v>
      </c>
      <c r="D536" t="s">
        <v>50</v>
      </c>
      <c r="F536" s="20">
        <v>43945.822916666664</v>
      </c>
      <c r="G536">
        <v>105</v>
      </c>
      <c r="H536" t="s">
        <v>16</v>
      </c>
      <c r="I536" t="s">
        <v>10</v>
      </c>
      <c r="J536" s="13" t="s">
        <v>112</v>
      </c>
      <c r="K536" s="4">
        <v>20</v>
      </c>
    </row>
    <row r="537" spans="1:11" ht="15" thickBot="1">
      <c r="A537" s="10">
        <v>536</v>
      </c>
      <c r="B537" t="s">
        <v>37</v>
      </c>
      <c r="C537">
        <v>3</v>
      </c>
      <c r="D537" t="s">
        <v>45</v>
      </c>
      <c r="F537" s="20">
        <v>43945.822916666664</v>
      </c>
      <c r="G537">
        <v>105</v>
      </c>
      <c r="H537" t="s">
        <v>18</v>
      </c>
      <c r="I537" t="s">
        <v>10</v>
      </c>
      <c r="J537" s="13" t="s">
        <v>112</v>
      </c>
      <c r="K537" s="4">
        <v>18</v>
      </c>
    </row>
    <row r="538" spans="1:11" ht="15" thickBot="1">
      <c r="A538" s="10">
        <v>537</v>
      </c>
      <c r="B538" t="s">
        <v>41</v>
      </c>
      <c r="C538">
        <v>1</v>
      </c>
      <c r="D538" t="s">
        <v>128</v>
      </c>
      <c r="F538" s="20">
        <v>43945.833333333336</v>
      </c>
      <c r="G538">
        <v>120</v>
      </c>
      <c r="H538" t="s">
        <v>6</v>
      </c>
      <c r="I538" t="s">
        <v>6</v>
      </c>
      <c r="J538" s="13" t="s">
        <v>112</v>
      </c>
      <c r="K538" s="4">
        <v>20</v>
      </c>
    </row>
    <row r="539" spans="1:11" ht="15" thickBot="1">
      <c r="A539" s="10">
        <v>538</v>
      </c>
      <c r="B539" t="s">
        <v>42</v>
      </c>
      <c r="C539">
        <v>2</v>
      </c>
      <c r="D539" t="s">
        <v>49</v>
      </c>
      <c r="F539" s="20">
        <v>43945.833333333336</v>
      </c>
      <c r="G539">
        <v>120</v>
      </c>
      <c r="H539" t="s">
        <v>7</v>
      </c>
      <c r="I539" t="s">
        <v>7</v>
      </c>
      <c r="J539" s="13" t="s">
        <v>112</v>
      </c>
      <c r="K539" s="4">
        <v>18</v>
      </c>
    </row>
    <row r="540" spans="1:11" ht="15" thickBot="1">
      <c r="A540" s="10">
        <v>539</v>
      </c>
      <c r="B540" t="s">
        <v>38</v>
      </c>
      <c r="C540">
        <v>2</v>
      </c>
      <c r="D540" t="s">
        <v>45</v>
      </c>
      <c r="F540" s="20">
        <v>43945.833333333336</v>
      </c>
      <c r="G540">
        <v>120</v>
      </c>
      <c r="H540" t="s">
        <v>17</v>
      </c>
      <c r="I540" t="s">
        <v>7</v>
      </c>
      <c r="J540" s="13" t="s">
        <v>112</v>
      </c>
      <c r="K540" s="4">
        <v>20</v>
      </c>
    </row>
    <row r="541" spans="1:11" ht="15" thickBot="1">
      <c r="A541" s="10">
        <v>540</v>
      </c>
      <c r="B541" t="s">
        <v>43</v>
      </c>
      <c r="C541">
        <v>4</v>
      </c>
      <c r="D541" t="s">
        <v>46</v>
      </c>
      <c r="F541" s="20">
        <v>43945.833333333336</v>
      </c>
      <c r="G541">
        <v>105</v>
      </c>
      <c r="H541" t="s">
        <v>8</v>
      </c>
      <c r="I541" t="s">
        <v>11</v>
      </c>
      <c r="J541" s="13" t="s">
        <v>112</v>
      </c>
      <c r="K541" s="4">
        <v>18</v>
      </c>
    </row>
    <row r="542" spans="1:11" ht="15" thickBot="1">
      <c r="A542" s="10">
        <v>541</v>
      </c>
      <c r="B542" t="s">
        <v>40</v>
      </c>
      <c r="C542">
        <v>4</v>
      </c>
      <c r="D542">
        <v>5</v>
      </c>
      <c r="F542" s="20">
        <v>43945.833333333336</v>
      </c>
      <c r="G542">
        <v>105</v>
      </c>
      <c r="H542" t="s">
        <v>15</v>
      </c>
      <c r="I542" t="s">
        <v>11</v>
      </c>
      <c r="J542" s="13" t="s">
        <v>112</v>
      </c>
      <c r="K542" s="4">
        <v>19</v>
      </c>
    </row>
    <row r="543" spans="1:11" ht="15" thickBot="1">
      <c r="A543" s="10">
        <v>542</v>
      </c>
      <c r="B543" t="s">
        <v>41</v>
      </c>
      <c r="C543">
        <v>1</v>
      </c>
      <c r="D543" t="s">
        <v>128</v>
      </c>
      <c r="F543" s="20">
        <v>43946.375</v>
      </c>
      <c r="G543">
        <v>120</v>
      </c>
      <c r="H543" t="s">
        <v>6</v>
      </c>
      <c r="I543" t="s">
        <v>6</v>
      </c>
      <c r="J543" s="13" t="s">
        <v>111</v>
      </c>
      <c r="K543" s="4">
        <v>18</v>
      </c>
    </row>
    <row r="544" spans="1:11" ht="15" thickBot="1">
      <c r="A544" s="10">
        <v>543</v>
      </c>
      <c r="B544" t="s">
        <v>38</v>
      </c>
      <c r="C544">
        <v>1</v>
      </c>
      <c r="D544" t="s">
        <v>45</v>
      </c>
      <c r="F544" s="20">
        <v>43946.375</v>
      </c>
      <c r="G544">
        <v>120</v>
      </c>
      <c r="H544" t="s">
        <v>17</v>
      </c>
      <c r="I544" t="s">
        <v>6</v>
      </c>
      <c r="J544" s="13" t="s">
        <v>111</v>
      </c>
      <c r="K544" s="4">
        <v>18</v>
      </c>
    </row>
    <row r="545" spans="1:11" ht="15" thickBot="1">
      <c r="A545" s="10">
        <v>544</v>
      </c>
      <c r="B545" t="s">
        <v>42</v>
      </c>
      <c r="C545">
        <v>2</v>
      </c>
      <c r="D545" t="s">
        <v>49</v>
      </c>
      <c r="F545" s="20">
        <v>43946.375</v>
      </c>
      <c r="G545">
        <v>120</v>
      </c>
      <c r="H545" t="s">
        <v>7</v>
      </c>
      <c r="I545" t="s">
        <v>7</v>
      </c>
      <c r="J545" s="13" t="s">
        <v>111</v>
      </c>
      <c r="K545" s="4">
        <v>18</v>
      </c>
    </row>
    <row r="546" spans="1:11" ht="15" thickBot="1">
      <c r="A546" s="10">
        <v>545</v>
      </c>
      <c r="B546" t="s">
        <v>39</v>
      </c>
      <c r="C546">
        <v>3</v>
      </c>
      <c r="D546" t="s">
        <v>50</v>
      </c>
      <c r="F546" s="20">
        <v>43946.375</v>
      </c>
      <c r="G546">
        <v>105</v>
      </c>
      <c r="H546" t="s">
        <v>16</v>
      </c>
      <c r="I546" t="s">
        <v>10</v>
      </c>
      <c r="J546" s="13" t="s">
        <v>111</v>
      </c>
      <c r="K546" s="4">
        <v>18</v>
      </c>
    </row>
    <row r="547" spans="1:11" ht="15" thickBot="1">
      <c r="A547" s="10">
        <v>546</v>
      </c>
      <c r="B547" t="s">
        <v>43</v>
      </c>
      <c r="C547">
        <v>4</v>
      </c>
      <c r="D547" t="s">
        <v>46</v>
      </c>
      <c r="F547" s="20">
        <v>43946.375</v>
      </c>
      <c r="G547">
        <v>105</v>
      </c>
      <c r="H547" t="s">
        <v>8</v>
      </c>
      <c r="I547" t="s">
        <v>11</v>
      </c>
      <c r="J547" s="13" t="s">
        <v>111</v>
      </c>
      <c r="K547" s="4">
        <v>20</v>
      </c>
    </row>
    <row r="548" spans="1:11" ht="15" thickBot="1">
      <c r="A548" s="10">
        <v>547</v>
      </c>
      <c r="B548" t="s">
        <v>40</v>
      </c>
      <c r="C548">
        <v>4</v>
      </c>
      <c r="D548">
        <v>5</v>
      </c>
      <c r="F548" s="20">
        <v>43946.375</v>
      </c>
      <c r="G548">
        <v>105</v>
      </c>
      <c r="H548" t="s">
        <v>15</v>
      </c>
      <c r="I548" t="s">
        <v>11</v>
      </c>
      <c r="J548" s="13" t="s">
        <v>111</v>
      </c>
      <c r="K548" s="4">
        <v>20</v>
      </c>
    </row>
    <row r="549" spans="1:11" ht="15" thickBot="1">
      <c r="A549" s="10">
        <v>548</v>
      </c>
      <c r="B549" t="s">
        <v>37</v>
      </c>
      <c r="C549">
        <v>5</v>
      </c>
      <c r="D549" t="s">
        <v>45</v>
      </c>
      <c r="F549" s="20">
        <v>43946.375</v>
      </c>
      <c r="G549">
        <v>90</v>
      </c>
      <c r="H549" t="s">
        <v>18</v>
      </c>
      <c r="I549" t="s">
        <v>9</v>
      </c>
      <c r="J549" s="13" t="s">
        <v>111</v>
      </c>
      <c r="K549" s="4">
        <v>20</v>
      </c>
    </row>
    <row r="550" spans="1:11" ht="15" thickBot="1">
      <c r="A550" s="10">
        <v>549</v>
      </c>
      <c r="B550" t="s">
        <v>44</v>
      </c>
      <c r="C550">
        <v>7</v>
      </c>
      <c r="D550" t="s">
        <v>51</v>
      </c>
      <c r="F550" s="20">
        <v>43946.375</v>
      </c>
      <c r="G550">
        <v>60</v>
      </c>
      <c r="H550" t="s">
        <v>14</v>
      </c>
      <c r="I550" t="s">
        <v>13</v>
      </c>
      <c r="J550" s="13" t="s">
        <v>111</v>
      </c>
      <c r="K550" s="4">
        <v>18</v>
      </c>
    </row>
    <row r="551" spans="1:11" ht="15" thickBot="1">
      <c r="A551" s="10">
        <v>550</v>
      </c>
      <c r="B551" t="s">
        <v>37</v>
      </c>
      <c r="C551">
        <v>5</v>
      </c>
      <c r="D551" t="s">
        <v>45</v>
      </c>
      <c r="F551" s="20">
        <v>43946.4375</v>
      </c>
      <c r="G551">
        <v>90</v>
      </c>
      <c r="H551" t="s">
        <v>18</v>
      </c>
      <c r="I551" t="s">
        <v>9</v>
      </c>
      <c r="J551" s="13" t="s">
        <v>111</v>
      </c>
      <c r="K551" s="4">
        <v>18</v>
      </c>
    </row>
    <row r="552" spans="1:11" ht="15" thickBot="1">
      <c r="A552" s="10">
        <v>551</v>
      </c>
      <c r="B552" t="s">
        <v>39</v>
      </c>
      <c r="C552">
        <v>3</v>
      </c>
      <c r="D552" t="s">
        <v>50</v>
      </c>
      <c r="F552" s="20">
        <v>43946.447916666664</v>
      </c>
      <c r="G552">
        <v>105</v>
      </c>
      <c r="H552" t="s">
        <v>16</v>
      </c>
      <c r="I552" t="s">
        <v>10</v>
      </c>
      <c r="J552" s="13" t="s">
        <v>111</v>
      </c>
      <c r="K552" s="4">
        <v>18</v>
      </c>
    </row>
    <row r="553" spans="1:11" ht="15" thickBot="1">
      <c r="A553" s="10">
        <v>552</v>
      </c>
      <c r="B553" t="s">
        <v>43</v>
      </c>
      <c r="C553">
        <v>4</v>
      </c>
      <c r="D553" t="s">
        <v>46</v>
      </c>
      <c r="F553" s="20">
        <v>43946.447916666664</v>
      </c>
      <c r="G553">
        <v>105</v>
      </c>
      <c r="H553" t="s">
        <v>8</v>
      </c>
      <c r="I553" t="s">
        <v>11</v>
      </c>
      <c r="J553" s="13" t="s">
        <v>111</v>
      </c>
      <c r="K553" s="4">
        <v>18</v>
      </c>
    </row>
    <row r="554" spans="1:11" ht="15" thickBot="1">
      <c r="A554" s="10">
        <v>553</v>
      </c>
      <c r="B554" t="s">
        <v>40</v>
      </c>
      <c r="C554">
        <v>4</v>
      </c>
      <c r="D554">
        <v>5</v>
      </c>
      <c r="F554" s="20">
        <v>43946.447916666664</v>
      </c>
      <c r="G554">
        <v>105</v>
      </c>
      <c r="H554" t="s">
        <v>15</v>
      </c>
      <c r="I554" t="s">
        <v>11</v>
      </c>
      <c r="J554" s="13" t="s">
        <v>111</v>
      </c>
      <c r="K554" s="4">
        <v>20</v>
      </c>
    </row>
    <row r="555" spans="1:11" ht="15" thickBot="1">
      <c r="A555" s="10">
        <v>554</v>
      </c>
      <c r="B555" t="s">
        <v>41</v>
      </c>
      <c r="C555">
        <v>1</v>
      </c>
      <c r="D555" t="s">
        <v>128</v>
      </c>
      <c r="F555" s="20">
        <v>43946.458333333336</v>
      </c>
      <c r="G555">
        <v>120</v>
      </c>
      <c r="H555" t="s">
        <v>6</v>
      </c>
      <c r="I555" t="s">
        <v>6</v>
      </c>
      <c r="J555" s="13" t="s">
        <v>111</v>
      </c>
      <c r="K555" s="4">
        <v>18</v>
      </c>
    </row>
    <row r="556" spans="1:11" ht="15" thickBot="1">
      <c r="A556" s="10">
        <v>555</v>
      </c>
      <c r="B556" t="s">
        <v>42</v>
      </c>
      <c r="C556">
        <v>2</v>
      </c>
      <c r="D556" t="s">
        <v>49</v>
      </c>
      <c r="F556" s="20">
        <v>43946.458333333336</v>
      </c>
      <c r="G556">
        <v>120</v>
      </c>
      <c r="H556" t="s">
        <v>7</v>
      </c>
      <c r="I556" t="s">
        <v>7</v>
      </c>
      <c r="J556" s="13" t="s">
        <v>111</v>
      </c>
      <c r="K556" s="4">
        <v>19</v>
      </c>
    </row>
    <row r="557" spans="1:11" ht="15" thickBot="1">
      <c r="A557" s="10">
        <v>556</v>
      </c>
      <c r="B557" t="s">
        <v>38</v>
      </c>
      <c r="C557">
        <v>2</v>
      </c>
      <c r="D557" t="s">
        <v>45</v>
      </c>
      <c r="F557" s="20">
        <v>43946.458333333336</v>
      </c>
      <c r="G557">
        <v>120</v>
      </c>
      <c r="H557" t="s">
        <v>17</v>
      </c>
      <c r="I557" t="s">
        <v>7</v>
      </c>
      <c r="J557" s="13" t="s">
        <v>111</v>
      </c>
      <c r="K557" s="4">
        <v>19</v>
      </c>
    </row>
    <row r="558" spans="1:11" ht="15" thickBot="1">
      <c r="A558" s="10">
        <v>557</v>
      </c>
      <c r="B558" t="s">
        <v>44</v>
      </c>
      <c r="C558">
        <v>5</v>
      </c>
      <c r="D558" t="s">
        <v>51</v>
      </c>
      <c r="F558" s="20">
        <v>43946.458333333336</v>
      </c>
      <c r="G558">
        <v>90</v>
      </c>
      <c r="H558" t="s">
        <v>14</v>
      </c>
      <c r="I558" t="s">
        <v>9</v>
      </c>
      <c r="J558" s="13" t="s">
        <v>111</v>
      </c>
      <c r="K558" s="4">
        <v>18</v>
      </c>
    </row>
    <row r="559" spans="1:11" ht="15" thickBot="1">
      <c r="A559" s="10">
        <v>558</v>
      </c>
      <c r="B559" t="s">
        <v>37</v>
      </c>
      <c r="C559">
        <v>5</v>
      </c>
      <c r="D559" t="s">
        <v>45</v>
      </c>
      <c r="F559" s="20">
        <v>43946.5</v>
      </c>
      <c r="G559">
        <v>90</v>
      </c>
      <c r="H559" t="s">
        <v>18</v>
      </c>
      <c r="I559" t="s">
        <v>9</v>
      </c>
      <c r="J559" s="13" t="s">
        <v>111</v>
      </c>
      <c r="K559" s="4">
        <v>18</v>
      </c>
    </row>
    <row r="560" spans="1:11" ht="15" thickBot="1">
      <c r="A560" s="10">
        <v>559</v>
      </c>
      <c r="B560" t="s">
        <v>44</v>
      </c>
      <c r="C560">
        <v>5</v>
      </c>
      <c r="D560" t="s">
        <v>51</v>
      </c>
      <c r="F560" s="20">
        <v>43946.520833333336</v>
      </c>
      <c r="G560">
        <v>90</v>
      </c>
      <c r="H560" t="s">
        <v>14</v>
      </c>
      <c r="I560" t="s">
        <v>9</v>
      </c>
      <c r="J560" s="13" t="s">
        <v>111</v>
      </c>
      <c r="K560" s="4">
        <v>18</v>
      </c>
    </row>
    <row r="561" spans="1:11" ht="15" thickBot="1">
      <c r="A561" s="10">
        <v>560</v>
      </c>
      <c r="B561" t="s">
        <v>41</v>
      </c>
      <c r="C561">
        <v>1</v>
      </c>
      <c r="D561" t="s">
        <v>128</v>
      </c>
      <c r="F561" s="20">
        <v>43946.541666666664</v>
      </c>
      <c r="G561">
        <v>120</v>
      </c>
      <c r="H561" t="s">
        <v>6</v>
      </c>
      <c r="I561" t="s">
        <v>6</v>
      </c>
      <c r="J561" s="13" t="s">
        <v>111</v>
      </c>
      <c r="K561" s="4">
        <v>18</v>
      </c>
    </row>
    <row r="562" spans="1:11" ht="15" thickBot="1">
      <c r="A562" s="10">
        <v>561</v>
      </c>
      <c r="B562" t="s">
        <v>42</v>
      </c>
      <c r="C562">
        <v>2</v>
      </c>
      <c r="D562" t="s">
        <v>49</v>
      </c>
      <c r="F562" s="20">
        <v>43946.541666666664</v>
      </c>
      <c r="G562">
        <v>120</v>
      </c>
      <c r="H562" t="s">
        <v>7</v>
      </c>
      <c r="I562" t="s">
        <v>7</v>
      </c>
      <c r="J562" s="13" t="s">
        <v>111</v>
      </c>
      <c r="K562" s="4">
        <v>20</v>
      </c>
    </row>
    <row r="563" spans="1:11" ht="15" thickBot="1">
      <c r="A563" s="10">
        <v>562</v>
      </c>
      <c r="B563" t="s">
        <v>39</v>
      </c>
      <c r="C563">
        <v>3</v>
      </c>
      <c r="D563" t="s">
        <v>50</v>
      </c>
      <c r="F563" s="20">
        <v>43946.541666666664</v>
      </c>
      <c r="G563">
        <v>105</v>
      </c>
      <c r="H563" t="s">
        <v>16</v>
      </c>
      <c r="I563" t="s">
        <v>10</v>
      </c>
      <c r="J563" s="13" t="s">
        <v>111</v>
      </c>
      <c r="K563" s="4">
        <v>18</v>
      </c>
    </row>
    <row r="564" spans="1:11" ht="15" thickBot="1">
      <c r="A564" s="10">
        <v>563</v>
      </c>
      <c r="B564" t="s">
        <v>38</v>
      </c>
      <c r="C564">
        <v>3</v>
      </c>
      <c r="D564" t="s">
        <v>45</v>
      </c>
      <c r="F564" s="20">
        <v>43946.541666666664</v>
      </c>
      <c r="G564">
        <v>105</v>
      </c>
      <c r="H564" t="s">
        <v>17</v>
      </c>
      <c r="I564" t="s">
        <v>10</v>
      </c>
      <c r="J564" s="13" t="s">
        <v>111</v>
      </c>
      <c r="K564" s="4">
        <v>19</v>
      </c>
    </row>
    <row r="565" spans="1:11" ht="15" thickBot="1">
      <c r="A565" s="10">
        <v>564</v>
      </c>
      <c r="B565" t="s">
        <v>43</v>
      </c>
      <c r="C565">
        <v>4</v>
      </c>
      <c r="D565" t="s">
        <v>46</v>
      </c>
      <c r="F565" s="20">
        <v>43946.541666666664</v>
      </c>
      <c r="G565">
        <v>105</v>
      </c>
      <c r="H565" t="s">
        <v>8</v>
      </c>
      <c r="I565" t="s">
        <v>11</v>
      </c>
      <c r="J565" s="13" t="s">
        <v>111</v>
      </c>
      <c r="K565" s="4">
        <v>18</v>
      </c>
    </row>
    <row r="566" spans="1:11" ht="15" thickBot="1">
      <c r="A566" s="10">
        <v>565</v>
      </c>
      <c r="B566" t="s">
        <v>40</v>
      </c>
      <c r="C566">
        <v>4</v>
      </c>
      <c r="D566">
        <v>5</v>
      </c>
      <c r="F566" s="20">
        <v>43946.541666666664</v>
      </c>
      <c r="G566">
        <v>105</v>
      </c>
      <c r="H566" t="s">
        <v>15</v>
      </c>
      <c r="I566" t="s">
        <v>11</v>
      </c>
      <c r="J566" s="13" t="s">
        <v>111</v>
      </c>
      <c r="K566" s="4">
        <v>20</v>
      </c>
    </row>
    <row r="567" spans="1:11" ht="15" thickBot="1">
      <c r="A567" s="10">
        <v>566</v>
      </c>
      <c r="B567" t="s">
        <v>37</v>
      </c>
      <c r="C567">
        <v>2</v>
      </c>
      <c r="D567" t="s">
        <v>45</v>
      </c>
      <c r="F567" s="20">
        <v>43946.583333333336</v>
      </c>
      <c r="G567">
        <v>120</v>
      </c>
      <c r="H567" t="s">
        <v>18</v>
      </c>
      <c r="I567" t="s">
        <v>7</v>
      </c>
      <c r="J567" s="13" t="s">
        <v>111</v>
      </c>
      <c r="K567" s="4">
        <v>18</v>
      </c>
    </row>
    <row r="568" spans="1:11" ht="15" thickBot="1">
      <c r="A568" s="10">
        <v>567</v>
      </c>
      <c r="B568" t="s">
        <v>44</v>
      </c>
      <c r="C568">
        <v>5</v>
      </c>
      <c r="D568" t="s">
        <v>51</v>
      </c>
      <c r="F568" s="20">
        <v>43946.604166666664</v>
      </c>
      <c r="G568">
        <v>90</v>
      </c>
      <c r="H568" t="s">
        <v>14</v>
      </c>
      <c r="I568" t="s">
        <v>9</v>
      </c>
      <c r="J568" s="13" t="s">
        <v>111</v>
      </c>
      <c r="K568" s="4">
        <v>18</v>
      </c>
    </row>
    <row r="569" spans="1:11" ht="15" thickBot="1">
      <c r="A569" s="10">
        <v>568</v>
      </c>
      <c r="B569" t="s">
        <v>39</v>
      </c>
      <c r="C569">
        <v>3</v>
      </c>
      <c r="D569" t="s">
        <v>50</v>
      </c>
      <c r="F569" s="20">
        <v>43946.614583333336</v>
      </c>
      <c r="G569">
        <v>105</v>
      </c>
      <c r="H569" t="s">
        <v>16</v>
      </c>
      <c r="I569" t="s">
        <v>10</v>
      </c>
      <c r="J569" s="13" t="s">
        <v>111</v>
      </c>
      <c r="K569" s="4">
        <v>18</v>
      </c>
    </row>
    <row r="570" spans="1:11" ht="15" thickBot="1">
      <c r="A570" s="10">
        <v>569</v>
      </c>
      <c r="B570" t="s">
        <v>38</v>
      </c>
      <c r="C570">
        <v>3</v>
      </c>
      <c r="D570" t="s">
        <v>45</v>
      </c>
      <c r="F570" s="20">
        <v>43946.614583333336</v>
      </c>
      <c r="G570">
        <v>105</v>
      </c>
      <c r="H570" t="s">
        <v>17</v>
      </c>
      <c r="I570" t="s">
        <v>10</v>
      </c>
      <c r="J570" s="13" t="s">
        <v>111</v>
      </c>
      <c r="K570" s="4">
        <v>20</v>
      </c>
    </row>
    <row r="571" spans="1:11" ht="15" thickBot="1">
      <c r="A571" s="10">
        <v>570</v>
      </c>
      <c r="B571" t="s">
        <v>43</v>
      </c>
      <c r="C571">
        <v>4</v>
      </c>
      <c r="D571" t="s">
        <v>46</v>
      </c>
      <c r="F571" s="20">
        <v>43946.614583333336</v>
      </c>
      <c r="G571">
        <v>105</v>
      </c>
      <c r="H571" t="s">
        <v>8</v>
      </c>
      <c r="I571" t="s">
        <v>11</v>
      </c>
      <c r="J571" s="13" t="s">
        <v>111</v>
      </c>
      <c r="K571" s="4">
        <v>18</v>
      </c>
    </row>
    <row r="572" spans="1:11" ht="15" thickBot="1">
      <c r="A572" s="10">
        <v>571</v>
      </c>
      <c r="B572" t="s">
        <v>40</v>
      </c>
      <c r="C572">
        <v>4</v>
      </c>
      <c r="D572">
        <v>5</v>
      </c>
      <c r="F572" s="20">
        <v>43946.614583333336</v>
      </c>
      <c r="G572">
        <v>105</v>
      </c>
      <c r="H572" t="s">
        <v>15</v>
      </c>
      <c r="I572" t="s">
        <v>11</v>
      </c>
      <c r="J572" s="13" t="s">
        <v>111</v>
      </c>
      <c r="K572" s="4">
        <v>18</v>
      </c>
    </row>
    <row r="573" spans="1:11" ht="15" thickBot="1">
      <c r="A573" s="10">
        <v>572</v>
      </c>
      <c r="B573" t="s">
        <v>41</v>
      </c>
      <c r="C573">
        <v>1</v>
      </c>
      <c r="D573" t="s">
        <v>128</v>
      </c>
      <c r="F573" s="20">
        <v>43946.625</v>
      </c>
      <c r="G573">
        <v>120</v>
      </c>
      <c r="H573" t="s">
        <v>6</v>
      </c>
      <c r="I573" t="s">
        <v>6</v>
      </c>
      <c r="J573" s="13" t="s">
        <v>111</v>
      </c>
      <c r="K573" s="4">
        <v>18</v>
      </c>
    </row>
    <row r="574" spans="1:11" ht="15" thickBot="1">
      <c r="A574" s="10">
        <v>573</v>
      </c>
      <c r="B574" t="s">
        <v>42</v>
      </c>
      <c r="C574">
        <v>2</v>
      </c>
      <c r="D574" t="s">
        <v>49</v>
      </c>
      <c r="F574" s="20">
        <v>43946.625</v>
      </c>
      <c r="G574">
        <v>120</v>
      </c>
      <c r="H574" t="s">
        <v>7</v>
      </c>
      <c r="I574" t="s">
        <v>7</v>
      </c>
      <c r="J574" s="13" t="s">
        <v>111</v>
      </c>
      <c r="K574" s="4">
        <v>20</v>
      </c>
    </row>
    <row r="575" spans="1:11" ht="15" thickBot="1">
      <c r="A575" s="10">
        <v>574</v>
      </c>
      <c r="B575" t="s">
        <v>37</v>
      </c>
      <c r="C575">
        <v>2</v>
      </c>
      <c r="D575" t="s">
        <v>45</v>
      </c>
      <c r="F575" s="20">
        <v>43946.666666666664</v>
      </c>
      <c r="G575">
        <v>120</v>
      </c>
      <c r="H575" t="s">
        <v>18</v>
      </c>
      <c r="I575" t="s">
        <v>7</v>
      </c>
      <c r="J575" s="13" t="s">
        <v>111</v>
      </c>
      <c r="K575" s="4">
        <v>18</v>
      </c>
    </row>
    <row r="576" spans="1:11" ht="15" thickBot="1">
      <c r="A576" s="10">
        <v>575</v>
      </c>
      <c r="B576" t="s">
        <v>44</v>
      </c>
      <c r="C576">
        <v>5</v>
      </c>
      <c r="D576" t="s">
        <v>51</v>
      </c>
      <c r="F576" s="20">
        <v>43946.666666666664</v>
      </c>
      <c r="G576">
        <v>90</v>
      </c>
      <c r="H576" t="s">
        <v>14</v>
      </c>
      <c r="I576" t="s">
        <v>9</v>
      </c>
      <c r="J576" s="13" t="s">
        <v>111</v>
      </c>
      <c r="K576" s="4">
        <v>19</v>
      </c>
    </row>
    <row r="577" spans="1:11" ht="15" thickBot="1">
      <c r="A577" s="10">
        <v>576</v>
      </c>
      <c r="B577" t="s">
        <v>39</v>
      </c>
      <c r="C577">
        <v>3</v>
      </c>
      <c r="D577" t="s">
        <v>50</v>
      </c>
      <c r="F577" s="20">
        <v>43946.6875</v>
      </c>
      <c r="G577">
        <v>105</v>
      </c>
      <c r="H577" t="s">
        <v>16</v>
      </c>
      <c r="I577" t="s">
        <v>10</v>
      </c>
      <c r="J577" s="13" t="s">
        <v>111</v>
      </c>
      <c r="K577" s="4">
        <v>18</v>
      </c>
    </row>
    <row r="578" spans="1:11" ht="15" thickBot="1">
      <c r="A578" s="10">
        <v>577</v>
      </c>
      <c r="B578" t="s">
        <v>38</v>
      </c>
      <c r="C578">
        <v>3</v>
      </c>
      <c r="D578" t="s">
        <v>45</v>
      </c>
      <c r="F578" s="20">
        <v>43946.6875</v>
      </c>
      <c r="G578">
        <v>105</v>
      </c>
      <c r="H578" t="s">
        <v>17</v>
      </c>
      <c r="I578" t="s">
        <v>10</v>
      </c>
      <c r="J578" s="13" t="s">
        <v>111</v>
      </c>
      <c r="K578" s="4">
        <v>20</v>
      </c>
    </row>
    <row r="579" spans="1:11" ht="15" thickBot="1">
      <c r="A579" s="10">
        <v>578</v>
      </c>
      <c r="B579" t="s">
        <v>43</v>
      </c>
      <c r="C579">
        <v>4</v>
      </c>
      <c r="D579" t="s">
        <v>46</v>
      </c>
      <c r="F579" s="20">
        <v>43946.6875</v>
      </c>
      <c r="G579">
        <v>105</v>
      </c>
      <c r="H579" t="s">
        <v>8</v>
      </c>
      <c r="I579" t="s">
        <v>11</v>
      </c>
      <c r="J579" s="13" t="s">
        <v>111</v>
      </c>
      <c r="K579" s="4">
        <v>18</v>
      </c>
    </row>
    <row r="580" spans="1:11" ht="15" thickBot="1">
      <c r="A580" s="10">
        <v>579</v>
      </c>
      <c r="B580" t="s">
        <v>40</v>
      </c>
      <c r="C580">
        <v>4</v>
      </c>
      <c r="D580">
        <v>5</v>
      </c>
      <c r="F580" s="20">
        <v>43946.6875</v>
      </c>
      <c r="G580">
        <v>105</v>
      </c>
      <c r="H580" t="s">
        <v>15</v>
      </c>
      <c r="I580" t="s">
        <v>11</v>
      </c>
      <c r="J580" s="13" t="s">
        <v>111</v>
      </c>
      <c r="K580" s="4">
        <v>18</v>
      </c>
    </row>
    <row r="581" spans="1:11" ht="15" thickBot="1">
      <c r="A581" s="10">
        <v>580</v>
      </c>
      <c r="B581" t="s">
        <v>41</v>
      </c>
      <c r="C581">
        <v>1</v>
      </c>
      <c r="D581" t="s">
        <v>128</v>
      </c>
      <c r="F581" s="20">
        <v>43946.708333333336</v>
      </c>
      <c r="G581">
        <v>120</v>
      </c>
      <c r="H581" t="s">
        <v>6</v>
      </c>
      <c r="I581" t="s">
        <v>6</v>
      </c>
      <c r="J581" s="13" t="s">
        <v>111</v>
      </c>
      <c r="K581" s="4">
        <v>18</v>
      </c>
    </row>
    <row r="582" spans="1:11" ht="15" thickBot="1">
      <c r="A582" s="10">
        <v>581</v>
      </c>
      <c r="B582" t="s">
        <v>42</v>
      </c>
      <c r="C582">
        <v>2</v>
      </c>
      <c r="D582" t="s">
        <v>49</v>
      </c>
      <c r="F582" s="20">
        <v>43946.708333333336</v>
      </c>
      <c r="G582">
        <v>120</v>
      </c>
      <c r="H582" t="s">
        <v>7</v>
      </c>
      <c r="I582" t="s">
        <v>7</v>
      </c>
      <c r="J582" s="13" t="s">
        <v>111</v>
      </c>
      <c r="K582" s="4">
        <v>20</v>
      </c>
    </row>
    <row r="583" spans="1:11" ht="15" thickBot="1">
      <c r="A583" s="10">
        <v>582</v>
      </c>
      <c r="B583" t="s">
        <v>44</v>
      </c>
      <c r="C583">
        <v>5</v>
      </c>
      <c r="D583" t="s">
        <v>51</v>
      </c>
      <c r="F583" s="20">
        <v>43946.729166666664</v>
      </c>
      <c r="G583">
        <v>90</v>
      </c>
      <c r="H583" t="s">
        <v>14</v>
      </c>
      <c r="I583" t="s">
        <v>9</v>
      </c>
      <c r="J583" s="13" t="s">
        <v>111</v>
      </c>
      <c r="K583" s="4">
        <v>19</v>
      </c>
    </row>
    <row r="584" spans="1:11" ht="15" thickBot="1">
      <c r="A584" s="10">
        <v>583</v>
      </c>
      <c r="B584" t="s">
        <v>41</v>
      </c>
      <c r="C584">
        <v>1</v>
      </c>
      <c r="D584" t="s">
        <v>128</v>
      </c>
      <c r="F584" s="20">
        <v>43948.75</v>
      </c>
      <c r="G584">
        <v>120</v>
      </c>
      <c r="H584" t="s">
        <v>6</v>
      </c>
      <c r="I584" t="s">
        <v>6</v>
      </c>
      <c r="J584" s="13" t="s">
        <v>133</v>
      </c>
      <c r="K584" s="4">
        <v>18</v>
      </c>
    </row>
    <row r="585" spans="1:11" ht="15" thickBot="1">
      <c r="A585" s="10">
        <v>584</v>
      </c>
      <c r="B585" t="s">
        <v>38</v>
      </c>
      <c r="C585">
        <v>1</v>
      </c>
      <c r="D585" t="s">
        <v>45</v>
      </c>
      <c r="F585" s="20">
        <v>43948.75</v>
      </c>
      <c r="G585">
        <v>120</v>
      </c>
      <c r="H585" t="s">
        <v>17</v>
      </c>
      <c r="I585" t="s">
        <v>6</v>
      </c>
      <c r="J585" s="13" t="s">
        <v>133</v>
      </c>
      <c r="K585" s="4">
        <v>18</v>
      </c>
    </row>
    <row r="586" spans="1:11" ht="15" thickBot="1">
      <c r="A586" s="10">
        <v>585</v>
      </c>
      <c r="B586" t="s">
        <v>42</v>
      </c>
      <c r="C586">
        <v>2</v>
      </c>
      <c r="D586" t="s">
        <v>49</v>
      </c>
      <c r="F586" s="20">
        <v>43948.75</v>
      </c>
      <c r="G586">
        <v>120</v>
      </c>
      <c r="H586" t="s">
        <v>7</v>
      </c>
      <c r="I586" t="s">
        <v>7</v>
      </c>
      <c r="J586" s="13" t="s">
        <v>133</v>
      </c>
      <c r="K586" s="4">
        <v>18</v>
      </c>
    </row>
    <row r="587" spans="1:11" ht="15" thickBot="1">
      <c r="A587" s="10">
        <v>586</v>
      </c>
      <c r="B587" t="s">
        <v>39</v>
      </c>
      <c r="C587">
        <v>3</v>
      </c>
      <c r="D587" t="s">
        <v>50</v>
      </c>
      <c r="F587" s="20">
        <v>43948.75</v>
      </c>
      <c r="G587">
        <v>105</v>
      </c>
      <c r="H587" t="s">
        <v>16</v>
      </c>
      <c r="I587" t="s">
        <v>10</v>
      </c>
      <c r="J587" s="13" t="s">
        <v>133</v>
      </c>
      <c r="K587" s="4">
        <v>18</v>
      </c>
    </row>
    <row r="588" spans="1:11" ht="15" thickBot="1">
      <c r="A588" s="10">
        <v>587</v>
      </c>
      <c r="B588" t="s">
        <v>37</v>
      </c>
      <c r="C588">
        <v>3</v>
      </c>
      <c r="D588" t="s">
        <v>45</v>
      </c>
      <c r="F588" s="20">
        <v>43948.75</v>
      </c>
      <c r="G588">
        <v>105</v>
      </c>
      <c r="H588" t="s">
        <v>18</v>
      </c>
      <c r="I588" t="s">
        <v>10</v>
      </c>
      <c r="J588" s="13" t="s">
        <v>133</v>
      </c>
      <c r="K588" s="4">
        <v>18</v>
      </c>
    </row>
    <row r="589" spans="1:11" ht="15" thickBot="1">
      <c r="A589" s="10">
        <v>588</v>
      </c>
      <c r="B589" t="s">
        <v>43</v>
      </c>
      <c r="C589">
        <v>4</v>
      </c>
      <c r="D589" t="s">
        <v>46</v>
      </c>
      <c r="F589" s="20">
        <v>43948.75</v>
      </c>
      <c r="G589">
        <v>105</v>
      </c>
      <c r="H589" t="s">
        <v>8</v>
      </c>
      <c r="I589" t="s">
        <v>11</v>
      </c>
      <c r="J589" s="13" t="s">
        <v>133</v>
      </c>
      <c r="K589" s="4">
        <v>19</v>
      </c>
    </row>
    <row r="590" spans="1:11" ht="15" thickBot="1">
      <c r="A590" s="10">
        <v>589</v>
      </c>
      <c r="B590" t="s">
        <v>44</v>
      </c>
      <c r="C590">
        <v>5</v>
      </c>
      <c r="D590" t="s">
        <v>51</v>
      </c>
      <c r="F590" s="20">
        <v>43948.75</v>
      </c>
      <c r="G590">
        <v>90</v>
      </c>
      <c r="H590" t="s">
        <v>14</v>
      </c>
      <c r="I590" t="s">
        <v>9</v>
      </c>
      <c r="J590" s="13" t="s">
        <v>133</v>
      </c>
      <c r="K590" s="4">
        <v>20</v>
      </c>
    </row>
    <row r="591" spans="1:11" ht="15" thickBot="1">
      <c r="A591" s="10">
        <v>590</v>
      </c>
      <c r="B591" t="s">
        <v>40</v>
      </c>
      <c r="C591">
        <v>5</v>
      </c>
      <c r="D591">
        <v>5</v>
      </c>
      <c r="F591" s="20">
        <v>43948.75</v>
      </c>
      <c r="G591">
        <v>90</v>
      </c>
      <c r="H591" t="s">
        <v>15</v>
      </c>
      <c r="I591" t="s">
        <v>9</v>
      </c>
      <c r="J591" s="13" t="s">
        <v>133</v>
      </c>
      <c r="K591" s="4">
        <v>20</v>
      </c>
    </row>
    <row r="592" spans="1:11" ht="15" thickBot="1">
      <c r="A592" s="10">
        <v>591</v>
      </c>
      <c r="B592" t="s">
        <v>44</v>
      </c>
      <c r="C592">
        <v>5</v>
      </c>
      <c r="D592" t="s">
        <v>51</v>
      </c>
      <c r="F592" s="20">
        <v>43948.8125</v>
      </c>
      <c r="G592">
        <v>90</v>
      </c>
      <c r="H592" t="s">
        <v>14</v>
      </c>
      <c r="I592" t="s">
        <v>9</v>
      </c>
      <c r="J592" s="13" t="s">
        <v>133</v>
      </c>
      <c r="K592" s="4">
        <v>20</v>
      </c>
    </row>
    <row r="593" spans="1:11" ht="15" thickBot="1">
      <c r="A593" s="10">
        <v>592</v>
      </c>
      <c r="B593" t="s">
        <v>40</v>
      </c>
      <c r="C593">
        <v>5</v>
      </c>
      <c r="D593">
        <v>5</v>
      </c>
      <c r="F593" s="20">
        <v>43948.8125</v>
      </c>
      <c r="G593">
        <v>90</v>
      </c>
      <c r="H593" t="s">
        <v>15</v>
      </c>
      <c r="I593" t="s">
        <v>9</v>
      </c>
      <c r="J593" s="13" t="s">
        <v>133</v>
      </c>
      <c r="K593" s="4">
        <v>18</v>
      </c>
    </row>
    <row r="594" spans="1:11" ht="15" thickBot="1">
      <c r="A594" s="10">
        <v>593</v>
      </c>
      <c r="B594" t="s">
        <v>39</v>
      </c>
      <c r="C594">
        <v>3</v>
      </c>
      <c r="D594" t="s">
        <v>50</v>
      </c>
      <c r="F594" s="20">
        <v>43948.822916666664</v>
      </c>
      <c r="G594">
        <v>105</v>
      </c>
      <c r="H594" t="s">
        <v>16</v>
      </c>
      <c r="I594" t="s">
        <v>10</v>
      </c>
      <c r="J594" s="13" t="s">
        <v>133</v>
      </c>
      <c r="K594" s="4">
        <v>18</v>
      </c>
    </row>
    <row r="595" spans="1:11" ht="15" thickBot="1">
      <c r="A595" s="10">
        <v>594</v>
      </c>
      <c r="B595" t="s">
        <v>37</v>
      </c>
      <c r="C595">
        <v>3</v>
      </c>
      <c r="D595" t="s">
        <v>45</v>
      </c>
      <c r="F595" s="20">
        <v>43948.822916666664</v>
      </c>
      <c r="G595">
        <v>105</v>
      </c>
      <c r="H595" t="s">
        <v>18</v>
      </c>
      <c r="I595" t="s">
        <v>10</v>
      </c>
      <c r="J595" s="13" t="s">
        <v>133</v>
      </c>
      <c r="K595" s="4">
        <v>18</v>
      </c>
    </row>
    <row r="596" spans="1:11" ht="15" thickBot="1">
      <c r="A596" s="10">
        <v>595</v>
      </c>
      <c r="B596" t="s">
        <v>43</v>
      </c>
      <c r="C596">
        <v>4</v>
      </c>
      <c r="D596" t="s">
        <v>46</v>
      </c>
      <c r="F596" s="20">
        <v>43948.822916666664</v>
      </c>
      <c r="G596">
        <v>105</v>
      </c>
      <c r="H596" t="s">
        <v>8</v>
      </c>
      <c r="I596" t="s">
        <v>11</v>
      </c>
      <c r="J596" s="13" t="s">
        <v>133</v>
      </c>
      <c r="K596" s="4">
        <v>19</v>
      </c>
    </row>
    <row r="597" spans="1:11" ht="15" thickBot="1">
      <c r="A597" s="10">
        <v>596</v>
      </c>
      <c r="B597" t="s">
        <v>41</v>
      </c>
      <c r="C597">
        <v>1</v>
      </c>
      <c r="D597" t="s">
        <v>128</v>
      </c>
      <c r="F597" s="20">
        <v>43948.833333333336</v>
      </c>
      <c r="G597">
        <v>120</v>
      </c>
      <c r="H597" t="s">
        <v>6</v>
      </c>
      <c r="I597" t="s">
        <v>6</v>
      </c>
      <c r="J597" s="13" t="s">
        <v>133</v>
      </c>
      <c r="K597" s="4">
        <v>18</v>
      </c>
    </row>
    <row r="598" spans="1:11" ht="15" thickBot="1">
      <c r="A598" s="10">
        <v>597</v>
      </c>
      <c r="B598" t="s">
        <v>38</v>
      </c>
      <c r="C598">
        <v>1</v>
      </c>
      <c r="D598" t="s">
        <v>45</v>
      </c>
      <c r="F598" s="20">
        <v>43948.833333333336</v>
      </c>
      <c r="G598">
        <v>120</v>
      </c>
      <c r="H598" t="s">
        <v>17</v>
      </c>
      <c r="I598" t="s">
        <v>6</v>
      </c>
      <c r="J598" s="13" t="s">
        <v>133</v>
      </c>
      <c r="K598" s="4">
        <v>18</v>
      </c>
    </row>
    <row r="599" spans="1:11" ht="15" thickBot="1">
      <c r="A599" s="10">
        <v>598</v>
      </c>
      <c r="B599" t="s">
        <v>42</v>
      </c>
      <c r="C599">
        <v>2</v>
      </c>
      <c r="D599" t="s">
        <v>49</v>
      </c>
      <c r="F599" s="20">
        <v>43948.833333333336</v>
      </c>
      <c r="G599">
        <v>120</v>
      </c>
      <c r="H599" t="s">
        <v>7</v>
      </c>
      <c r="I599" t="s">
        <v>7</v>
      </c>
      <c r="J599" s="13" t="s">
        <v>133</v>
      </c>
      <c r="K599" s="4">
        <v>18</v>
      </c>
    </row>
    <row r="600" spans="1:11" ht="15" thickBot="1">
      <c r="A600" s="10">
        <v>599</v>
      </c>
      <c r="B600" t="s">
        <v>41</v>
      </c>
      <c r="C600">
        <v>1</v>
      </c>
      <c r="D600" t="s">
        <v>128</v>
      </c>
      <c r="F600" s="20">
        <v>43949.75</v>
      </c>
      <c r="G600">
        <v>120</v>
      </c>
      <c r="H600" t="s">
        <v>6</v>
      </c>
      <c r="I600" t="s">
        <v>6</v>
      </c>
      <c r="J600" s="13" t="s">
        <v>103</v>
      </c>
      <c r="K600" s="4">
        <v>19</v>
      </c>
    </row>
    <row r="601" spans="1:11" ht="15" thickBot="1">
      <c r="A601" s="10">
        <v>600</v>
      </c>
      <c r="B601" t="s">
        <v>42</v>
      </c>
      <c r="C601">
        <v>2</v>
      </c>
      <c r="D601" t="s">
        <v>49</v>
      </c>
      <c r="F601" s="20">
        <v>43949.75</v>
      </c>
      <c r="G601">
        <v>120</v>
      </c>
      <c r="H601" t="s">
        <v>7</v>
      </c>
      <c r="I601" t="s">
        <v>7</v>
      </c>
      <c r="J601" s="13" t="s">
        <v>103</v>
      </c>
      <c r="K601" s="4">
        <v>20</v>
      </c>
    </row>
    <row r="602" spans="1:11" ht="15" thickBot="1">
      <c r="A602" s="10">
        <v>601</v>
      </c>
      <c r="B602" t="s">
        <v>38</v>
      </c>
      <c r="C602">
        <v>2</v>
      </c>
      <c r="D602" t="s">
        <v>45</v>
      </c>
      <c r="F602" s="20">
        <v>43949.75</v>
      </c>
      <c r="G602">
        <v>120</v>
      </c>
      <c r="H602" t="s">
        <v>17</v>
      </c>
      <c r="I602" t="s">
        <v>7</v>
      </c>
      <c r="J602" s="13" t="s">
        <v>103</v>
      </c>
      <c r="K602" s="4">
        <v>19</v>
      </c>
    </row>
    <row r="603" spans="1:11" ht="15" thickBot="1">
      <c r="A603" s="10">
        <v>602</v>
      </c>
      <c r="B603" t="s">
        <v>39</v>
      </c>
      <c r="C603">
        <v>3</v>
      </c>
      <c r="D603" t="s">
        <v>50</v>
      </c>
      <c r="F603" s="20">
        <v>43949.75</v>
      </c>
      <c r="G603">
        <v>105</v>
      </c>
      <c r="H603" t="s">
        <v>16</v>
      </c>
      <c r="I603" t="s">
        <v>10</v>
      </c>
      <c r="J603" s="13" t="s">
        <v>103</v>
      </c>
      <c r="K603" s="4">
        <v>18</v>
      </c>
    </row>
    <row r="604" spans="1:11" ht="15" thickBot="1">
      <c r="A604" s="10">
        <v>603</v>
      </c>
      <c r="B604" t="s">
        <v>37</v>
      </c>
      <c r="C604">
        <v>3</v>
      </c>
      <c r="D604" t="s">
        <v>45</v>
      </c>
      <c r="F604" s="20">
        <v>43949.75</v>
      </c>
      <c r="G604">
        <v>105</v>
      </c>
      <c r="H604" t="s">
        <v>18</v>
      </c>
      <c r="I604" t="s">
        <v>10</v>
      </c>
      <c r="J604" s="13" t="s">
        <v>103</v>
      </c>
      <c r="K604" s="4">
        <v>20</v>
      </c>
    </row>
    <row r="605" spans="1:11" ht="15" thickBot="1">
      <c r="A605" s="10">
        <v>604</v>
      </c>
      <c r="B605" t="s">
        <v>43</v>
      </c>
      <c r="C605">
        <v>4</v>
      </c>
      <c r="D605" t="s">
        <v>46</v>
      </c>
      <c r="F605" s="20">
        <v>43949.75</v>
      </c>
      <c r="G605">
        <v>105</v>
      </c>
      <c r="H605" t="s">
        <v>8</v>
      </c>
      <c r="I605" t="s">
        <v>11</v>
      </c>
      <c r="J605" s="13" t="s">
        <v>103</v>
      </c>
      <c r="K605" s="4">
        <v>18</v>
      </c>
    </row>
    <row r="606" spans="1:11" ht="15" thickBot="1">
      <c r="A606" s="10">
        <v>605</v>
      </c>
      <c r="B606" t="s">
        <v>40</v>
      </c>
      <c r="C606">
        <v>4</v>
      </c>
      <c r="D606">
        <v>5</v>
      </c>
      <c r="F606" s="20">
        <v>43949.75</v>
      </c>
      <c r="G606">
        <v>105</v>
      </c>
      <c r="H606" t="s">
        <v>15</v>
      </c>
      <c r="I606" t="s">
        <v>11</v>
      </c>
      <c r="J606" s="13" t="s">
        <v>103</v>
      </c>
      <c r="K606" s="4">
        <v>18</v>
      </c>
    </row>
    <row r="607" spans="1:11" ht="15" thickBot="1">
      <c r="A607" s="10">
        <v>606</v>
      </c>
      <c r="B607" t="s">
        <v>44</v>
      </c>
      <c r="C607">
        <v>5</v>
      </c>
      <c r="D607" t="s">
        <v>51</v>
      </c>
      <c r="F607" s="20">
        <v>43949.75</v>
      </c>
      <c r="G607">
        <v>90</v>
      </c>
      <c r="H607" t="s">
        <v>14</v>
      </c>
      <c r="I607" t="s">
        <v>9</v>
      </c>
      <c r="J607" s="13" t="s">
        <v>103</v>
      </c>
      <c r="K607" s="4">
        <v>18</v>
      </c>
    </row>
    <row r="608" spans="1:11" ht="15" thickBot="1">
      <c r="A608" s="10">
        <v>607</v>
      </c>
      <c r="B608" t="s">
        <v>44</v>
      </c>
      <c r="C608">
        <v>5</v>
      </c>
      <c r="D608" t="s">
        <v>51</v>
      </c>
      <c r="F608" s="20">
        <v>43949.8125</v>
      </c>
      <c r="G608">
        <v>90</v>
      </c>
      <c r="H608" t="s">
        <v>14</v>
      </c>
      <c r="I608" t="s">
        <v>9</v>
      </c>
      <c r="J608" s="13" t="s">
        <v>103</v>
      </c>
      <c r="K608" s="4">
        <v>18</v>
      </c>
    </row>
    <row r="609" spans="1:11" ht="15" thickBot="1">
      <c r="A609" s="10">
        <v>608</v>
      </c>
      <c r="B609" t="s">
        <v>39</v>
      </c>
      <c r="C609">
        <v>3</v>
      </c>
      <c r="D609" t="s">
        <v>50</v>
      </c>
      <c r="F609" s="20">
        <v>43949.822916666664</v>
      </c>
      <c r="G609">
        <v>105</v>
      </c>
      <c r="H609" t="s">
        <v>16</v>
      </c>
      <c r="I609" t="s">
        <v>10</v>
      </c>
      <c r="J609" s="13" t="s">
        <v>103</v>
      </c>
      <c r="K609" s="4">
        <v>18</v>
      </c>
    </row>
    <row r="610" spans="1:11" ht="15" thickBot="1">
      <c r="A610" s="10">
        <v>609</v>
      </c>
      <c r="B610" t="s">
        <v>37</v>
      </c>
      <c r="C610">
        <v>3</v>
      </c>
      <c r="D610" t="s">
        <v>45</v>
      </c>
      <c r="F610" s="20">
        <v>43949.822916666664</v>
      </c>
      <c r="G610">
        <v>105</v>
      </c>
      <c r="H610" t="s">
        <v>18</v>
      </c>
      <c r="I610" t="s">
        <v>10</v>
      </c>
      <c r="J610" s="13" t="s">
        <v>103</v>
      </c>
      <c r="K610" s="4">
        <v>20</v>
      </c>
    </row>
    <row r="611" spans="1:11" ht="15" thickBot="1">
      <c r="A611" s="10">
        <v>610</v>
      </c>
      <c r="B611" t="s">
        <v>43</v>
      </c>
      <c r="C611">
        <v>4</v>
      </c>
      <c r="D611" t="s">
        <v>46</v>
      </c>
      <c r="F611" s="20">
        <v>43949.822916666664</v>
      </c>
      <c r="G611">
        <v>105</v>
      </c>
      <c r="H611" t="s">
        <v>8</v>
      </c>
      <c r="I611" t="s">
        <v>11</v>
      </c>
      <c r="J611" s="13" t="s">
        <v>103</v>
      </c>
      <c r="K611" s="4">
        <v>18</v>
      </c>
    </row>
    <row r="612" spans="1:11" ht="15" thickBot="1">
      <c r="A612" s="10">
        <v>611</v>
      </c>
      <c r="B612" t="s">
        <v>40</v>
      </c>
      <c r="C612">
        <v>4</v>
      </c>
      <c r="D612">
        <v>5</v>
      </c>
      <c r="F612" s="20">
        <v>43949.822916666664</v>
      </c>
      <c r="G612">
        <v>105</v>
      </c>
      <c r="H612" t="s">
        <v>15</v>
      </c>
      <c r="I612" t="s">
        <v>11</v>
      </c>
      <c r="J612" s="13" t="s">
        <v>103</v>
      </c>
      <c r="K612" s="4">
        <v>18</v>
      </c>
    </row>
    <row r="613" spans="1:11" ht="15" thickBot="1">
      <c r="A613" s="10">
        <v>612</v>
      </c>
      <c r="B613" t="s">
        <v>41</v>
      </c>
      <c r="C613">
        <v>1</v>
      </c>
      <c r="D613" t="s">
        <v>128</v>
      </c>
      <c r="F613" s="20">
        <v>43949.833333333336</v>
      </c>
      <c r="G613">
        <v>120</v>
      </c>
      <c r="H613" t="s">
        <v>6</v>
      </c>
      <c r="I613" t="s">
        <v>6</v>
      </c>
      <c r="J613" s="13" t="s">
        <v>103</v>
      </c>
      <c r="K613" s="4">
        <v>19</v>
      </c>
    </row>
    <row r="614" spans="1:11" ht="15" thickBot="1">
      <c r="A614" s="10">
        <v>613</v>
      </c>
      <c r="B614" t="s">
        <v>42</v>
      </c>
      <c r="C614">
        <v>2</v>
      </c>
      <c r="D614" t="s">
        <v>49</v>
      </c>
      <c r="F614" s="20">
        <v>43949.833333333336</v>
      </c>
      <c r="G614">
        <v>120</v>
      </c>
      <c r="H614" t="s">
        <v>7</v>
      </c>
      <c r="I614" t="s">
        <v>7</v>
      </c>
      <c r="J614" s="13" t="s">
        <v>103</v>
      </c>
      <c r="K614" s="4">
        <v>20</v>
      </c>
    </row>
    <row r="615" spans="1:11" ht="15" thickBot="1">
      <c r="A615" s="10">
        <v>614</v>
      </c>
      <c r="B615" t="s">
        <v>38</v>
      </c>
      <c r="C615">
        <v>2</v>
      </c>
      <c r="D615" t="s">
        <v>45</v>
      </c>
      <c r="F615" s="20">
        <v>43949.833333333336</v>
      </c>
      <c r="G615">
        <v>120</v>
      </c>
      <c r="H615" t="s">
        <v>17</v>
      </c>
      <c r="I615" t="s">
        <v>7</v>
      </c>
      <c r="J615" s="13" t="s">
        <v>103</v>
      </c>
      <c r="K615" s="4">
        <v>20</v>
      </c>
    </row>
    <row r="616" spans="1:11" ht="15" thickBot="1">
      <c r="A616" s="10">
        <v>615</v>
      </c>
      <c r="B616" t="s">
        <v>41</v>
      </c>
      <c r="C616">
        <v>1</v>
      </c>
      <c r="D616" t="s">
        <v>128</v>
      </c>
      <c r="F616" s="20">
        <v>43950.75</v>
      </c>
      <c r="G616">
        <v>120</v>
      </c>
      <c r="H616" t="s">
        <v>6</v>
      </c>
      <c r="I616" t="s">
        <v>6</v>
      </c>
      <c r="J616" s="13" t="s">
        <v>102</v>
      </c>
      <c r="K616" s="4">
        <v>0</v>
      </c>
    </row>
    <row r="617" spans="1:11" ht="15" thickBot="1">
      <c r="A617" s="10">
        <v>616</v>
      </c>
      <c r="B617" t="s">
        <v>38</v>
      </c>
      <c r="C617">
        <v>1</v>
      </c>
      <c r="D617" t="s">
        <v>45</v>
      </c>
      <c r="F617" s="20">
        <v>43950.75</v>
      </c>
      <c r="G617">
        <v>120</v>
      </c>
      <c r="H617" t="s">
        <v>17</v>
      </c>
      <c r="I617" t="s">
        <v>6</v>
      </c>
      <c r="J617" s="10" t="s">
        <v>102</v>
      </c>
      <c r="K617" s="4"/>
    </row>
    <row r="618" spans="1:11" ht="15" thickBot="1">
      <c r="A618" s="10">
        <v>617</v>
      </c>
      <c r="B618" t="s">
        <v>42</v>
      </c>
      <c r="C618">
        <v>2</v>
      </c>
      <c r="D618" t="s">
        <v>49</v>
      </c>
      <c r="F618" s="20">
        <v>43950.75</v>
      </c>
      <c r="G618">
        <v>120</v>
      </c>
      <c r="H618" t="s">
        <v>7</v>
      </c>
      <c r="I618" t="s">
        <v>7</v>
      </c>
      <c r="J618" s="13" t="s">
        <v>102</v>
      </c>
      <c r="K618" s="4">
        <v>0</v>
      </c>
    </row>
    <row r="619" spans="1:11" ht="15" thickBot="1">
      <c r="A619" s="10">
        <v>618</v>
      </c>
      <c r="B619" t="s">
        <v>37</v>
      </c>
      <c r="C619">
        <v>2</v>
      </c>
      <c r="D619" t="s">
        <v>45</v>
      </c>
      <c r="F619" s="20">
        <v>43950.75</v>
      </c>
      <c r="G619">
        <v>120</v>
      </c>
      <c r="H619" t="s">
        <v>18</v>
      </c>
      <c r="I619" t="s">
        <v>7</v>
      </c>
      <c r="J619" s="10" t="s">
        <v>102</v>
      </c>
      <c r="K619" s="4"/>
    </row>
    <row r="620" spans="1:11" ht="15" thickBot="1">
      <c r="A620" s="10">
        <v>619</v>
      </c>
      <c r="B620" t="s">
        <v>39</v>
      </c>
      <c r="C620">
        <v>3</v>
      </c>
      <c r="D620" t="s">
        <v>50</v>
      </c>
      <c r="F620" s="20">
        <v>43950.75</v>
      </c>
      <c r="G620">
        <v>105</v>
      </c>
      <c r="H620" t="s">
        <v>16</v>
      </c>
      <c r="I620" t="s">
        <v>10</v>
      </c>
      <c r="J620" s="10" t="s">
        <v>102</v>
      </c>
      <c r="K620" s="4"/>
    </row>
    <row r="621" spans="1:11" ht="15" thickBot="1">
      <c r="A621" s="10">
        <v>620</v>
      </c>
      <c r="B621" t="s">
        <v>43</v>
      </c>
      <c r="C621">
        <v>4</v>
      </c>
      <c r="D621" t="s">
        <v>46</v>
      </c>
      <c r="F621" s="20">
        <v>43950.75</v>
      </c>
      <c r="G621">
        <v>105</v>
      </c>
      <c r="H621" t="s">
        <v>8</v>
      </c>
      <c r="I621" t="s">
        <v>11</v>
      </c>
      <c r="J621" s="13" t="s">
        <v>102</v>
      </c>
      <c r="K621" s="4">
        <v>0</v>
      </c>
    </row>
    <row r="622" spans="1:11" ht="15" thickBot="1">
      <c r="A622" s="10">
        <v>621</v>
      </c>
      <c r="B622" t="s">
        <v>40</v>
      </c>
      <c r="C622">
        <v>4</v>
      </c>
      <c r="D622">
        <v>5</v>
      </c>
      <c r="F622" s="20">
        <v>43950.75</v>
      </c>
      <c r="G622">
        <v>105</v>
      </c>
      <c r="H622" t="s">
        <v>15</v>
      </c>
      <c r="I622" t="s">
        <v>11</v>
      </c>
      <c r="J622" s="10" t="s">
        <v>102</v>
      </c>
      <c r="K622" s="4"/>
    </row>
    <row r="623" spans="1:11">
      <c r="A623" s="10">
        <v>622</v>
      </c>
      <c r="B623" t="s">
        <v>44</v>
      </c>
      <c r="C623">
        <v>5</v>
      </c>
      <c r="D623" t="s">
        <v>51</v>
      </c>
      <c r="F623" s="20">
        <v>43950.75</v>
      </c>
      <c r="G623">
        <v>90</v>
      </c>
      <c r="H623" t="s">
        <v>14</v>
      </c>
      <c r="I623" t="s">
        <v>9</v>
      </c>
      <c r="J623" s="13" t="s">
        <v>102</v>
      </c>
      <c r="K623" s="4">
        <v>0</v>
      </c>
    </row>
    <row r="624" spans="1:11">
      <c r="A624" s="10">
        <v>623</v>
      </c>
      <c r="B624" t="s">
        <v>44</v>
      </c>
      <c r="C624">
        <v>5</v>
      </c>
      <c r="D624" t="s">
        <v>51</v>
      </c>
      <c r="F624" s="20">
        <v>43950.8125</v>
      </c>
      <c r="G624">
        <v>90</v>
      </c>
      <c r="H624" t="s">
        <v>14</v>
      </c>
      <c r="I624" t="s">
        <v>9</v>
      </c>
      <c r="J624" s="13" t="s">
        <v>102</v>
      </c>
      <c r="K624" s="13">
        <v>2</v>
      </c>
    </row>
    <row r="625" spans="1:11">
      <c r="A625" s="10">
        <v>624</v>
      </c>
      <c r="B625" t="s">
        <v>39</v>
      </c>
      <c r="C625">
        <v>3</v>
      </c>
      <c r="D625" t="s">
        <v>50</v>
      </c>
      <c r="F625" s="20">
        <v>43950.822916666664</v>
      </c>
      <c r="G625">
        <v>105</v>
      </c>
      <c r="H625" t="s">
        <v>16</v>
      </c>
      <c r="I625" t="s">
        <v>10</v>
      </c>
      <c r="J625" t="s">
        <v>102</v>
      </c>
      <c r="K625" s="13"/>
    </row>
    <row r="626" spans="1:11">
      <c r="A626" s="10">
        <v>625</v>
      </c>
      <c r="B626" t="s">
        <v>43</v>
      </c>
      <c r="C626">
        <v>4</v>
      </c>
      <c r="D626" t="s">
        <v>46</v>
      </c>
      <c r="F626" s="20">
        <v>43950.822916666664</v>
      </c>
      <c r="G626">
        <v>105</v>
      </c>
      <c r="H626" t="s">
        <v>8</v>
      </c>
      <c r="I626" t="s">
        <v>11</v>
      </c>
      <c r="J626" s="13" t="s">
        <v>102</v>
      </c>
      <c r="K626" s="13">
        <v>2</v>
      </c>
    </row>
    <row r="627" spans="1:11">
      <c r="A627" s="10">
        <v>626</v>
      </c>
      <c r="B627" t="s">
        <v>40</v>
      </c>
      <c r="C627">
        <v>4</v>
      </c>
      <c r="D627">
        <v>5</v>
      </c>
      <c r="F627" s="20">
        <v>43950.822916666664</v>
      </c>
      <c r="G627">
        <v>105</v>
      </c>
      <c r="H627" t="s">
        <v>15</v>
      </c>
      <c r="I627" t="s">
        <v>11</v>
      </c>
      <c r="J627" t="s">
        <v>102</v>
      </c>
      <c r="K627" s="13"/>
    </row>
    <row r="628" spans="1:11">
      <c r="A628" s="10">
        <v>627</v>
      </c>
      <c r="B628" t="s">
        <v>41</v>
      </c>
      <c r="C628">
        <v>1</v>
      </c>
      <c r="D628" t="s">
        <v>128</v>
      </c>
      <c r="F628" s="20">
        <v>43950.833333333336</v>
      </c>
      <c r="G628">
        <v>120</v>
      </c>
      <c r="H628" t="s">
        <v>6</v>
      </c>
      <c r="I628" t="s">
        <v>6</v>
      </c>
      <c r="J628" s="13" t="s">
        <v>102</v>
      </c>
      <c r="K628" s="13">
        <v>2</v>
      </c>
    </row>
    <row r="629" spans="1:11">
      <c r="A629" s="10">
        <v>628</v>
      </c>
      <c r="B629" t="s">
        <v>38</v>
      </c>
      <c r="C629">
        <v>1</v>
      </c>
      <c r="D629" t="s">
        <v>45</v>
      </c>
      <c r="F629" s="20">
        <v>43950.833333333336</v>
      </c>
      <c r="G629">
        <v>120</v>
      </c>
      <c r="H629" t="s">
        <v>17</v>
      </c>
      <c r="I629" t="s">
        <v>6</v>
      </c>
      <c r="J629" t="s">
        <v>102</v>
      </c>
      <c r="K629" s="13"/>
    </row>
    <row r="630" spans="1:11">
      <c r="A630" s="10">
        <v>629</v>
      </c>
      <c r="B630" t="s">
        <v>42</v>
      </c>
      <c r="C630">
        <v>2</v>
      </c>
      <c r="D630" t="s">
        <v>49</v>
      </c>
      <c r="F630" s="20">
        <v>43950.833333333336</v>
      </c>
      <c r="G630">
        <v>120</v>
      </c>
      <c r="H630" t="s">
        <v>7</v>
      </c>
      <c r="I630" t="s">
        <v>7</v>
      </c>
      <c r="J630" s="13" t="s">
        <v>102</v>
      </c>
      <c r="K630" s="13">
        <v>2</v>
      </c>
    </row>
    <row r="631" spans="1:11">
      <c r="A631" s="10">
        <v>630</v>
      </c>
      <c r="B631" t="s">
        <v>37</v>
      </c>
      <c r="C631">
        <v>2</v>
      </c>
      <c r="D631" t="s">
        <v>45</v>
      </c>
      <c r="F631" s="20">
        <v>43950.833333333336</v>
      </c>
      <c r="G631">
        <v>120</v>
      </c>
      <c r="H631" t="s">
        <v>18</v>
      </c>
      <c r="I631" t="s">
        <v>7</v>
      </c>
      <c r="J631" s="10" t="s">
        <v>102</v>
      </c>
      <c r="K631" s="13"/>
    </row>
    <row r="632" spans="1:11">
      <c r="A632" s="10">
        <v>631</v>
      </c>
      <c r="B632" t="s">
        <v>41</v>
      </c>
      <c r="C632">
        <v>2</v>
      </c>
      <c r="D632" t="s">
        <v>128</v>
      </c>
      <c r="F632" s="20">
        <v>43952.75</v>
      </c>
      <c r="G632">
        <v>120</v>
      </c>
      <c r="H632" t="s">
        <v>6</v>
      </c>
      <c r="I632" t="s">
        <v>7</v>
      </c>
      <c r="J632" s="10" t="s">
        <v>142</v>
      </c>
      <c r="K632" s="13"/>
    </row>
    <row r="633" spans="1:11">
      <c r="A633" s="10">
        <v>632</v>
      </c>
      <c r="B633" t="s">
        <v>42</v>
      </c>
      <c r="C633">
        <v>2</v>
      </c>
      <c r="D633" t="s">
        <v>49</v>
      </c>
      <c r="F633" s="20">
        <v>43952.75</v>
      </c>
      <c r="G633">
        <v>120</v>
      </c>
      <c r="H633" t="s">
        <v>7</v>
      </c>
      <c r="I633" t="s">
        <v>7</v>
      </c>
      <c r="J633" s="10" t="s">
        <v>142</v>
      </c>
      <c r="K633" s="13"/>
    </row>
    <row r="634" spans="1:11">
      <c r="A634" s="10">
        <v>633</v>
      </c>
      <c r="B634" t="s">
        <v>43</v>
      </c>
      <c r="C634">
        <v>4</v>
      </c>
      <c r="D634" t="s">
        <v>46</v>
      </c>
      <c r="F634" s="20">
        <v>43952.75</v>
      </c>
      <c r="G634">
        <v>105</v>
      </c>
      <c r="H634" t="s">
        <v>8</v>
      </c>
      <c r="I634" t="s">
        <v>11</v>
      </c>
      <c r="J634" s="10" t="s">
        <v>142</v>
      </c>
      <c r="K634" s="13"/>
    </row>
    <row r="635" spans="1:11">
      <c r="A635" s="10">
        <v>634</v>
      </c>
      <c r="B635" t="s">
        <v>40</v>
      </c>
      <c r="C635">
        <v>5</v>
      </c>
      <c r="D635">
        <v>5</v>
      </c>
      <c r="F635" s="20">
        <v>43952.75</v>
      </c>
      <c r="G635">
        <v>90</v>
      </c>
      <c r="H635" t="s">
        <v>15</v>
      </c>
      <c r="I635" t="s">
        <v>9</v>
      </c>
      <c r="J635" s="10" t="s">
        <v>142</v>
      </c>
      <c r="K635" s="10"/>
    </row>
    <row r="636" spans="1:11">
      <c r="A636" s="10">
        <v>635</v>
      </c>
      <c r="B636" t="s">
        <v>38</v>
      </c>
      <c r="C636">
        <v>5</v>
      </c>
      <c r="D636" t="s">
        <v>45</v>
      </c>
      <c r="F636" s="20">
        <v>43952.75</v>
      </c>
      <c r="G636">
        <v>90</v>
      </c>
      <c r="H636" t="s">
        <v>17</v>
      </c>
      <c r="I636" t="s">
        <v>9</v>
      </c>
      <c r="J636" s="10" t="s">
        <v>142</v>
      </c>
      <c r="K636" s="10"/>
    </row>
    <row r="637" spans="1:11">
      <c r="A637" s="10">
        <v>636</v>
      </c>
      <c r="B637" t="s">
        <v>39</v>
      </c>
      <c r="C637">
        <v>6</v>
      </c>
      <c r="D637" t="s">
        <v>50</v>
      </c>
      <c r="F637" s="20">
        <v>43952.75</v>
      </c>
      <c r="G637">
        <v>60</v>
      </c>
      <c r="H637" t="s">
        <v>16</v>
      </c>
      <c r="I637" t="s">
        <v>12</v>
      </c>
      <c r="J637" s="10" t="s">
        <v>142</v>
      </c>
      <c r="K637" s="10"/>
    </row>
    <row r="638" spans="1:11">
      <c r="A638" s="10">
        <v>637</v>
      </c>
      <c r="B638" t="s">
        <v>37</v>
      </c>
      <c r="C638">
        <v>6</v>
      </c>
      <c r="D638" t="s">
        <v>45</v>
      </c>
      <c r="F638" s="20">
        <v>43952.75</v>
      </c>
      <c r="G638">
        <v>60</v>
      </c>
      <c r="H638" t="s">
        <v>18</v>
      </c>
      <c r="I638" t="s">
        <v>12</v>
      </c>
      <c r="J638" s="10" t="s">
        <v>142</v>
      </c>
      <c r="K638" s="10"/>
    </row>
    <row r="639" spans="1:11">
      <c r="A639" s="10">
        <v>638</v>
      </c>
      <c r="B639" t="s">
        <v>44</v>
      </c>
      <c r="C639">
        <v>7</v>
      </c>
      <c r="D639" t="s">
        <v>51</v>
      </c>
      <c r="F639" s="20">
        <v>43952.78125</v>
      </c>
      <c r="G639">
        <v>60</v>
      </c>
      <c r="H639" t="s">
        <v>14</v>
      </c>
      <c r="I639" t="s">
        <v>13</v>
      </c>
      <c r="J639" s="10" t="s">
        <v>142</v>
      </c>
      <c r="K639" s="10"/>
    </row>
    <row r="640" spans="1:11">
      <c r="A640" s="10">
        <v>639</v>
      </c>
      <c r="B640" t="s">
        <v>39</v>
      </c>
      <c r="C640">
        <v>6</v>
      </c>
      <c r="D640" t="s">
        <v>50</v>
      </c>
      <c r="F640" s="20">
        <v>43952.791666666664</v>
      </c>
      <c r="G640">
        <v>60</v>
      </c>
      <c r="H640" t="s">
        <v>16</v>
      </c>
      <c r="I640" t="s">
        <v>12</v>
      </c>
      <c r="J640" s="10" t="s">
        <v>142</v>
      </c>
      <c r="K640" s="10"/>
    </row>
    <row r="641" spans="1:11">
      <c r="A641" s="10">
        <v>640</v>
      </c>
      <c r="B641" t="s">
        <v>37</v>
      </c>
      <c r="C641">
        <v>6</v>
      </c>
      <c r="D641" t="s">
        <v>45</v>
      </c>
      <c r="F641" s="20">
        <v>43952.791666666664</v>
      </c>
      <c r="G641">
        <v>60</v>
      </c>
      <c r="H641" t="s">
        <v>18</v>
      </c>
      <c r="I641" t="s">
        <v>12</v>
      </c>
      <c r="J641" s="10" t="s">
        <v>142</v>
      </c>
      <c r="K641" s="10"/>
    </row>
    <row r="642" spans="1:11">
      <c r="A642" s="10">
        <v>641</v>
      </c>
      <c r="B642" t="s">
        <v>40</v>
      </c>
      <c r="C642">
        <v>4</v>
      </c>
      <c r="D642">
        <v>5</v>
      </c>
      <c r="F642" s="20">
        <v>43952.8125</v>
      </c>
      <c r="G642">
        <v>105</v>
      </c>
      <c r="H642" t="s">
        <v>15</v>
      </c>
      <c r="I642" t="s">
        <v>11</v>
      </c>
      <c r="J642" s="10" t="s">
        <v>142</v>
      </c>
      <c r="K642" s="13"/>
    </row>
    <row r="643" spans="1:11">
      <c r="A643" s="10">
        <v>642</v>
      </c>
      <c r="B643" t="s">
        <v>38</v>
      </c>
      <c r="C643">
        <v>4</v>
      </c>
      <c r="D643" t="s">
        <v>45</v>
      </c>
      <c r="F643" s="20">
        <v>43952.8125</v>
      </c>
      <c r="G643">
        <v>105</v>
      </c>
      <c r="H643" t="s">
        <v>17</v>
      </c>
      <c r="I643" t="s">
        <v>11</v>
      </c>
      <c r="J643" s="10" t="s">
        <v>142</v>
      </c>
      <c r="K643" s="13"/>
    </row>
    <row r="644" spans="1:11">
      <c r="A644" s="10">
        <v>643</v>
      </c>
      <c r="B644" t="s">
        <v>43</v>
      </c>
      <c r="C644">
        <v>4</v>
      </c>
      <c r="D644" t="s">
        <v>46</v>
      </c>
      <c r="F644" s="20">
        <v>43952.822916666664</v>
      </c>
      <c r="G644">
        <v>105</v>
      </c>
      <c r="H644" t="s">
        <v>8</v>
      </c>
      <c r="I644" t="s">
        <v>11</v>
      </c>
      <c r="J644" s="10" t="s">
        <v>142</v>
      </c>
      <c r="K644" s="13"/>
    </row>
    <row r="645" spans="1:11">
      <c r="A645" s="10">
        <v>644</v>
      </c>
      <c r="B645" t="s">
        <v>41</v>
      </c>
      <c r="C645">
        <v>2</v>
      </c>
      <c r="D645" t="s">
        <v>128</v>
      </c>
      <c r="F645" s="20">
        <v>43952.833333333336</v>
      </c>
      <c r="G645">
        <v>120</v>
      </c>
      <c r="H645" t="s">
        <v>6</v>
      </c>
      <c r="I645" t="s">
        <v>7</v>
      </c>
      <c r="J645" s="10" t="s">
        <v>142</v>
      </c>
      <c r="K645" s="13"/>
    </row>
    <row r="646" spans="1:11">
      <c r="A646" s="10">
        <v>645</v>
      </c>
      <c r="B646" t="s">
        <v>42</v>
      </c>
      <c r="C646">
        <v>2</v>
      </c>
      <c r="D646" t="s">
        <v>49</v>
      </c>
      <c r="F646" s="20">
        <v>43952.833333333336</v>
      </c>
      <c r="G646">
        <v>120</v>
      </c>
      <c r="H646" t="s">
        <v>7</v>
      </c>
      <c r="I646" t="s">
        <v>7</v>
      </c>
      <c r="J646" s="10" t="s">
        <v>142</v>
      </c>
      <c r="K646" s="13"/>
    </row>
    <row r="647" spans="1:11">
      <c r="A647" s="10">
        <v>646</v>
      </c>
      <c r="B647" t="s">
        <v>41</v>
      </c>
      <c r="C647">
        <v>1</v>
      </c>
      <c r="D647" t="s">
        <v>128</v>
      </c>
      <c r="F647" s="20">
        <v>43953.375</v>
      </c>
      <c r="G647">
        <v>120</v>
      </c>
      <c r="H647" t="s">
        <v>6</v>
      </c>
      <c r="I647" t="s">
        <v>6</v>
      </c>
      <c r="J647" s="10" t="s">
        <v>119</v>
      </c>
      <c r="K647" s="13"/>
    </row>
    <row r="648" spans="1:11">
      <c r="A648" s="10">
        <v>647</v>
      </c>
      <c r="B648" t="s">
        <v>38</v>
      </c>
      <c r="C648">
        <v>1</v>
      </c>
      <c r="D648" t="s">
        <v>45</v>
      </c>
      <c r="F648" s="20">
        <v>43953.375</v>
      </c>
      <c r="G648">
        <v>120</v>
      </c>
      <c r="H648" t="s">
        <v>17</v>
      </c>
      <c r="I648" t="s">
        <v>6</v>
      </c>
      <c r="J648" s="10" t="s">
        <v>119</v>
      </c>
      <c r="K648" s="13"/>
    </row>
    <row r="649" spans="1:11">
      <c r="A649" s="10">
        <v>648</v>
      </c>
      <c r="B649" t="s">
        <v>42</v>
      </c>
      <c r="C649">
        <v>2</v>
      </c>
      <c r="D649" t="s">
        <v>49</v>
      </c>
      <c r="F649" s="20">
        <v>43953.375</v>
      </c>
      <c r="G649">
        <v>120</v>
      </c>
      <c r="H649" t="s">
        <v>7</v>
      </c>
      <c r="I649" t="s">
        <v>7</v>
      </c>
      <c r="J649" s="10" t="s">
        <v>119</v>
      </c>
      <c r="K649" s="13"/>
    </row>
    <row r="650" spans="1:11">
      <c r="A650" s="10">
        <v>649</v>
      </c>
      <c r="B650" t="s">
        <v>37</v>
      </c>
      <c r="C650">
        <v>3</v>
      </c>
      <c r="D650" t="s">
        <v>45</v>
      </c>
      <c r="F650" s="20">
        <v>43953.375</v>
      </c>
      <c r="G650">
        <v>105</v>
      </c>
      <c r="H650" t="s">
        <v>18</v>
      </c>
      <c r="I650" t="s">
        <v>10</v>
      </c>
      <c r="J650" s="10" t="s">
        <v>119</v>
      </c>
      <c r="K650" s="13"/>
    </row>
    <row r="651" spans="1:11">
      <c r="A651" s="10">
        <v>650</v>
      </c>
      <c r="B651" t="s">
        <v>43</v>
      </c>
      <c r="C651">
        <v>6</v>
      </c>
      <c r="D651" t="s">
        <v>46</v>
      </c>
      <c r="F651" s="20">
        <v>43953.375</v>
      </c>
      <c r="G651">
        <v>60</v>
      </c>
      <c r="H651" t="s">
        <v>8</v>
      </c>
      <c r="I651" t="s">
        <v>12</v>
      </c>
      <c r="J651" s="10" t="s">
        <v>119</v>
      </c>
      <c r="K651" s="10"/>
    </row>
    <row r="652" spans="1:11">
      <c r="A652" s="10">
        <v>651</v>
      </c>
      <c r="B652" t="s">
        <v>40</v>
      </c>
      <c r="C652">
        <v>6</v>
      </c>
      <c r="D652">
        <v>5</v>
      </c>
      <c r="F652" s="20">
        <v>43953.375</v>
      </c>
      <c r="G652">
        <v>60</v>
      </c>
      <c r="H652" t="s">
        <v>15</v>
      </c>
      <c r="I652" t="s">
        <v>12</v>
      </c>
      <c r="J652" s="10" t="s">
        <v>119</v>
      </c>
      <c r="K652" s="10"/>
    </row>
    <row r="653" spans="1:11">
      <c r="A653" s="10">
        <v>652</v>
      </c>
      <c r="B653" t="s">
        <v>39</v>
      </c>
      <c r="C653">
        <v>6</v>
      </c>
      <c r="D653" t="s">
        <v>50</v>
      </c>
      <c r="F653" s="20">
        <v>43953.375</v>
      </c>
      <c r="G653">
        <v>60</v>
      </c>
      <c r="H653" t="s">
        <v>16</v>
      </c>
      <c r="I653" t="s">
        <v>12</v>
      </c>
      <c r="J653" s="10" t="s">
        <v>119</v>
      </c>
      <c r="K653" s="10"/>
    </row>
    <row r="654" spans="1:11">
      <c r="A654" s="10">
        <v>653</v>
      </c>
      <c r="B654" t="s">
        <v>44</v>
      </c>
      <c r="C654">
        <v>7</v>
      </c>
      <c r="D654" t="s">
        <v>51</v>
      </c>
      <c r="F654" s="20">
        <v>43953.375</v>
      </c>
      <c r="G654">
        <v>60</v>
      </c>
      <c r="H654" t="s">
        <v>14</v>
      </c>
      <c r="I654" t="s">
        <v>13</v>
      </c>
      <c r="J654" s="10" t="s">
        <v>119</v>
      </c>
      <c r="K654" s="10"/>
    </row>
    <row r="655" spans="1:11">
      <c r="A655" s="10">
        <v>654</v>
      </c>
      <c r="B655" t="s">
        <v>43</v>
      </c>
      <c r="C655">
        <v>4</v>
      </c>
      <c r="D655" t="s">
        <v>46</v>
      </c>
      <c r="F655" s="20">
        <v>43953.416666666664</v>
      </c>
      <c r="G655">
        <v>105</v>
      </c>
      <c r="H655" t="s">
        <v>8</v>
      </c>
      <c r="I655" t="s">
        <v>11</v>
      </c>
      <c r="J655" s="10" t="s">
        <v>119</v>
      </c>
      <c r="K655" s="13"/>
    </row>
    <row r="656" spans="1:11">
      <c r="A656" s="10">
        <v>655</v>
      </c>
      <c r="B656" t="s">
        <v>40</v>
      </c>
      <c r="C656">
        <v>4</v>
      </c>
      <c r="D656">
        <v>5</v>
      </c>
      <c r="F656" s="20">
        <v>43953.416666666664</v>
      </c>
      <c r="G656">
        <v>105</v>
      </c>
      <c r="H656" t="s">
        <v>15</v>
      </c>
      <c r="I656" t="s">
        <v>11</v>
      </c>
      <c r="J656" s="10" t="s">
        <v>119</v>
      </c>
      <c r="K656" s="13"/>
    </row>
    <row r="657" spans="1:11">
      <c r="A657" s="10">
        <v>656</v>
      </c>
      <c r="B657" t="s">
        <v>44</v>
      </c>
      <c r="C657">
        <v>5</v>
      </c>
      <c r="D657" t="s">
        <v>51</v>
      </c>
      <c r="F657" s="20">
        <v>43953.416666666664</v>
      </c>
      <c r="G657">
        <v>90</v>
      </c>
      <c r="H657" t="s">
        <v>14</v>
      </c>
      <c r="I657" t="s">
        <v>9</v>
      </c>
      <c r="J657" s="10" t="s">
        <v>119</v>
      </c>
      <c r="K657" s="10"/>
    </row>
    <row r="658" spans="1:11">
      <c r="A658" s="10">
        <v>657</v>
      </c>
      <c r="B658" t="s">
        <v>39</v>
      </c>
      <c r="C658">
        <v>6</v>
      </c>
      <c r="D658" t="s">
        <v>50</v>
      </c>
      <c r="F658" s="20">
        <v>43953.416666666664</v>
      </c>
      <c r="G658">
        <v>60</v>
      </c>
      <c r="H658" t="s">
        <v>16</v>
      </c>
      <c r="I658" t="s">
        <v>12</v>
      </c>
      <c r="J658" s="10" t="s">
        <v>119</v>
      </c>
      <c r="K658" s="10"/>
    </row>
    <row r="659" spans="1:11">
      <c r="A659" s="10">
        <v>658</v>
      </c>
      <c r="B659" t="s">
        <v>37</v>
      </c>
      <c r="C659">
        <v>3</v>
      </c>
      <c r="D659" t="s">
        <v>45</v>
      </c>
      <c r="F659" s="20">
        <v>43953.447916666664</v>
      </c>
      <c r="G659">
        <v>105</v>
      </c>
      <c r="H659" t="s">
        <v>18</v>
      </c>
      <c r="I659" t="s">
        <v>10</v>
      </c>
      <c r="J659" s="10" t="s">
        <v>119</v>
      </c>
      <c r="K659" s="13"/>
    </row>
    <row r="660" spans="1:11">
      <c r="A660" s="10">
        <v>659</v>
      </c>
      <c r="B660" t="s">
        <v>41</v>
      </c>
      <c r="C660">
        <v>1</v>
      </c>
      <c r="D660" t="s">
        <v>128</v>
      </c>
      <c r="F660" s="20">
        <v>43953.458333333336</v>
      </c>
      <c r="G660">
        <v>120</v>
      </c>
      <c r="H660" t="s">
        <v>6</v>
      </c>
      <c r="I660" t="s">
        <v>6</v>
      </c>
      <c r="J660" s="10" t="s">
        <v>119</v>
      </c>
      <c r="K660" s="13"/>
    </row>
    <row r="661" spans="1:11">
      <c r="A661" s="10">
        <v>660</v>
      </c>
      <c r="B661" t="s">
        <v>42</v>
      </c>
      <c r="C661">
        <v>2</v>
      </c>
      <c r="D661" t="s">
        <v>49</v>
      </c>
      <c r="F661" s="20">
        <v>43953.458333333336</v>
      </c>
      <c r="G661">
        <v>120</v>
      </c>
      <c r="H661" t="s">
        <v>7</v>
      </c>
      <c r="I661" t="s">
        <v>7</v>
      </c>
      <c r="J661" s="10" t="s">
        <v>119</v>
      </c>
      <c r="K661" s="13"/>
    </row>
    <row r="662" spans="1:11">
      <c r="A662" s="10">
        <v>661</v>
      </c>
      <c r="B662" t="s">
        <v>38</v>
      </c>
      <c r="C662">
        <v>2</v>
      </c>
      <c r="D662" t="s">
        <v>45</v>
      </c>
      <c r="F662" s="20">
        <v>43953.458333333336</v>
      </c>
      <c r="G662">
        <v>120</v>
      </c>
      <c r="H662" t="s">
        <v>17</v>
      </c>
      <c r="I662" t="s">
        <v>7</v>
      </c>
      <c r="J662" s="10" t="s">
        <v>119</v>
      </c>
      <c r="K662" s="13"/>
    </row>
    <row r="663" spans="1:11">
      <c r="A663" s="10">
        <v>662</v>
      </c>
      <c r="B663" t="s">
        <v>39</v>
      </c>
      <c r="C663">
        <v>5</v>
      </c>
      <c r="D663" t="s">
        <v>50</v>
      </c>
      <c r="F663" s="20">
        <v>43953.458333333336</v>
      </c>
      <c r="G663">
        <v>90</v>
      </c>
      <c r="H663" t="s">
        <v>16</v>
      </c>
      <c r="I663" t="s">
        <v>9</v>
      </c>
      <c r="J663" s="10" t="s">
        <v>119</v>
      </c>
      <c r="K663" s="10"/>
    </row>
    <row r="664" spans="1:11">
      <c r="A664" s="10">
        <v>663</v>
      </c>
      <c r="B664" t="s">
        <v>44</v>
      </c>
      <c r="C664">
        <v>5</v>
      </c>
      <c r="D664" t="s">
        <v>51</v>
      </c>
      <c r="F664" s="20">
        <v>43953.479166666664</v>
      </c>
      <c r="G664">
        <v>90</v>
      </c>
      <c r="H664" t="s">
        <v>14</v>
      </c>
      <c r="I664" t="s">
        <v>9</v>
      </c>
      <c r="J664" s="10" t="s">
        <v>119</v>
      </c>
      <c r="K664" s="10"/>
    </row>
    <row r="665" spans="1:11">
      <c r="A665" s="10">
        <v>664</v>
      </c>
      <c r="B665" t="s">
        <v>43</v>
      </c>
      <c r="C665">
        <v>4</v>
      </c>
      <c r="D665" t="s">
        <v>46</v>
      </c>
      <c r="F665" s="20">
        <v>43953.489583333336</v>
      </c>
      <c r="G665">
        <v>105</v>
      </c>
      <c r="H665" t="s">
        <v>8</v>
      </c>
      <c r="I665" t="s">
        <v>11</v>
      </c>
      <c r="J665" s="10" t="s">
        <v>119</v>
      </c>
      <c r="K665" s="13"/>
    </row>
    <row r="666" spans="1:11">
      <c r="A666" s="10">
        <v>665</v>
      </c>
      <c r="B666" t="s">
        <v>40</v>
      </c>
      <c r="C666">
        <v>4</v>
      </c>
      <c r="D666">
        <v>5</v>
      </c>
      <c r="F666" s="20">
        <v>43953.489583333336</v>
      </c>
      <c r="G666">
        <v>105</v>
      </c>
      <c r="H666" t="s">
        <v>15</v>
      </c>
      <c r="I666" t="s">
        <v>11</v>
      </c>
      <c r="J666" s="10" t="s">
        <v>119</v>
      </c>
      <c r="K666" s="13"/>
    </row>
    <row r="667" spans="1:11">
      <c r="A667" s="10">
        <v>666</v>
      </c>
      <c r="B667" t="s">
        <v>37</v>
      </c>
      <c r="C667">
        <v>3</v>
      </c>
      <c r="D667" t="s">
        <v>45</v>
      </c>
      <c r="F667" s="20">
        <v>43953.520833333336</v>
      </c>
      <c r="G667">
        <v>105</v>
      </c>
      <c r="H667" t="s">
        <v>18</v>
      </c>
      <c r="I667" t="s">
        <v>10</v>
      </c>
      <c r="J667" s="10" t="s">
        <v>119</v>
      </c>
      <c r="K667" s="13"/>
    </row>
    <row r="668" spans="1:11">
      <c r="A668" s="10">
        <v>667</v>
      </c>
      <c r="B668" t="s">
        <v>39</v>
      </c>
      <c r="C668">
        <v>5</v>
      </c>
      <c r="D668" t="s">
        <v>50</v>
      </c>
      <c r="F668" s="20">
        <v>43953.520833333336</v>
      </c>
      <c r="G668">
        <v>90</v>
      </c>
      <c r="H668" t="s">
        <v>16</v>
      </c>
      <c r="I668" t="s">
        <v>9</v>
      </c>
      <c r="J668" s="10" t="s">
        <v>119</v>
      </c>
      <c r="K668" s="10"/>
    </row>
    <row r="669" spans="1:11">
      <c r="A669" s="10">
        <v>668</v>
      </c>
      <c r="B669" t="s">
        <v>41</v>
      </c>
      <c r="C669">
        <v>1</v>
      </c>
      <c r="D669" t="s">
        <v>128</v>
      </c>
      <c r="F669" s="20">
        <v>43953.541666666664</v>
      </c>
      <c r="G669">
        <v>120</v>
      </c>
      <c r="H669" t="s">
        <v>6</v>
      </c>
      <c r="I669" t="s">
        <v>6</v>
      </c>
      <c r="J669" s="10" t="s">
        <v>119</v>
      </c>
      <c r="K669" s="13"/>
    </row>
    <row r="670" spans="1:11">
      <c r="A670" s="10">
        <v>669</v>
      </c>
      <c r="B670" t="s">
        <v>42</v>
      </c>
      <c r="C670">
        <v>2</v>
      </c>
      <c r="D670" t="s">
        <v>49</v>
      </c>
      <c r="F670" s="20">
        <v>43953.541666666664</v>
      </c>
      <c r="G670">
        <v>120</v>
      </c>
      <c r="H670" t="s">
        <v>7</v>
      </c>
      <c r="I670" t="s">
        <v>7</v>
      </c>
      <c r="J670" s="10" t="s">
        <v>119</v>
      </c>
      <c r="K670" s="13"/>
    </row>
    <row r="671" spans="1:11">
      <c r="A671" s="10">
        <v>670</v>
      </c>
      <c r="B671" t="s">
        <v>38</v>
      </c>
      <c r="C671">
        <v>2</v>
      </c>
      <c r="D671" t="s">
        <v>45</v>
      </c>
      <c r="F671" s="20">
        <v>43953.541666666664</v>
      </c>
      <c r="G671">
        <v>120</v>
      </c>
      <c r="H671" t="s">
        <v>17</v>
      </c>
      <c r="I671" t="s">
        <v>7</v>
      </c>
      <c r="J671" s="10" t="s">
        <v>119</v>
      </c>
      <c r="K671" s="13"/>
    </row>
    <row r="672" spans="1:11">
      <c r="A672" s="10">
        <v>671</v>
      </c>
      <c r="B672" t="s">
        <v>44</v>
      </c>
      <c r="C672">
        <v>5</v>
      </c>
      <c r="D672" t="s">
        <v>51</v>
      </c>
      <c r="F672" s="20">
        <v>43953.541666666664</v>
      </c>
      <c r="G672">
        <v>90</v>
      </c>
      <c r="H672" t="s">
        <v>14</v>
      </c>
      <c r="I672" t="s">
        <v>9</v>
      </c>
      <c r="J672" s="10" t="s">
        <v>119</v>
      </c>
      <c r="K672" s="10"/>
    </row>
    <row r="673" spans="1:11">
      <c r="A673" s="10">
        <v>672</v>
      </c>
      <c r="B673" t="s">
        <v>43</v>
      </c>
      <c r="C673">
        <v>4</v>
      </c>
      <c r="D673" t="s">
        <v>46</v>
      </c>
      <c r="F673" s="20">
        <v>43953.572916666664</v>
      </c>
      <c r="G673">
        <v>105</v>
      </c>
      <c r="H673" t="s">
        <v>8</v>
      </c>
      <c r="I673" t="s">
        <v>11</v>
      </c>
      <c r="J673" s="10" t="s">
        <v>119</v>
      </c>
      <c r="K673" s="13"/>
    </row>
    <row r="674" spans="1:11">
      <c r="A674" s="10">
        <v>673</v>
      </c>
      <c r="B674" t="s">
        <v>40</v>
      </c>
      <c r="C674">
        <v>4</v>
      </c>
      <c r="D674">
        <v>5</v>
      </c>
      <c r="F674" s="20">
        <v>43953.572916666664</v>
      </c>
      <c r="G674">
        <v>105</v>
      </c>
      <c r="H674" t="s">
        <v>15</v>
      </c>
      <c r="I674" t="s">
        <v>11</v>
      </c>
      <c r="J674" s="10" t="s">
        <v>119</v>
      </c>
      <c r="K674" s="13"/>
    </row>
    <row r="675" spans="1:11">
      <c r="A675" s="10">
        <v>674</v>
      </c>
      <c r="B675" t="s">
        <v>39</v>
      </c>
      <c r="C675">
        <v>5</v>
      </c>
      <c r="D675" t="s">
        <v>50</v>
      </c>
      <c r="F675" s="20">
        <v>43953.583333333336</v>
      </c>
      <c r="G675">
        <v>90</v>
      </c>
      <c r="H675" t="s">
        <v>16</v>
      </c>
      <c r="I675" t="s">
        <v>9</v>
      </c>
      <c r="J675" s="10" t="s">
        <v>119</v>
      </c>
      <c r="K675" s="10"/>
    </row>
    <row r="676" spans="1:11">
      <c r="A676" s="10">
        <v>675</v>
      </c>
      <c r="B676" t="s">
        <v>37</v>
      </c>
      <c r="C676">
        <v>3</v>
      </c>
      <c r="D676" t="s">
        <v>45</v>
      </c>
      <c r="F676" s="20">
        <v>43953.614583333336</v>
      </c>
      <c r="G676">
        <v>105</v>
      </c>
      <c r="H676" t="s">
        <v>18</v>
      </c>
      <c r="I676" t="s">
        <v>10</v>
      </c>
      <c r="J676" s="10" t="s">
        <v>119</v>
      </c>
      <c r="K676" s="13"/>
    </row>
    <row r="677" spans="1:11">
      <c r="A677" s="10">
        <v>676</v>
      </c>
      <c r="B677" t="s">
        <v>41</v>
      </c>
      <c r="C677">
        <v>1</v>
      </c>
      <c r="D677" t="s">
        <v>128</v>
      </c>
      <c r="F677" s="20">
        <v>43953.625</v>
      </c>
      <c r="G677">
        <v>120</v>
      </c>
      <c r="H677" t="s">
        <v>6</v>
      </c>
      <c r="I677" t="s">
        <v>6</v>
      </c>
      <c r="J677" s="10" t="s">
        <v>119</v>
      </c>
      <c r="K677" s="13"/>
    </row>
    <row r="678" spans="1:11">
      <c r="A678" s="10">
        <v>677</v>
      </c>
      <c r="B678" t="s">
        <v>42</v>
      </c>
      <c r="C678">
        <v>2</v>
      </c>
      <c r="D678" t="s">
        <v>49</v>
      </c>
      <c r="F678" s="20">
        <v>43953.625</v>
      </c>
      <c r="G678">
        <v>120</v>
      </c>
      <c r="H678" t="s">
        <v>7</v>
      </c>
      <c r="I678" t="s">
        <v>7</v>
      </c>
      <c r="J678" s="10" t="s">
        <v>119</v>
      </c>
      <c r="K678" s="13"/>
    </row>
    <row r="679" spans="1:11">
      <c r="A679" s="10">
        <v>678</v>
      </c>
      <c r="B679" t="s">
        <v>44</v>
      </c>
      <c r="C679">
        <v>5</v>
      </c>
      <c r="D679" t="s">
        <v>51</v>
      </c>
      <c r="F679" s="20">
        <v>43953.625</v>
      </c>
      <c r="G679">
        <v>90</v>
      </c>
      <c r="H679" t="s">
        <v>14</v>
      </c>
      <c r="I679" t="s">
        <v>9</v>
      </c>
      <c r="J679" s="10" t="s">
        <v>119</v>
      </c>
      <c r="K679" s="10"/>
    </row>
    <row r="680" spans="1:11">
      <c r="A680" s="10">
        <v>679</v>
      </c>
      <c r="B680" t="s">
        <v>38</v>
      </c>
      <c r="C680">
        <v>2</v>
      </c>
      <c r="D680" t="s">
        <v>45</v>
      </c>
      <c r="F680" s="20">
        <v>43953.635416666664</v>
      </c>
      <c r="G680">
        <v>120</v>
      </c>
      <c r="H680" t="s">
        <v>17</v>
      </c>
      <c r="I680" t="s">
        <v>7</v>
      </c>
      <c r="J680" s="10" t="s">
        <v>119</v>
      </c>
      <c r="K680" s="13"/>
    </row>
    <row r="681" spans="1:11">
      <c r="A681" s="10">
        <v>680</v>
      </c>
      <c r="B681" t="s">
        <v>39</v>
      </c>
      <c r="C681">
        <v>3</v>
      </c>
      <c r="D681" t="s">
        <v>50</v>
      </c>
      <c r="F681" s="20">
        <v>43953.645833333336</v>
      </c>
      <c r="G681">
        <v>105</v>
      </c>
      <c r="H681" t="s">
        <v>16</v>
      </c>
      <c r="I681" t="s">
        <v>10</v>
      </c>
      <c r="J681" s="10" t="s">
        <v>119</v>
      </c>
      <c r="K681" s="13"/>
    </row>
    <row r="682" spans="1:11">
      <c r="A682" s="10">
        <v>681</v>
      </c>
      <c r="B682" t="s">
        <v>43</v>
      </c>
      <c r="C682">
        <v>4</v>
      </c>
      <c r="D682" t="s">
        <v>46</v>
      </c>
      <c r="F682" s="20">
        <v>43953.645833333336</v>
      </c>
      <c r="G682">
        <v>105</v>
      </c>
      <c r="H682" t="s">
        <v>8</v>
      </c>
      <c r="I682" t="s">
        <v>11</v>
      </c>
      <c r="J682" s="10" t="s">
        <v>119</v>
      </c>
      <c r="K682" s="13"/>
    </row>
    <row r="683" spans="1:11">
      <c r="A683" s="10">
        <v>682</v>
      </c>
      <c r="B683" t="s">
        <v>40</v>
      </c>
      <c r="C683">
        <v>4</v>
      </c>
      <c r="D683">
        <v>5</v>
      </c>
      <c r="F683" s="20">
        <v>43953.645833333336</v>
      </c>
      <c r="G683">
        <v>105</v>
      </c>
      <c r="H683" t="s">
        <v>15</v>
      </c>
      <c r="I683" t="s">
        <v>11</v>
      </c>
      <c r="J683" s="10" t="s">
        <v>119</v>
      </c>
      <c r="K683" s="13"/>
    </row>
    <row r="684" spans="1:11">
      <c r="A684" s="10">
        <v>683</v>
      </c>
      <c r="B684" t="s">
        <v>37</v>
      </c>
      <c r="C684">
        <v>3</v>
      </c>
      <c r="D684" t="s">
        <v>45</v>
      </c>
      <c r="F684" s="20">
        <v>43953.6875</v>
      </c>
      <c r="G684">
        <v>105</v>
      </c>
      <c r="H684" t="s">
        <v>18</v>
      </c>
      <c r="I684" t="s">
        <v>10</v>
      </c>
      <c r="J684" s="10" t="s">
        <v>119</v>
      </c>
      <c r="K684" s="13"/>
    </row>
    <row r="685" spans="1:11">
      <c r="A685" s="10">
        <v>684</v>
      </c>
      <c r="B685" t="s">
        <v>44</v>
      </c>
      <c r="C685">
        <v>5</v>
      </c>
      <c r="D685" t="s">
        <v>51</v>
      </c>
      <c r="F685" s="20">
        <v>43953.6875</v>
      </c>
      <c r="G685">
        <v>90</v>
      </c>
      <c r="H685" t="s">
        <v>14</v>
      </c>
      <c r="I685" t="s">
        <v>9</v>
      </c>
      <c r="J685" s="10" t="s">
        <v>119</v>
      </c>
      <c r="K685" s="10"/>
    </row>
    <row r="686" spans="1:11">
      <c r="A686" s="10">
        <v>685</v>
      </c>
      <c r="B686" t="s">
        <v>41</v>
      </c>
      <c r="C686">
        <v>1</v>
      </c>
      <c r="D686" t="s">
        <v>128</v>
      </c>
      <c r="F686" s="20">
        <v>43953.708333333336</v>
      </c>
      <c r="G686">
        <v>120</v>
      </c>
      <c r="H686" t="s">
        <v>6</v>
      </c>
      <c r="I686" t="s">
        <v>6</v>
      </c>
      <c r="J686" s="10" t="s">
        <v>119</v>
      </c>
      <c r="K686" s="13"/>
    </row>
    <row r="687" spans="1:11">
      <c r="A687" s="10">
        <v>686</v>
      </c>
      <c r="B687" t="s">
        <v>42</v>
      </c>
      <c r="C687">
        <v>2</v>
      </c>
      <c r="D687" t="s">
        <v>49</v>
      </c>
      <c r="F687" s="20">
        <v>43953.708333333336</v>
      </c>
      <c r="G687">
        <v>120</v>
      </c>
      <c r="H687" t="s">
        <v>7</v>
      </c>
      <c r="I687" t="s">
        <v>7</v>
      </c>
      <c r="J687" s="10" t="s">
        <v>119</v>
      </c>
      <c r="K687" s="13"/>
    </row>
    <row r="688" spans="1:11">
      <c r="A688" s="10">
        <v>687</v>
      </c>
      <c r="B688" t="s">
        <v>39</v>
      </c>
      <c r="C688">
        <v>3</v>
      </c>
      <c r="D688" t="s">
        <v>50</v>
      </c>
      <c r="F688" s="20">
        <v>43953.71875</v>
      </c>
      <c r="G688">
        <v>105</v>
      </c>
      <c r="H688" t="s">
        <v>16</v>
      </c>
      <c r="I688" t="s">
        <v>10</v>
      </c>
      <c r="J688" s="10" t="s">
        <v>119</v>
      </c>
      <c r="K688" s="13"/>
    </row>
    <row r="689" spans="1:11">
      <c r="A689" s="10">
        <v>688</v>
      </c>
      <c r="B689" t="s">
        <v>38</v>
      </c>
      <c r="C689">
        <v>3</v>
      </c>
      <c r="D689" t="s">
        <v>45</v>
      </c>
      <c r="F689" s="20">
        <v>43953.71875</v>
      </c>
      <c r="G689">
        <v>105</v>
      </c>
      <c r="H689" t="s">
        <v>17</v>
      </c>
      <c r="I689" t="s">
        <v>10</v>
      </c>
      <c r="J689" s="10" t="s">
        <v>119</v>
      </c>
      <c r="K689" s="13"/>
    </row>
    <row r="690" spans="1:11">
      <c r="A690" s="10">
        <v>689</v>
      </c>
      <c r="B690" t="s">
        <v>43</v>
      </c>
      <c r="C690">
        <v>4</v>
      </c>
      <c r="D690" t="s">
        <v>46</v>
      </c>
      <c r="F690" s="20">
        <v>43953.71875</v>
      </c>
      <c r="G690">
        <v>105</v>
      </c>
      <c r="H690" t="s">
        <v>8</v>
      </c>
      <c r="I690" t="s">
        <v>11</v>
      </c>
      <c r="J690" s="10" t="s">
        <v>119</v>
      </c>
      <c r="K690" s="13"/>
    </row>
    <row r="691" spans="1:11">
      <c r="A691" s="10">
        <v>690</v>
      </c>
      <c r="B691" t="s">
        <v>40</v>
      </c>
      <c r="C691">
        <v>4</v>
      </c>
      <c r="D691">
        <v>5</v>
      </c>
      <c r="F691" s="20">
        <v>43953.71875</v>
      </c>
      <c r="G691">
        <v>105</v>
      </c>
      <c r="H691" t="s">
        <v>15</v>
      </c>
      <c r="I691" t="s">
        <v>11</v>
      </c>
      <c r="J691" s="10" t="s">
        <v>119</v>
      </c>
      <c r="K691" s="13"/>
    </row>
    <row r="692" spans="1:11">
      <c r="A692" s="10">
        <v>691</v>
      </c>
      <c r="B692" t="s">
        <v>41</v>
      </c>
      <c r="C692">
        <v>1</v>
      </c>
      <c r="D692" t="s">
        <v>128</v>
      </c>
      <c r="F692" s="20">
        <v>43955.75</v>
      </c>
      <c r="G692">
        <v>120</v>
      </c>
      <c r="H692" t="s">
        <v>6</v>
      </c>
      <c r="I692" t="s">
        <v>6</v>
      </c>
      <c r="J692" s="10" t="s">
        <v>104</v>
      </c>
      <c r="K692" s="13"/>
    </row>
    <row r="693" spans="1:11">
      <c r="A693" s="10">
        <v>692</v>
      </c>
      <c r="B693" t="s">
        <v>38</v>
      </c>
      <c r="C693">
        <v>1</v>
      </c>
      <c r="D693" t="s">
        <v>45</v>
      </c>
      <c r="F693" s="20">
        <v>43955.75</v>
      </c>
      <c r="G693">
        <v>120</v>
      </c>
      <c r="H693" t="s">
        <v>17</v>
      </c>
      <c r="I693" t="s">
        <v>6</v>
      </c>
      <c r="J693" s="10" t="s">
        <v>104</v>
      </c>
      <c r="K693" s="13"/>
    </row>
    <row r="694" spans="1:11">
      <c r="A694" s="10">
        <v>693</v>
      </c>
      <c r="B694" t="s">
        <v>42</v>
      </c>
      <c r="C694">
        <v>2</v>
      </c>
      <c r="D694" t="s">
        <v>49</v>
      </c>
      <c r="F694" s="20">
        <v>43955.75</v>
      </c>
      <c r="G694">
        <v>120</v>
      </c>
      <c r="H694" t="s">
        <v>7</v>
      </c>
      <c r="I694" t="s">
        <v>7</v>
      </c>
      <c r="J694" s="10" t="s">
        <v>104</v>
      </c>
      <c r="K694" s="13"/>
    </row>
    <row r="695" spans="1:11">
      <c r="A695" s="10">
        <v>694</v>
      </c>
      <c r="B695" t="s">
        <v>37</v>
      </c>
      <c r="C695">
        <v>2</v>
      </c>
      <c r="D695" t="s">
        <v>45</v>
      </c>
      <c r="F695" s="20">
        <v>43955.75</v>
      </c>
      <c r="G695">
        <v>120</v>
      </c>
      <c r="H695" t="s">
        <v>18</v>
      </c>
      <c r="I695" t="s">
        <v>7</v>
      </c>
      <c r="J695" s="10" t="s">
        <v>104</v>
      </c>
      <c r="K695" s="13"/>
    </row>
    <row r="696" spans="1:11">
      <c r="A696" s="10">
        <v>695</v>
      </c>
      <c r="B696" t="s">
        <v>39</v>
      </c>
      <c r="C696">
        <v>3</v>
      </c>
      <c r="D696" t="s">
        <v>50</v>
      </c>
      <c r="F696" s="20">
        <v>43955.75</v>
      </c>
      <c r="G696">
        <v>105</v>
      </c>
      <c r="H696" t="s">
        <v>16</v>
      </c>
      <c r="I696" t="s">
        <v>10</v>
      </c>
      <c r="J696" s="10" t="s">
        <v>104</v>
      </c>
      <c r="K696" s="13"/>
    </row>
    <row r="697" spans="1:11">
      <c r="A697" s="10">
        <v>696</v>
      </c>
      <c r="B697" t="s">
        <v>43</v>
      </c>
      <c r="C697">
        <v>4</v>
      </c>
      <c r="D697" t="s">
        <v>46</v>
      </c>
      <c r="F697" s="20">
        <v>43955.75</v>
      </c>
      <c r="G697">
        <v>105</v>
      </c>
      <c r="H697" t="s">
        <v>8</v>
      </c>
      <c r="I697" t="s">
        <v>11</v>
      </c>
      <c r="J697" s="10" t="s">
        <v>104</v>
      </c>
      <c r="K697" s="13"/>
    </row>
    <row r="698" spans="1:11">
      <c r="A698" s="10">
        <v>697</v>
      </c>
      <c r="B698" t="s">
        <v>44</v>
      </c>
      <c r="C698">
        <v>5</v>
      </c>
      <c r="D698" t="s">
        <v>51</v>
      </c>
      <c r="F698" s="20">
        <v>43955.75</v>
      </c>
      <c r="G698">
        <v>90</v>
      </c>
      <c r="H698" t="s">
        <v>14</v>
      </c>
      <c r="I698" t="s">
        <v>9</v>
      </c>
      <c r="J698" s="10" t="s">
        <v>104</v>
      </c>
      <c r="K698" s="10"/>
    </row>
    <row r="699" spans="1:11">
      <c r="A699" s="10">
        <v>698</v>
      </c>
      <c r="B699" t="s">
        <v>40</v>
      </c>
      <c r="C699">
        <v>5</v>
      </c>
      <c r="D699">
        <v>5</v>
      </c>
      <c r="F699" s="20">
        <v>43955.75</v>
      </c>
      <c r="G699">
        <v>90</v>
      </c>
      <c r="H699" t="s">
        <v>15</v>
      </c>
      <c r="I699" t="s">
        <v>9</v>
      </c>
      <c r="J699" s="10" t="s">
        <v>104</v>
      </c>
      <c r="K699" s="10"/>
    </row>
    <row r="700" spans="1:11">
      <c r="A700" s="10">
        <v>699</v>
      </c>
      <c r="B700" t="s">
        <v>40</v>
      </c>
      <c r="C700">
        <v>4</v>
      </c>
      <c r="D700">
        <v>5</v>
      </c>
      <c r="F700" s="20">
        <v>43955.8125</v>
      </c>
      <c r="G700">
        <v>105</v>
      </c>
      <c r="H700" t="s">
        <v>15</v>
      </c>
      <c r="I700" t="s">
        <v>11</v>
      </c>
      <c r="J700" s="10" t="s">
        <v>104</v>
      </c>
      <c r="K700" s="13"/>
    </row>
    <row r="701" spans="1:11">
      <c r="A701" s="10">
        <v>700</v>
      </c>
      <c r="B701" t="s">
        <v>44</v>
      </c>
      <c r="C701">
        <v>5</v>
      </c>
      <c r="D701" t="s">
        <v>51</v>
      </c>
      <c r="F701" s="20">
        <v>43955.8125</v>
      </c>
      <c r="G701">
        <v>90</v>
      </c>
      <c r="H701" t="s">
        <v>14</v>
      </c>
      <c r="I701" t="s">
        <v>9</v>
      </c>
      <c r="J701" s="10" t="s">
        <v>104</v>
      </c>
      <c r="K701" s="10"/>
    </row>
    <row r="702" spans="1:11">
      <c r="A702" s="10">
        <v>701</v>
      </c>
      <c r="B702" t="s">
        <v>39</v>
      </c>
      <c r="C702">
        <v>3</v>
      </c>
      <c r="D702" t="s">
        <v>50</v>
      </c>
      <c r="F702" s="20">
        <v>43955.822916666664</v>
      </c>
      <c r="G702">
        <v>105</v>
      </c>
      <c r="H702" t="s">
        <v>16</v>
      </c>
      <c r="I702" t="s">
        <v>10</v>
      </c>
      <c r="J702" s="10" t="s">
        <v>104</v>
      </c>
      <c r="K702" s="13"/>
    </row>
    <row r="703" spans="1:11">
      <c r="A703" s="10">
        <v>702</v>
      </c>
      <c r="B703" t="s">
        <v>43</v>
      </c>
      <c r="C703">
        <v>4</v>
      </c>
      <c r="D703" t="s">
        <v>46</v>
      </c>
      <c r="F703" s="20">
        <v>43955.822916666664</v>
      </c>
      <c r="G703">
        <v>105</v>
      </c>
      <c r="H703" t="s">
        <v>8</v>
      </c>
      <c r="I703" t="s">
        <v>11</v>
      </c>
      <c r="J703" s="10" t="s">
        <v>104</v>
      </c>
      <c r="K703" s="13"/>
    </row>
    <row r="704" spans="1:11">
      <c r="A704" s="10">
        <v>703</v>
      </c>
      <c r="B704" t="s">
        <v>41</v>
      </c>
      <c r="C704">
        <v>1</v>
      </c>
      <c r="D704" t="s">
        <v>128</v>
      </c>
      <c r="F704" s="20">
        <v>43955.833333333336</v>
      </c>
      <c r="G704">
        <v>120</v>
      </c>
      <c r="H704" t="s">
        <v>6</v>
      </c>
      <c r="I704" t="s">
        <v>6</v>
      </c>
      <c r="J704" s="10" t="s">
        <v>104</v>
      </c>
      <c r="K704" s="13"/>
    </row>
    <row r="705" spans="1:11">
      <c r="A705" s="10">
        <v>704</v>
      </c>
      <c r="B705" t="s">
        <v>38</v>
      </c>
      <c r="C705">
        <v>1</v>
      </c>
      <c r="D705" t="s">
        <v>45</v>
      </c>
      <c r="F705" s="20">
        <v>43955.833333333336</v>
      </c>
      <c r="G705">
        <v>120</v>
      </c>
      <c r="H705" t="s">
        <v>17</v>
      </c>
      <c r="I705" t="s">
        <v>6</v>
      </c>
      <c r="J705" s="10" t="s">
        <v>104</v>
      </c>
      <c r="K705" s="13"/>
    </row>
    <row r="706" spans="1:11">
      <c r="A706" s="10">
        <v>705</v>
      </c>
      <c r="B706" t="s">
        <v>42</v>
      </c>
      <c r="C706">
        <v>2</v>
      </c>
      <c r="D706" t="s">
        <v>49</v>
      </c>
      <c r="F706" s="20">
        <v>43955.833333333336</v>
      </c>
      <c r="G706">
        <v>120</v>
      </c>
      <c r="H706" t="s">
        <v>7</v>
      </c>
      <c r="I706" t="s">
        <v>7</v>
      </c>
      <c r="J706" s="10" t="s">
        <v>104</v>
      </c>
      <c r="K706" s="13"/>
    </row>
    <row r="707" spans="1:11">
      <c r="A707" s="10">
        <v>706</v>
      </c>
      <c r="B707" t="s">
        <v>37</v>
      </c>
      <c r="C707">
        <v>2</v>
      </c>
      <c r="D707" t="s">
        <v>45</v>
      </c>
      <c r="F707" s="20">
        <v>43955.833333333336</v>
      </c>
      <c r="G707">
        <v>120</v>
      </c>
      <c r="H707" t="s">
        <v>18</v>
      </c>
      <c r="I707" t="s">
        <v>7</v>
      </c>
      <c r="J707" s="10" t="s">
        <v>104</v>
      </c>
      <c r="K707" s="13"/>
    </row>
    <row r="708" spans="1:11">
      <c r="A708" s="10">
        <v>707</v>
      </c>
      <c r="B708" t="s">
        <v>41</v>
      </c>
      <c r="C708">
        <v>1</v>
      </c>
      <c r="D708" t="s">
        <v>128</v>
      </c>
      <c r="F708" s="20">
        <v>43957.75</v>
      </c>
      <c r="G708">
        <v>120</v>
      </c>
      <c r="H708" t="s">
        <v>6</v>
      </c>
      <c r="I708" t="s">
        <v>6</v>
      </c>
      <c r="J708" s="10" t="s">
        <v>143</v>
      </c>
      <c r="K708" s="13"/>
    </row>
    <row r="709" spans="1:11">
      <c r="A709" s="10">
        <v>708</v>
      </c>
      <c r="B709" t="s">
        <v>42</v>
      </c>
      <c r="C709">
        <v>2</v>
      </c>
      <c r="D709" t="s">
        <v>49</v>
      </c>
      <c r="F709" s="20">
        <v>43957.75</v>
      </c>
      <c r="G709">
        <v>120</v>
      </c>
      <c r="H709" t="s">
        <v>7</v>
      </c>
      <c r="I709" t="s">
        <v>7</v>
      </c>
      <c r="J709" s="10" t="s">
        <v>143</v>
      </c>
      <c r="K709" s="13"/>
    </row>
    <row r="710" spans="1:11">
      <c r="A710" s="10">
        <v>709</v>
      </c>
      <c r="B710" t="s">
        <v>39</v>
      </c>
      <c r="C710">
        <v>3</v>
      </c>
      <c r="D710" t="s">
        <v>50</v>
      </c>
      <c r="F710" s="20">
        <v>43957.75</v>
      </c>
      <c r="G710">
        <v>105</v>
      </c>
      <c r="H710" t="s">
        <v>16</v>
      </c>
      <c r="I710" t="s">
        <v>10</v>
      </c>
      <c r="J710" s="10" t="s">
        <v>143</v>
      </c>
      <c r="K710" s="13"/>
    </row>
    <row r="711" spans="1:11">
      <c r="A711" s="10">
        <v>710</v>
      </c>
      <c r="B711" t="s">
        <v>38</v>
      </c>
      <c r="C711">
        <v>3</v>
      </c>
      <c r="D711" t="s">
        <v>45</v>
      </c>
      <c r="F711" s="20">
        <v>43957.75</v>
      </c>
      <c r="G711">
        <v>105</v>
      </c>
      <c r="H711" t="s">
        <v>17</v>
      </c>
      <c r="I711" t="s">
        <v>10</v>
      </c>
      <c r="J711" s="10" t="s">
        <v>143</v>
      </c>
      <c r="K711" s="13"/>
    </row>
    <row r="712" spans="1:11">
      <c r="A712" s="10">
        <v>711</v>
      </c>
      <c r="B712" t="s">
        <v>37</v>
      </c>
      <c r="C712">
        <v>3</v>
      </c>
      <c r="D712" t="s">
        <v>45</v>
      </c>
      <c r="F712" s="20">
        <v>43957.75</v>
      </c>
      <c r="G712">
        <v>105</v>
      </c>
      <c r="H712" t="s">
        <v>18</v>
      </c>
      <c r="I712" t="s">
        <v>10</v>
      </c>
      <c r="J712" s="10" t="s">
        <v>143</v>
      </c>
      <c r="K712" s="13"/>
    </row>
    <row r="713" spans="1:11">
      <c r="A713" s="10">
        <v>712</v>
      </c>
      <c r="B713" t="s">
        <v>43</v>
      </c>
      <c r="C713">
        <v>4</v>
      </c>
      <c r="D713" t="s">
        <v>46</v>
      </c>
      <c r="F713" s="20">
        <v>43957.75</v>
      </c>
      <c r="G713">
        <v>105</v>
      </c>
      <c r="H713" t="s">
        <v>8</v>
      </c>
      <c r="I713" t="s">
        <v>11</v>
      </c>
      <c r="J713" s="10" t="s">
        <v>143</v>
      </c>
      <c r="K713" s="13"/>
    </row>
    <row r="714" spans="1:11">
      <c r="A714" s="10">
        <v>713</v>
      </c>
      <c r="B714" t="s">
        <v>44</v>
      </c>
      <c r="C714">
        <v>5</v>
      </c>
      <c r="D714" t="s">
        <v>51</v>
      </c>
      <c r="F714" s="20">
        <v>43957.75</v>
      </c>
      <c r="G714">
        <v>90</v>
      </c>
      <c r="H714" t="s">
        <v>14</v>
      </c>
      <c r="I714" t="s">
        <v>9</v>
      </c>
      <c r="J714" s="10" t="s">
        <v>143</v>
      </c>
      <c r="K714" s="10"/>
    </row>
    <row r="715" spans="1:11">
      <c r="A715" s="10">
        <v>714</v>
      </c>
      <c r="B715" t="s">
        <v>40</v>
      </c>
      <c r="C715">
        <v>5</v>
      </c>
      <c r="D715">
        <v>5</v>
      </c>
      <c r="F715" s="20">
        <v>43957.75</v>
      </c>
      <c r="G715">
        <v>90</v>
      </c>
      <c r="H715" t="s">
        <v>15</v>
      </c>
      <c r="I715" t="s">
        <v>9</v>
      </c>
      <c r="J715" s="10" t="s">
        <v>143</v>
      </c>
      <c r="K715" s="10"/>
    </row>
    <row r="716" spans="1:11">
      <c r="A716" s="10">
        <v>715</v>
      </c>
      <c r="B716" t="s">
        <v>40</v>
      </c>
      <c r="C716">
        <v>4</v>
      </c>
      <c r="D716">
        <v>5</v>
      </c>
      <c r="F716" s="20">
        <v>43957.8125</v>
      </c>
      <c r="G716">
        <v>105</v>
      </c>
      <c r="H716" t="s">
        <v>15</v>
      </c>
      <c r="I716" t="s">
        <v>11</v>
      </c>
      <c r="J716" s="10" t="s">
        <v>143</v>
      </c>
      <c r="K716" s="13"/>
    </row>
    <row r="717" spans="1:11">
      <c r="A717" s="10">
        <v>716</v>
      </c>
      <c r="B717" t="s">
        <v>44</v>
      </c>
      <c r="C717">
        <v>5</v>
      </c>
      <c r="D717" t="s">
        <v>51</v>
      </c>
      <c r="F717" s="20">
        <v>43957.8125</v>
      </c>
      <c r="G717">
        <v>90</v>
      </c>
      <c r="H717" t="s">
        <v>14</v>
      </c>
      <c r="I717" t="s">
        <v>9</v>
      </c>
      <c r="J717" s="10" t="s">
        <v>143</v>
      </c>
      <c r="K717" s="10"/>
    </row>
    <row r="718" spans="1:11">
      <c r="A718" s="10">
        <v>717</v>
      </c>
      <c r="B718" t="s">
        <v>39</v>
      </c>
      <c r="C718">
        <v>3</v>
      </c>
      <c r="D718" t="s">
        <v>50</v>
      </c>
      <c r="F718" s="20">
        <v>43957.822916666664</v>
      </c>
      <c r="G718">
        <v>105</v>
      </c>
      <c r="H718" t="s">
        <v>16</v>
      </c>
      <c r="I718" t="s">
        <v>10</v>
      </c>
      <c r="J718" s="10" t="s">
        <v>143</v>
      </c>
      <c r="K718" s="13"/>
    </row>
    <row r="719" spans="1:11">
      <c r="A719" s="10">
        <v>718</v>
      </c>
      <c r="B719" t="s">
        <v>38</v>
      </c>
      <c r="C719">
        <v>3</v>
      </c>
      <c r="D719" t="s">
        <v>45</v>
      </c>
      <c r="F719" s="20">
        <v>43957.822916666664</v>
      </c>
      <c r="G719">
        <v>105</v>
      </c>
      <c r="H719" t="s">
        <v>17</v>
      </c>
      <c r="I719" t="s">
        <v>10</v>
      </c>
      <c r="J719" s="10" t="s">
        <v>143</v>
      </c>
      <c r="K719" s="13"/>
    </row>
    <row r="720" spans="1:11">
      <c r="A720" s="10">
        <v>719</v>
      </c>
      <c r="B720" t="s">
        <v>37</v>
      </c>
      <c r="C720">
        <v>3</v>
      </c>
      <c r="D720" t="s">
        <v>45</v>
      </c>
      <c r="F720" s="20">
        <v>43957.822916666664</v>
      </c>
      <c r="G720">
        <v>105</v>
      </c>
      <c r="H720" t="s">
        <v>18</v>
      </c>
      <c r="I720" t="s">
        <v>10</v>
      </c>
      <c r="J720" s="10" t="s">
        <v>143</v>
      </c>
      <c r="K720" s="13"/>
    </row>
    <row r="721" spans="1:11">
      <c r="A721" s="10">
        <v>720</v>
      </c>
      <c r="B721" t="s">
        <v>43</v>
      </c>
      <c r="C721">
        <v>4</v>
      </c>
      <c r="D721" t="s">
        <v>46</v>
      </c>
      <c r="F721" s="20">
        <v>43957.822916666664</v>
      </c>
      <c r="G721">
        <v>105</v>
      </c>
      <c r="H721" t="s">
        <v>8</v>
      </c>
      <c r="I721" t="s">
        <v>11</v>
      </c>
      <c r="J721" s="10" t="s">
        <v>143</v>
      </c>
      <c r="K721" s="13"/>
    </row>
    <row r="722" spans="1:11">
      <c r="A722" s="10">
        <v>721</v>
      </c>
      <c r="B722" t="s">
        <v>41</v>
      </c>
      <c r="C722">
        <v>1</v>
      </c>
      <c r="D722" t="s">
        <v>128</v>
      </c>
      <c r="F722" s="20">
        <v>43957.833333333336</v>
      </c>
      <c r="G722">
        <v>120</v>
      </c>
      <c r="H722" t="s">
        <v>6</v>
      </c>
      <c r="I722" t="s">
        <v>6</v>
      </c>
      <c r="J722" s="10" t="s">
        <v>143</v>
      </c>
      <c r="K722" s="13"/>
    </row>
    <row r="723" spans="1:11">
      <c r="A723" s="10">
        <v>722</v>
      </c>
      <c r="B723" t="s">
        <v>42</v>
      </c>
      <c r="C723">
        <v>2</v>
      </c>
      <c r="D723" t="s">
        <v>49</v>
      </c>
      <c r="F723" s="20">
        <v>43957.833333333336</v>
      </c>
      <c r="G723">
        <v>120</v>
      </c>
      <c r="H723" t="s">
        <v>7</v>
      </c>
      <c r="I723" t="s">
        <v>7</v>
      </c>
      <c r="J723" s="10" t="s">
        <v>143</v>
      </c>
      <c r="K723" s="13"/>
    </row>
    <row r="724" spans="1:11">
      <c r="A724" s="10">
        <v>723</v>
      </c>
      <c r="B724" t="s">
        <v>41</v>
      </c>
      <c r="C724">
        <v>1</v>
      </c>
      <c r="D724" t="s">
        <v>128</v>
      </c>
      <c r="F724" s="20">
        <v>43960.375</v>
      </c>
      <c r="G724">
        <v>120</v>
      </c>
      <c r="H724" t="s">
        <v>6</v>
      </c>
      <c r="I724" t="s">
        <v>6</v>
      </c>
      <c r="J724" s="10" t="s">
        <v>119</v>
      </c>
      <c r="K724" s="13"/>
    </row>
    <row r="725" spans="1:11">
      <c r="A725" s="10">
        <v>724</v>
      </c>
      <c r="B725" t="s">
        <v>38</v>
      </c>
      <c r="C725">
        <v>1</v>
      </c>
      <c r="D725" t="s">
        <v>45</v>
      </c>
      <c r="F725" s="20">
        <v>43960.375</v>
      </c>
      <c r="G725">
        <v>120</v>
      </c>
      <c r="H725" t="s">
        <v>17</v>
      </c>
      <c r="I725" t="s">
        <v>6</v>
      </c>
      <c r="J725" s="10" t="s">
        <v>119</v>
      </c>
      <c r="K725" s="13"/>
    </row>
    <row r="726" spans="1:11">
      <c r="A726" s="10">
        <v>725</v>
      </c>
      <c r="B726" t="s">
        <v>42</v>
      </c>
      <c r="C726">
        <v>2</v>
      </c>
      <c r="D726" t="s">
        <v>49</v>
      </c>
      <c r="F726" s="20">
        <v>43960.375</v>
      </c>
      <c r="G726">
        <v>120</v>
      </c>
      <c r="H726" t="s">
        <v>7</v>
      </c>
      <c r="I726" t="s">
        <v>7</v>
      </c>
      <c r="J726" s="10" t="s">
        <v>119</v>
      </c>
      <c r="K726" s="13"/>
    </row>
    <row r="727" spans="1:11">
      <c r="A727" s="10">
        <v>726</v>
      </c>
      <c r="B727" t="s">
        <v>37</v>
      </c>
      <c r="C727">
        <v>3</v>
      </c>
      <c r="D727" t="s">
        <v>45</v>
      </c>
      <c r="F727" s="20">
        <v>43960.375</v>
      </c>
      <c r="G727">
        <v>105</v>
      </c>
      <c r="H727" t="s">
        <v>18</v>
      </c>
      <c r="I727" t="s">
        <v>10</v>
      </c>
      <c r="J727" s="10" t="s">
        <v>119</v>
      </c>
      <c r="K727" s="13"/>
    </row>
    <row r="728" spans="1:11">
      <c r="A728" s="10">
        <v>727</v>
      </c>
      <c r="B728" t="s">
        <v>43</v>
      </c>
      <c r="C728">
        <v>6</v>
      </c>
      <c r="D728" t="s">
        <v>46</v>
      </c>
      <c r="F728" s="20">
        <v>43960.375</v>
      </c>
      <c r="G728">
        <v>60</v>
      </c>
      <c r="H728" t="s">
        <v>8</v>
      </c>
      <c r="I728" t="s">
        <v>12</v>
      </c>
      <c r="J728" s="10" t="s">
        <v>119</v>
      </c>
      <c r="K728" s="10"/>
    </row>
    <row r="729" spans="1:11">
      <c r="A729" s="10">
        <v>728</v>
      </c>
      <c r="B729" t="s">
        <v>40</v>
      </c>
      <c r="C729">
        <v>6</v>
      </c>
      <c r="D729">
        <v>5</v>
      </c>
      <c r="F729" s="20">
        <v>43960.375</v>
      </c>
      <c r="G729">
        <v>60</v>
      </c>
      <c r="H729" t="s">
        <v>15</v>
      </c>
      <c r="I729" t="s">
        <v>12</v>
      </c>
      <c r="J729" s="10" t="s">
        <v>119</v>
      </c>
      <c r="K729" s="10"/>
    </row>
    <row r="730" spans="1:11">
      <c r="A730" s="10">
        <v>729</v>
      </c>
      <c r="B730" t="s">
        <v>39</v>
      </c>
      <c r="C730">
        <v>6</v>
      </c>
      <c r="D730" t="s">
        <v>50</v>
      </c>
      <c r="F730" s="20">
        <v>43960.375</v>
      </c>
      <c r="G730">
        <v>60</v>
      </c>
      <c r="H730" t="s">
        <v>16</v>
      </c>
      <c r="I730" t="s">
        <v>12</v>
      </c>
      <c r="J730" s="10" t="s">
        <v>119</v>
      </c>
      <c r="K730" s="10"/>
    </row>
    <row r="731" spans="1:11">
      <c r="A731" s="10">
        <v>730</v>
      </c>
      <c r="B731" t="s">
        <v>44</v>
      </c>
      <c r="C731">
        <v>7</v>
      </c>
      <c r="D731" t="s">
        <v>51</v>
      </c>
      <c r="F731" s="20">
        <v>43960.375</v>
      </c>
      <c r="G731">
        <v>60</v>
      </c>
      <c r="H731" t="s">
        <v>14</v>
      </c>
      <c r="I731" t="s">
        <v>13</v>
      </c>
      <c r="J731" s="10" t="s">
        <v>119</v>
      </c>
      <c r="K731" s="10"/>
    </row>
    <row r="732" spans="1:11">
      <c r="A732" s="10">
        <v>731</v>
      </c>
      <c r="B732" t="s">
        <v>43</v>
      </c>
      <c r="C732">
        <v>4</v>
      </c>
      <c r="D732" t="s">
        <v>46</v>
      </c>
      <c r="F732" s="20">
        <v>43960.416666666664</v>
      </c>
      <c r="G732">
        <v>105</v>
      </c>
      <c r="H732" t="s">
        <v>8</v>
      </c>
      <c r="I732" t="s">
        <v>11</v>
      </c>
      <c r="J732" s="10" t="s">
        <v>119</v>
      </c>
      <c r="K732" s="13"/>
    </row>
    <row r="733" spans="1:11">
      <c r="A733" s="10">
        <v>732</v>
      </c>
      <c r="B733" t="s">
        <v>40</v>
      </c>
      <c r="C733">
        <v>4</v>
      </c>
      <c r="D733">
        <v>5</v>
      </c>
      <c r="F733" s="20">
        <v>43960.416666666664</v>
      </c>
      <c r="G733">
        <v>105</v>
      </c>
      <c r="H733" t="s">
        <v>15</v>
      </c>
      <c r="I733" t="s">
        <v>11</v>
      </c>
      <c r="J733" s="10" t="s">
        <v>119</v>
      </c>
      <c r="K733" s="13"/>
    </row>
    <row r="734" spans="1:11">
      <c r="A734" s="10">
        <v>733</v>
      </c>
      <c r="B734" t="s">
        <v>44</v>
      </c>
      <c r="C734">
        <v>5</v>
      </c>
      <c r="D734" t="s">
        <v>51</v>
      </c>
      <c r="F734" s="20">
        <v>43960.416666666664</v>
      </c>
      <c r="G734">
        <v>90</v>
      </c>
      <c r="H734" t="s">
        <v>14</v>
      </c>
      <c r="I734" t="s">
        <v>9</v>
      </c>
      <c r="J734" s="10" t="s">
        <v>119</v>
      </c>
      <c r="K734" s="10"/>
    </row>
    <row r="735" spans="1:11">
      <c r="A735" s="10">
        <v>734</v>
      </c>
      <c r="B735" t="s">
        <v>39</v>
      </c>
      <c r="C735">
        <v>6</v>
      </c>
      <c r="D735" t="s">
        <v>50</v>
      </c>
      <c r="F735" s="20">
        <v>43960.416666666664</v>
      </c>
      <c r="G735">
        <v>60</v>
      </c>
      <c r="H735" t="s">
        <v>16</v>
      </c>
      <c r="I735" t="s">
        <v>12</v>
      </c>
      <c r="J735" s="10" t="s">
        <v>119</v>
      </c>
      <c r="K735" s="10"/>
    </row>
    <row r="736" spans="1:11">
      <c r="A736" s="10">
        <v>735</v>
      </c>
      <c r="B736" t="s">
        <v>37</v>
      </c>
      <c r="C736">
        <v>3</v>
      </c>
      <c r="D736" t="s">
        <v>45</v>
      </c>
      <c r="F736" s="20">
        <v>43960.447916666664</v>
      </c>
      <c r="G736">
        <v>105</v>
      </c>
      <c r="H736" t="s">
        <v>18</v>
      </c>
      <c r="I736" t="s">
        <v>10</v>
      </c>
      <c r="J736" s="10" t="s">
        <v>119</v>
      </c>
      <c r="K736" s="13"/>
    </row>
    <row r="737" spans="1:11">
      <c r="A737" s="10">
        <v>736</v>
      </c>
      <c r="B737" t="s">
        <v>41</v>
      </c>
      <c r="C737">
        <v>1</v>
      </c>
      <c r="D737" t="s">
        <v>128</v>
      </c>
      <c r="F737" s="20">
        <v>43960.458333333336</v>
      </c>
      <c r="G737">
        <v>120</v>
      </c>
      <c r="H737" t="s">
        <v>6</v>
      </c>
      <c r="I737" t="s">
        <v>6</v>
      </c>
      <c r="J737" s="10" t="s">
        <v>119</v>
      </c>
      <c r="K737" s="13"/>
    </row>
    <row r="738" spans="1:11">
      <c r="A738" s="10">
        <v>737</v>
      </c>
      <c r="B738" t="s">
        <v>42</v>
      </c>
      <c r="C738">
        <v>2</v>
      </c>
      <c r="D738" t="s">
        <v>49</v>
      </c>
      <c r="F738" s="20">
        <v>43960.458333333336</v>
      </c>
      <c r="G738">
        <v>120</v>
      </c>
      <c r="H738" t="s">
        <v>7</v>
      </c>
      <c r="I738" t="s">
        <v>7</v>
      </c>
      <c r="J738" s="10" t="s">
        <v>119</v>
      </c>
      <c r="K738" s="13"/>
    </row>
    <row r="739" spans="1:11">
      <c r="A739" s="10">
        <v>738</v>
      </c>
      <c r="B739" t="s">
        <v>38</v>
      </c>
      <c r="C739">
        <v>2</v>
      </c>
      <c r="D739" t="s">
        <v>45</v>
      </c>
      <c r="F739" s="20">
        <v>43960.458333333336</v>
      </c>
      <c r="G739">
        <v>120</v>
      </c>
      <c r="H739" t="s">
        <v>17</v>
      </c>
      <c r="I739" t="s">
        <v>7</v>
      </c>
      <c r="J739" s="10" t="s">
        <v>119</v>
      </c>
      <c r="K739" s="13"/>
    </row>
    <row r="740" spans="1:11">
      <c r="A740" s="10">
        <v>739</v>
      </c>
      <c r="B740" t="s">
        <v>39</v>
      </c>
      <c r="C740">
        <v>5</v>
      </c>
      <c r="D740" t="s">
        <v>50</v>
      </c>
      <c r="F740" s="20">
        <v>43960.458333333336</v>
      </c>
      <c r="G740">
        <v>90</v>
      </c>
      <c r="H740" t="s">
        <v>16</v>
      </c>
      <c r="I740" t="s">
        <v>9</v>
      </c>
      <c r="J740" s="10" t="s">
        <v>119</v>
      </c>
      <c r="K740" s="10"/>
    </row>
    <row r="741" spans="1:11">
      <c r="A741" s="10">
        <v>740</v>
      </c>
      <c r="B741" t="s">
        <v>44</v>
      </c>
      <c r="C741">
        <v>5</v>
      </c>
      <c r="D741" t="s">
        <v>51</v>
      </c>
      <c r="F741" s="20">
        <v>43960.479166666664</v>
      </c>
      <c r="G741">
        <v>90</v>
      </c>
      <c r="H741" t="s">
        <v>14</v>
      </c>
      <c r="I741" t="s">
        <v>9</v>
      </c>
      <c r="J741" s="10" t="s">
        <v>119</v>
      </c>
      <c r="K741" s="10"/>
    </row>
    <row r="742" spans="1:11">
      <c r="A742" s="10">
        <v>741</v>
      </c>
      <c r="B742" t="s">
        <v>43</v>
      </c>
      <c r="C742">
        <v>4</v>
      </c>
      <c r="D742" t="s">
        <v>46</v>
      </c>
      <c r="F742" s="20">
        <v>43960.489583333336</v>
      </c>
      <c r="G742">
        <v>105</v>
      </c>
      <c r="H742" t="s">
        <v>8</v>
      </c>
      <c r="I742" t="s">
        <v>11</v>
      </c>
      <c r="J742" s="10" t="s">
        <v>119</v>
      </c>
      <c r="K742" s="13"/>
    </row>
    <row r="743" spans="1:11">
      <c r="A743" s="10">
        <v>742</v>
      </c>
      <c r="B743" t="s">
        <v>40</v>
      </c>
      <c r="C743">
        <v>4</v>
      </c>
      <c r="D743">
        <v>5</v>
      </c>
      <c r="F743" s="20">
        <v>43960.489583333336</v>
      </c>
      <c r="G743">
        <v>105</v>
      </c>
      <c r="H743" t="s">
        <v>15</v>
      </c>
      <c r="I743" t="s">
        <v>11</v>
      </c>
      <c r="J743" s="10" t="s">
        <v>119</v>
      </c>
      <c r="K743" s="13"/>
    </row>
    <row r="744" spans="1:11">
      <c r="A744" s="10">
        <v>743</v>
      </c>
      <c r="B744" t="s">
        <v>37</v>
      </c>
      <c r="C744">
        <v>3</v>
      </c>
      <c r="D744" t="s">
        <v>45</v>
      </c>
      <c r="F744" s="20">
        <v>43960.520833333336</v>
      </c>
      <c r="G744">
        <v>105</v>
      </c>
      <c r="H744" t="s">
        <v>18</v>
      </c>
      <c r="I744" t="s">
        <v>10</v>
      </c>
      <c r="J744" s="10" t="s">
        <v>119</v>
      </c>
      <c r="K744" s="13"/>
    </row>
    <row r="745" spans="1:11">
      <c r="A745" s="10">
        <v>744</v>
      </c>
      <c r="B745" t="s">
        <v>39</v>
      </c>
      <c r="C745">
        <v>5</v>
      </c>
      <c r="D745" t="s">
        <v>50</v>
      </c>
      <c r="F745" s="20">
        <v>43960.520833333336</v>
      </c>
      <c r="G745">
        <v>90</v>
      </c>
      <c r="H745" t="s">
        <v>16</v>
      </c>
      <c r="I745" t="s">
        <v>9</v>
      </c>
      <c r="J745" s="10" t="s">
        <v>119</v>
      </c>
      <c r="K745" s="10"/>
    </row>
    <row r="746" spans="1:11">
      <c r="A746" s="10">
        <v>745</v>
      </c>
      <c r="B746" t="s">
        <v>41</v>
      </c>
      <c r="C746">
        <v>1</v>
      </c>
      <c r="D746" t="s">
        <v>128</v>
      </c>
      <c r="F746" s="20">
        <v>43960.541666666664</v>
      </c>
      <c r="G746">
        <v>120</v>
      </c>
      <c r="H746" t="s">
        <v>6</v>
      </c>
      <c r="I746" t="s">
        <v>6</v>
      </c>
      <c r="J746" t="s">
        <v>119</v>
      </c>
      <c r="K746" s="13"/>
    </row>
    <row r="747" spans="1:11">
      <c r="A747" s="10">
        <v>746</v>
      </c>
      <c r="B747" t="s">
        <v>42</v>
      </c>
      <c r="C747">
        <v>2</v>
      </c>
      <c r="D747" t="s">
        <v>49</v>
      </c>
      <c r="F747" s="20">
        <v>43960.541666666664</v>
      </c>
      <c r="G747">
        <v>120</v>
      </c>
      <c r="H747" t="s">
        <v>7</v>
      </c>
      <c r="I747" t="s">
        <v>7</v>
      </c>
      <c r="J747" t="s">
        <v>119</v>
      </c>
      <c r="K747" s="13"/>
    </row>
    <row r="748" spans="1:11">
      <c r="A748" s="10">
        <v>747</v>
      </c>
      <c r="B748" t="s">
        <v>38</v>
      </c>
      <c r="C748">
        <v>2</v>
      </c>
      <c r="D748" t="s">
        <v>45</v>
      </c>
      <c r="F748" s="20">
        <v>43960.541666666664</v>
      </c>
      <c r="G748">
        <v>120</v>
      </c>
      <c r="H748" t="s">
        <v>17</v>
      </c>
      <c r="I748" t="s">
        <v>7</v>
      </c>
      <c r="J748" t="s">
        <v>119</v>
      </c>
      <c r="K748" s="13"/>
    </row>
    <row r="749" spans="1:11">
      <c r="A749" s="10">
        <v>748</v>
      </c>
      <c r="B749" t="s">
        <v>44</v>
      </c>
      <c r="C749">
        <v>5</v>
      </c>
      <c r="D749" t="s">
        <v>51</v>
      </c>
      <c r="F749" s="20">
        <v>43960.541666666664</v>
      </c>
      <c r="G749">
        <v>90</v>
      </c>
      <c r="H749" t="s">
        <v>14</v>
      </c>
      <c r="I749" t="s">
        <v>9</v>
      </c>
      <c r="J749" t="s">
        <v>119</v>
      </c>
    </row>
    <row r="750" spans="1:11">
      <c r="A750" s="10">
        <v>749</v>
      </c>
      <c r="B750" t="s">
        <v>43</v>
      </c>
      <c r="C750">
        <v>4</v>
      </c>
      <c r="D750" t="s">
        <v>46</v>
      </c>
      <c r="F750" s="20">
        <v>43960.572916666664</v>
      </c>
      <c r="G750">
        <v>105</v>
      </c>
      <c r="H750" t="s">
        <v>8</v>
      </c>
      <c r="I750" t="s">
        <v>11</v>
      </c>
      <c r="J750" t="s">
        <v>119</v>
      </c>
      <c r="K750" s="13"/>
    </row>
    <row r="751" spans="1:11">
      <c r="A751" s="10">
        <v>750</v>
      </c>
      <c r="B751" t="s">
        <v>40</v>
      </c>
      <c r="C751">
        <v>4</v>
      </c>
      <c r="D751">
        <v>5</v>
      </c>
      <c r="F751" s="20">
        <v>43960.572916666664</v>
      </c>
      <c r="G751">
        <v>105</v>
      </c>
      <c r="H751" t="s">
        <v>15</v>
      </c>
      <c r="I751" t="s">
        <v>11</v>
      </c>
      <c r="J751" t="s">
        <v>119</v>
      </c>
      <c r="K751" s="13"/>
    </row>
    <row r="752" spans="1:11">
      <c r="A752" s="10">
        <v>751</v>
      </c>
      <c r="B752" t="s">
        <v>39</v>
      </c>
      <c r="C752">
        <v>5</v>
      </c>
      <c r="D752" t="s">
        <v>50</v>
      </c>
      <c r="F752" s="20">
        <v>43960.583333333336</v>
      </c>
      <c r="G752">
        <v>90</v>
      </c>
      <c r="H752" t="s">
        <v>16</v>
      </c>
      <c r="I752" t="s">
        <v>9</v>
      </c>
      <c r="J752" t="s">
        <v>119</v>
      </c>
    </row>
    <row r="753" spans="1:11">
      <c r="A753" s="10">
        <v>752</v>
      </c>
      <c r="B753" t="s">
        <v>37</v>
      </c>
      <c r="C753">
        <v>3</v>
      </c>
      <c r="D753" t="s">
        <v>45</v>
      </c>
      <c r="F753" s="20">
        <v>43960.614583333336</v>
      </c>
      <c r="G753">
        <v>105</v>
      </c>
      <c r="H753" t="s">
        <v>18</v>
      </c>
      <c r="I753" t="s">
        <v>10</v>
      </c>
      <c r="J753" t="s">
        <v>119</v>
      </c>
      <c r="K753" s="13"/>
    </row>
    <row r="754" spans="1:11">
      <c r="A754" s="10">
        <v>753</v>
      </c>
      <c r="B754" t="s">
        <v>41</v>
      </c>
      <c r="C754">
        <v>1</v>
      </c>
      <c r="D754" t="s">
        <v>128</v>
      </c>
      <c r="F754" s="20">
        <v>43960.625</v>
      </c>
      <c r="G754">
        <v>120</v>
      </c>
      <c r="H754" t="s">
        <v>6</v>
      </c>
      <c r="I754" t="s">
        <v>6</v>
      </c>
      <c r="J754" t="s">
        <v>119</v>
      </c>
      <c r="K754" s="13"/>
    </row>
    <row r="755" spans="1:11">
      <c r="A755" s="10">
        <v>754</v>
      </c>
      <c r="B755" t="s">
        <v>42</v>
      </c>
      <c r="C755">
        <v>2</v>
      </c>
      <c r="D755" t="s">
        <v>49</v>
      </c>
      <c r="F755" s="20">
        <v>43960.625</v>
      </c>
      <c r="G755">
        <v>120</v>
      </c>
      <c r="H755" t="s">
        <v>7</v>
      </c>
      <c r="I755" t="s">
        <v>7</v>
      </c>
      <c r="J755" t="s">
        <v>119</v>
      </c>
      <c r="K755" s="13"/>
    </row>
    <row r="756" spans="1:11">
      <c r="A756" s="10">
        <v>755</v>
      </c>
      <c r="B756" t="s">
        <v>44</v>
      </c>
      <c r="C756">
        <v>5</v>
      </c>
      <c r="D756" t="s">
        <v>51</v>
      </c>
      <c r="F756" s="20">
        <v>43960.625</v>
      </c>
      <c r="G756">
        <v>90</v>
      </c>
      <c r="H756" t="s">
        <v>14</v>
      </c>
      <c r="I756" t="s">
        <v>9</v>
      </c>
      <c r="J756" t="s">
        <v>119</v>
      </c>
    </row>
    <row r="757" spans="1:11">
      <c r="A757" s="10">
        <v>756</v>
      </c>
      <c r="B757" t="s">
        <v>38</v>
      </c>
      <c r="C757">
        <v>2</v>
      </c>
      <c r="D757" t="s">
        <v>45</v>
      </c>
      <c r="F757" s="20">
        <v>43960.635416666664</v>
      </c>
      <c r="G757">
        <v>120</v>
      </c>
      <c r="H757" t="s">
        <v>17</v>
      </c>
      <c r="I757" t="s">
        <v>7</v>
      </c>
      <c r="J757" t="s">
        <v>119</v>
      </c>
      <c r="K757" s="13"/>
    </row>
    <row r="758" spans="1:11">
      <c r="A758" s="10">
        <v>757</v>
      </c>
      <c r="B758" t="s">
        <v>39</v>
      </c>
      <c r="C758">
        <v>3</v>
      </c>
      <c r="D758" t="s">
        <v>50</v>
      </c>
      <c r="F758" s="20">
        <v>43960.645833333336</v>
      </c>
      <c r="G758">
        <v>105</v>
      </c>
      <c r="H758" t="s">
        <v>16</v>
      </c>
      <c r="I758" t="s">
        <v>10</v>
      </c>
      <c r="J758" t="s">
        <v>119</v>
      </c>
      <c r="K758" s="13"/>
    </row>
    <row r="759" spans="1:11">
      <c r="A759" s="10">
        <v>758</v>
      </c>
      <c r="B759" t="s">
        <v>43</v>
      </c>
      <c r="C759">
        <v>4</v>
      </c>
      <c r="D759" t="s">
        <v>46</v>
      </c>
      <c r="F759" s="20">
        <v>43960.645833333336</v>
      </c>
      <c r="G759">
        <v>105</v>
      </c>
      <c r="H759" t="s">
        <v>8</v>
      </c>
      <c r="I759" t="s">
        <v>11</v>
      </c>
      <c r="J759" t="s">
        <v>119</v>
      </c>
      <c r="K759" s="13"/>
    </row>
    <row r="760" spans="1:11">
      <c r="A760" s="10">
        <v>759</v>
      </c>
      <c r="B760" t="s">
        <v>40</v>
      </c>
      <c r="C760">
        <v>4</v>
      </c>
      <c r="D760">
        <v>5</v>
      </c>
      <c r="F760" s="20">
        <v>43960.645833333336</v>
      </c>
      <c r="G760">
        <v>105</v>
      </c>
      <c r="H760" t="s">
        <v>15</v>
      </c>
      <c r="I760" t="s">
        <v>11</v>
      </c>
      <c r="J760" t="s">
        <v>119</v>
      </c>
      <c r="K760" s="13"/>
    </row>
    <row r="761" spans="1:11">
      <c r="A761" s="10">
        <v>760</v>
      </c>
      <c r="B761" t="s">
        <v>37</v>
      </c>
      <c r="C761">
        <v>3</v>
      </c>
      <c r="D761" t="s">
        <v>45</v>
      </c>
      <c r="F761" s="20">
        <v>43960.6875</v>
      </c>
      <c r="G761">
        <v>105</v>
      </c>
      <c r="H761" t="s">
        <v>18</v>
      </c>
      <c r="I761" t="s">
        <v>10</v>
      </c>
      <c r="J761" t="s">
        <v>119</v>
      </c>
      <c r="K761" s="13"/>
    </row>
    <row r="762" spans="1:11">
      <c r="A762" s="10">
        <v>761</v>
      </c>
      <c r="B762" t="s">
        <v>44</v>
      </c>
      <c r="C762">
        <v>5</v>
      </c>
      <c r="D762" t="s">
        <v>51</v>
      </c>
      <c r="F762" s="20">
        <v>43960.6875</v>
      </c>
      <c r="G762">
        <v>90</v>
      </c>
      <c r="H762" t="s">
        <v>14</v>
      </c>
      <c r="I762" t="s">
        <v>9</v>
      </c>
      <c r="J762" t="s">
        <v>119</v>
      </c>
    </row>
    <row r="763" spans="1:11">
      <c r="A763" s="10">
        <v>762</v>
      </c>
      <c r="B763" t="s">
        <v>41</v>
      </c>
      <c r="C763">
        <v>1</v>
      </c>
      <c r="D763" t="s">
        <v>128</v>
      </c>
      <c r="F763" s="20">
        <v>43960.708333333336</v>
      </c>
      <c r="G763">
        <v>120</v>
      </c>
      <c r="H763" t="s">
        <v>6</v>
      </c>
      <c r="I763" t="s">
        <v>6</v>
      </c>
      <c r="J763" t="s">
        <v>119</v>
      </c>
      <c r="K763" s="13"/>
    </row>
    <row r="764" spans="1:11">
      <c r="A764" s="10">
        <v>763</v>
      </c>
      <c r="B764" t="s">
        <v>42</v>
      </c>
      <c r="C764">
        <v>2</v>
      </c>
      <c r="D764" t="s">
        <v>49</v>
      </c>
      <c r="F764" s="20">
        <v>43960.708333333336</v>
      </c>
      <c r="G764">
        <v>120</v>
      </c>
      <c r="H764" t="s">
        <v>7</v>
      </c>
      <c r="I764" t="s">
        <v>7</v>
      </c>
      <c r="J764" t="s">
        <v>119</v>
      </c>
      <c r="K764" s="13"/>
    </row>
    <row r="765" spans="1:11">
      <c r="A765" s="10">
        <v>764</v>
      </c>
      <c r="B765" t="s">
        <v>39</v>
      </c>
      <c r="C765">
        <v>3</v>
      </c>
      <c r="D765" t="s">
        <v>50</v>
      </c>
      <c r="F765" s="20">
        <v>43960.71875</v>
      </c>
      <c r="G765">
        <v>105</v>
      </c>
      <c r="H765" t="s">
        <v>16</v>
      </c>
      <c r="I765" t="s">
        <v>10</v>
      </c>
      <c r="J765" t="s">
        <v>119</v>
      </c>
      <c r="K765" s="13"/>
    </row>
    <row r="766" spans="1:11">
      <c r="A766" s="10">
        <v>765</v>
      </c>
      <c r="B766" t="s">
        <v>38</v>
      </c>
      <c r="C766">
        <v>3</v>
      </c>
      <c r="D766" t="s">
        <v>45</v>
      </c>
      <c r="F766" s="20">
        <v>43960.71875</v>
      </c>
      <c r="G766">
        <v>105</v>
      </c>
      <c r="H766" t="s">
        <v>17</v>
      </c>
      <c r="I766" t="s">
        <v>10</v>
      </c>
      <c r="J766" t="s">
        <v>119</v>
      </c>
      <c r="K766" s="13"/>
    </row>
    <row r="767" spans="1:11">
      <c r="A767" s="10">
        <v>766</v>
      </c>
      <c r="B767" t="s">
        <v>43</v>
      </c>
      <c r="C767">
        <v>4</v>
      </c>
      <c r="D767" t="s">
        <v>46</v>
      </c>
      <c r="F767" s="20">
        <v>43960.71875</v>
      </c>
      <c r="G767">
        <v>105</v>
      </c>
      <c r="H767" t="s">
        <v>8</v>
      </c>
      <c r="I767" t="s">
        <v>11</v>
      </c>
      <c r="J767" t="s">
        <v>119</v>
      </c>
      <c r="K767" s="13"/>
    </row>
    <row r="768" spans="1:11">
      <c r="A768" s="10">
        <v>767</v>
      </c>
      <c r="B768" t="s">
        <v>40</v>
      </c>
      <c r="C768">
        <v>4</v>
      </c>
      <c r="D768">
        <v>5</v>
      </c>
      <c r="F768" s="20">
        <v>43960.71875</v>
      </c>
      <c r="G768">
        <v>105</v>
      </c>
      <c r="H768" t="s">
        <v>15</v>
      </c>
      <c r="I768" t="s">
        <v>11</v>
      </c>
      <c r="J768" t="s">
        <v>119</v>
      </c>
      <c r="K768" s="13"/>
    </row>
    <row r="769" spans="1:11">
      <c r="A769" s="10">
        <v>768</v>
      </c>
      <c r="B769" t="s">
        <v>41</v>
      </c>
      <c r="C769">
        <v>1</v>
      </c>
      <c r="D769" t="s">
        <v>128</v>
      </c>
      <c r="F769" s="20">
        <v>43965.75</v>
      </c>
      <c r="G769">
        <v>120</v>
      </c>
      <c r="H769" t="s">
        <v>6</v>
      </c>
      <c r="I769" t="s">
        <v>6</v>
      </c>
      <c r="J769" t="s">
        <v>137</v>
      </c>
      <c r="K769" s="13"/>
    </row>
    <row r="770" spans="1:11">
      <c r="A770" s="10">
        <v>769</v>
      </c>
      <c r="B770" t="s">
        <v>42</v>
      </c>
      <c r="C770">
        <v>2</v>
      </c>
      <c r="D770" t="s">
        <v>49</v>
      </c>
      <c r="F770" s="20">
        <v>43965.75</v>
      </c>
      <c r="G770">
        <v>120</v>
      </c>
      <c r="H770" t="s">
        <v>7</v>
      </c>
      <c r="I770" t="s">
        <v>7</v>
      </c>
      <c r="J770" t="s">
        <v>137</v>
      </c>
      <c r="K770" s="13"/>
    </row>
    <row r="771" spans="1:11">
      <c r="A771" s="10">
        <v>770</v>
      </c>
      <c r="B771" t="s">
        <v>38</v>
      </c>
      <c r="C771">
        <v>2</v>
      </c>
      <c r="D771" t="s">
        <v>45</v>
      </c>
      <c r="F771" s="20">
        <v>43965.75</v>
      </c>
      <c r="G771">
        <v>120</v>
      </c>
      <c r="H771" t="s">
        <v>17</v>
      </c>
      <c r="I771" t="s">
        <v>7</v>
      </c>
      <c r="J771" t="s">
        <v>137</v>
      </c>
      <c r="K771" s="13"/>
    </row>
    <row r="772" spans="1:11">
      <c r="A772" s="10">
        <v>771</v>
      </c>
      <c r="B772" t="s">
        <v>39</v>
      </c>
      <c r="C772">
        <v>3</v>
      </c>
      <c r="D772" t="s">
        <v>50</v>
      </c>
      <c r="F772" s="20">
        <v>43965.75</v>
      </c>
      <c r="G772">
        <v>105</v>
      </c>
      <c r="H772" t="s">
        <v>16</v>
      </c>
      <c r="I772" t="s">
        <v>10</v>
      </c>
      <c r="J772" t="s">
        <v>137</v>
      </c>
      <c r="K772" s="13"/>
    </row>
    <row r="773" spans="1:11">
      <c r="A773" s="10">
        <v>772</v>
      </c>
      <c r="B773" t="s">
        <v>37</v>
      </c>
      <c r="C773">
        <v>3</v>
      </c>
      <c r="D773" t="s">
        <v>45</v>
      </c>
      <c r="F773" s="20">
        <v>43965.75</v>
      </c>
      <c r="G773">
        <v>105</v>
      </c>
      <c r="H773" t="s">
        <v>18</v>
      </c>
      <c r="I773" t="s">
        <v>10</v>
      </c>
      <c r="J773" t="s">
        <v>137</v>
      </c>
      <c r="K773" s="13"/>
    </row>
    <row r="774" spans="1:11">
      <c r="A774" s="10">
        <v>773</v>
      </c>
      <c r="B774" t="s">
        <v>43</v>
      </c>
      <c r="C774">
        <v>4</v>
      </c>
      <c r="D774" t="s">
        <v>46</v>
      </c>
      <c r="F774" s="20">
        <v>43965.75</v>
      </c>
      <c r="G774">
        <v>105</v>
      </c>
      <c r="H774" t="s">
        <v>8</v>
      </c>
      <c r="I774" t="s">
        <v>11</v>
      </c>
      <c r="J774" t="s">
        <v>137</v>
      </c>
      <c r="K774" s="13"/>
    </row>
    <row r="775" spans="1:11">
      <c r="A775" s="10">
        <v>774</v>
      </c>
      <c r="B775" t="s">
        <v>44</v>
      </c>
      <c r="C775">
        <v>5</v>
      </c>
      <c r="D775" t="s">
        <v>51</v>
      </c>
      <c r="F775" s="20">
        <v>43965.75</v>
      </c>
      <c r="G775">
        <v>90</v>
      </c>
      <c r="H775" t="s">
        <v>14</v>
      </c>
      <c r="I775" t="s">
        <v>9</v>
      </c>
      <c r="J775" t="s">
        <v>137</v>
      </c>
    </row>
    <row r="776" spans="1:11">
      <c r="A776" s="10">
        <v>775</v>
      </c>
      <c r="B776" t="s">
        <v>40</v>
      </c>
      <c r="C776">
        <v>5</v>
      </c>
      <c r="D776">
        <v>5</v>
      </c>
      <c r="F776" s="20">
        <v>43965.75</v>
      </c>
      <c r="G776">
        <v>90</v>
      </c>
      <c r="H776" t="s">
        <v>15</v>
      </c>
      <c r="I776" t="s">
        <v>9</v>
      </c>
      <c r="J776" t="s">
        <v>137</v>
      </c>
    </row>
    <row r="777" spans="1:11">
      <c r="A777" s="10">
        <v>776</v>
      </c>
      <c r="B777" t="s">
        <v>40</v>
      </c>
      <c r="C777">
        <v>4</v>
      </c>
      <c r="D777">
        <v>5</v>
      </c>
      <c r="F777" s="20">
        <v>43965.8125</v>
      </c>
      <c r="G777">
        <v>105</v>
      </c>
      <c r="H777" t="s">
        <v>15</v>
      </c>
      <c r="I777" t="s">
        <v>11</v>
      </c>
      <c r="J777" t="s">
        <v>137</v>
      </c>
      <c r="K777" s="13"/>
    </row>
    <row r="778" spans="1:11">
      <c r="A778" s="10">
        <v>777</v>
      </c>
      <c r="B778" t="s">
        <v>44</v>
      </c>
      <c r="C778">
        <v>5</v>
      </c>
      <c r="D778" t="s">
        <v>51</v>
      </c>
      <c r="F778" s="20">
        <v>43965.8125</v>
      </c>
      <c r="G778">
        <v>90</v>
      </c>
      <c r="H778" t="s">
        <v>14</v>
      </c>
      <c r="I778" t="s">
        <v>9</v>
      </c>
      <c r="J778" t="s">
        <v>137</v>
      </c>
    </row>
    <row r="779" spans="1:11">
      <c r="A779" s="10">
        <v>778</v>
      </c>
      <c r="B779" t="s">
        <v>39</v>
      </c>
      <c r="C779">
        <v>3</v>
      </c>
      <c r="D779" t="s">
        <v>50</v>
      </c>
      <c r="F779" s="20">
        <v>43965.822916666664</v>
      </c>
      <c r="G779">
        <v>105</v>
      </c>
      <c r="H779" t="s">
        <v>16</v>
      </c>
      <c r="I779" t="s">
        <v>10</v>
      </c>
      <c r="J779" t="s">
        <v>137</v>
      </c>
      <c r="K779" s="13"/>
    </row>
    <row r="780" spans="1:11">
      <c r="A780" s="10">
        <v>779</v>
      </c>
      <c r="B780" t="s">
        <v>37</v>
      </c>
      <c r="C780">
        <v>3</v>
      </c>
      <c r="D780" t="s">
        <v>45</v>
      </c>
      <c r="F780" s="20">
        <v>43965.822916666664</v>
      </c>
      <c r="G780">
        <v>105</v>
      </c>
      <c r="H780" t="s">
        <v>18</v>
      </c>
      <c r="I780" t="s">
        <v>10</v>
      </c>
      <c r="J780" t="s">
        <v>137</v>
      </c>
      <c r="K780" s="13"/>
    </row>
    <row r="781" spans="1:11">
      <c r="A781" s="10">
        <v>780</v>
      </c>
      <c r="B781" t="s">
        <v>43</v>
      </c>
      <c r="C781">
        <v>4</v>
      </c>
      <c r="D781" t="s">
        <v>46</v>
      </c>
      <c r="F781" s="20">
        <v>43965.822916666664</v>
      </c>
      <c r="G781">
        <v>105</v>
      </c>
      <c r="H781" t="s">
        <v>8</v>
      </c>
      <c r="I781" t="s">
        <v>11</v>
      </c>
      <c r="J781" s="10" t="s">
        <v>137</v>
      </c>
      <c r="K781" s="13"/>
    </row>
    <row r="782" spans="1:11">
      <c r="A782" s="10">
        <v>781</v>
      </c>
      <c r="B782" t="s">
        <v>41</v>
      </c>
      <c r="C782">
        <v>1</v>
      </c>
      <c r="D782" t="s">
        <v>128</v>
      </c>
      <c r="F782" s="20">
        <v>43965.833333333336</v>
      </c>
      <c r="G782">
        <v>120</v>
      </c>
      <c r="H782" t="s">
        <v>6</v>
      </c>
      <c r="I782" t="s">
        <v>6</v>
      </c>
      <c r="J782" s="10" t="s">
        <v>137</v>
      </c>
      <c r="K782" s="13"/>
    </row>
    <row r="783" spans="1:11">
      <c r="A783" s="10">
        <v>782</v>
      </c>
      <c r="B783" t="s">
        <v>42</v>
      </c>
      <c r="C783">
        <v>2</v>
      </c>
      <c r="D783" t="s">
        <v>49</v>
      </c>
      <c r="F783" s="20">
        <v>43965.833333333336</v>
      </c>
      <c r="G783">
        <v>120</v>
      </c>
      <c r="H783" t="s">
        <v>7</v>
      </c>
      <c r="I783" t="s">
        <v>7</v>
      </c>
      <c r="J783" s="10" t="s">
        <v>137</v>
      </c>
      <c r="K783" s="13"/>
    </row>
    <row r="784" spans="1:11">
      <c r="A784" s="10">
        <v>783</v>
      </c>
      <c r="B784" t="s">
        <v>38</v>
      </c>
      <c r="C784">
        <v>2</v>
      </c>
      <c r="D784" t="s">
        <v>45</v>
      </c>
      <c r="F784" s="20">
        <v>43965.833333333336</v>
      </c>
      <c r="G784">
        <v>120</v>
      </c>
      <c r="H784" t="s">
        <v>17</v>
      </c>
      <c r="I784" t="s">
        <v>7</v>
      </c>
      <c r="J784" s="10" t="s">
        <v>137</v>
      </c>
      <c r="K784" s="13"/>
    </row>
    <row r="785" spans="1:11">
      <c r="A785" s="10">
        <v>784</v>
      </c>
      <c r="B785" t="s">
        <v>41</v>
      </c>
      <c r="C785">
        <v>1</v>
      </c>
      <c r="D785" t="s">
        <v>128</v>
      </c>
      <c r="F785" s="20">
        <v>43967.375</v>
      </c>
      <c r="G785">
        <v>120</v>
      </c>
      <c r="H785" t="s">
        <v>6</v>
      </c>
      <c r="I785" t="s">
        <v>6</v>
      </c>
      <c r="J785" s="10" t="s">
        <v>119</v>
      </c>
      <c r="K785" s="13"/>
    </row>
    <row r="786" spans="1:11">
      <c r="A786" s="10">
        <v>785</v>
      </c>
      <c r="B786" t="s">
        <v>38</v>
      </c>
      <c r="C786">
        <v>1</v>
      </c>
      <c r="D786" t="s">
        <v>45</v>
      </c>
      <c r="F786" s="20">
        <v>43967.375</v>
      </c>
      <c r="G786">
        <v>120</v>
      </c>
      <c r="H786" t="s">
        <v>17</v>
      </c>
      <c r="I786" t="s">
        <v>6</v>
      </c>
      <c r="J786" s="10" t="s">
        <v>119</v>
      </c>
      <c r="K786" s="13"/>
    </row>
    <row r="787" spans="1:11">
      <c r="A787" s="10">
        <v>786</v>
      </c>
      <c r="B787" t="s">
        <v>42</v>
      </c>
      <c r="C787">
        <v>2</v>
      </c>
      <c r="D787" t="s">
        <v>49</v>
      </c>
      <c r="F787" s="20">
        <v>43967.375</v>
      </c>
      <c r="G787">
        <v>120</v>
      </c>
      <c r="H787" t="s">
        <v>7</v>
      </c>
      <c r="I787" t="s">
        <v>7</v>
      </c>
      <c r="J787" s="10" t="s">
        <v>119</v>
      </c>
      <c r="K787" s="13"/>
    </row>
    <row r="788" spans="1:11">
      <c r="A788" s="10">
        <v>787</v>
      </c>
      <c r="B788" t="s">
        <v>37</v>
      </c>
      <c r="C788">
        <v>3</v>
      </c>
      <c r="D788" t="s">
        <v>45</v>
      </c>
      <c r="F788" s="20">
        <v>43967.375</v>
      </c>
      <c r="G788">
        <v>105</v>
      </c>
      <c r="H788" t="s">
        <v>18</v>
      </c>
      <c r="I788" t="s">
        <v>10</v>
      </c>
      <c r="J788" s="10" t="s">
        <v>119</v>
      </c>
      <c r="K788" s="13"/>
    </row>
    <row r="789" spans="1:11">
      <c r="A789" s="10">
        <v>788</v>
      </c>
      <c r="B789" t="s">
        <v>43</v>
      </c>
      <c r="C789">
        <v>6</v>
      </c>
      <c r="D789" t="s">
        <v>46</v>
      </c>
      <c r="F789" s="20">
        <v>43967.375</v>
      </c>
      <c r="G789">
        <v>60</v>
      </c>
      <c r="H789" t="s">
        <v>8</v>
      </c>
      <c r="I789" t="s">
        <v>12</v>
      </c>
      <c r="J789" s="10" t="s">
        <v>119</v>
      </c>
      <c r="K789" s="10"/>
    </row>
    <row r="790" spans="1:11">
      <c r="A790" s="10">
        <v>789</v>
      </c>
      <c r="B790" t="s">
        <v>40</v>
      </c>
      <c r="C790">
        <v>6</v>
      </c>
      <c r="D790">
        <v>5</v>
      </c>
      <c r="F790" s="20">
        <v>43967.375</v>
      </c>
      <c r="G790">
        <v>60</v>
      </c>
      <c r="H790" t="s">
        <v>15</v>
      </c>
      <c r="I790" t="s">
        <v>12</v>
      </c>
      <c r="J790" s="10" t="s">
        <v>119</v>
      </c>
      <c r="K790" s="10"/>
    </row>
    <row r="791" spans="1:11">
      <c r="A791" s="10">
        <v>790</v>
      </c>
      <c r="B791" t="s">
        <v>39</v>
      </c>
      <c r="C791">
        <v>6</v>
      </c>
      <c r="D791" t="s">
        <v>50</v>
      </c>
      <c r="F791" s="20">
        <v>43967.375</v>
      </c>
      <c r="G791">
        <v>60</v>
      </c>
      <c r="H791" t="s">
        <v>16</v>
      </c>
      <c r="I791" t="s">
        <v>12</v>
      </c>
      <c r="J791" s="10" t="s">
        <v>119</v>
      </c>
      <c r="K791" s="10"/>
    </row>
    <row r="792" spans="1:11">
      <c r="A792" s="10">
        <v>791</v>
      </c>
      <c r="B792" t="s">
        <v>44</v>
      </c>
      <c r="C792">
        <v>7</v>
      </c>
      <c r="D792" t="s">
        <v>51</v>
      </c>
      <c r="F792" s="20">
        <v>43967.375</v>
      </c>
      <c r="G792">
        <v>60</v>
      </c>
      <c r="H792" t="s">
        <v>14</v>
      </c>
      <c r="I792" t="s">
        <v>13</v>
      </c>
      <c r="J792" s="10" t="s">
        <v>119</v>
      </c>
      <c r="K792" s="10"/>
    </row>
    <row r="793" spans="1:11">
      <c r="A793" s="10">
        <v>792</v>
      </c>
      <c r="B793" t="s">
        <v>43</v>
      </c>
      <c r="C793">
        <v>4</v>
      </c>
      <c r="D793" t="s">
        <v>46</v>
      </c>
      <c r="F793" s="20">
        <v>43967.416666666664</v>
      </c>
      <c r="G793">
        <v>105</v>
      </c>
      <c r="H793" t="s">
        <v>8</v>
      </c>
      <c r="I793" t="s">
        <v>11</v>
      </c>
      <c r="J793" s="10" t="s">
        <v>119</v>
      </c>
      <c r="K793" s="13"/>
    </row>
    <row r="794" spans="1:11">
      <c r="A794" s="10">
        <v>793</v>
      </c>
      <c r="B794" t="s">
        <v>40</v>
      </c>
      <c r="C794">
        <v>4</v>
      </c>
      <c r="D794">
        <v>5</v>
      </c>
      <c r="F794" s="20">
        <v>43967.416666666664</v>
      </c>
      <c r="G794">
        <v>105</v>
      </c>
      <c r="H794" t="s">
        <v>15</v>
      </c>
      <c r="I794" t="s">
        <v>11</v>
      </c>
      <c r="J794" s="10" t="s">
        <v>119</v>
      </c>
      <c r="K794" s="10"/>
    </row>
    <row r="795" spans="1:11">
      <c r="A795" s="10">
        <v>794</v>
      </c>
      <c r="B795" t="s">
        <v>44</v>
      </c>
      <c r="C795">
        <v>5</v>
      </c>
      <c r="D795" t="s">
        <v>51</v>
      </c>
      <c r="F795" s="20">
        <v>43967.416666666664</v>
      </c>
      <c r="G795">
        <v>90</v>
      </c>
      <c r="H795" t="s">
        <v>14</v>
      </c>
      <c r="I795" t="s">
        <v>9</v>
      </c>
      <c r="J795" s="10" t="s">
        <v>119</v>
      </c>
      <c r="K795" s="10"/>
    </row>
    <row r="796" spans="1:11">
      <c r="A796" s="10">
        <v>795</v>
      </c>
      <c r="B796" t="s">
        <v>39</v>
      </c>
      <c r="C796">
        <v>6</v>
      </c>
      <c r="D796" t="s">
        <v>50</v>
      </c>
      <c r="F796" s="20">
        <v>43967.416666666664</v>
      </c>
      <c r="G796">
        <v>60</v>
      </c>
      <c r="H796" t="s">
        <v>16</v>
      </c>
      <c r="I796" t="s">
        <v>12</v>
      </c>
      <c r="J796" s="10" t="s">
        <v>119</v>
      </c>
      <c r="K796" s="10"/>
    </row>
    <row r="797" spans="1:11">
      <c r="A797" s="10">
        <v>796</v>
      </c>
      <c r="B797" t="s">
        <v>37</v>
      </c>
      <c r="C797">
        <v>3</v>
      </c>
      <c r="D797" t="s">
        <v>45</v>
      </c>
      <c r="F797" s="20">
        <v>43967.447916666664</v>
      </c>
      <c r="G797">
        <v>105</v>
      </c>
      <c r="H797" t="s">
        <v>18</v>
      </c>
      <c r="I797" t="s">
        <v>10</v>
      </c>
      <c r="J797" s="10" t="s">
        <v>119</v>
      </c>
      <c r="K797" s="13"/>
    </row>
    <row r="798" spans="1:11">
      <c r="A798" s="10">
        <v>797</v>
      </c>
      <c r="B798" t="s">
        <v>41</v>
      </c>
      <c r="C798">
        <v>1</v>
      </c>
      <c r="D798" t="s">
        <v>128</v>
      </c>
      <c r="F798" s="20">
        <v>43967.458333333336</v>
      </c>
      <c r="G798">
        <v>120</v>
      </c>
      <c r="H798" t="s">
        <v>6</v>
      </c>
      <c r="I798" t="s">
        <v>6</v>
      </c>
      <c r="J798" s="10" t="s">
        <v>119</v>
      </c>
      <c r="K798" s="13"/>
    </row>
    <row r="799" spans="1:11">
      <c r="A799" s="10">
        <v>798</v>
      </c>
      <c r="B799" t="s">
        <v>42</v>
      </c>
      <c r="C799">
        <v>2</v>
      </c>
      <c r="D799" t="s">
        <v>49</v>
      </c>
      <c r="F799" s="20">
        <v>43967.458333333336</v>
      </c>
      <c r="G799">
        <v>120</v>
      </c>
      <c r="H799" t="s">
        <v>7</v>
      </c>
      <c r="I799" t="s">
        <v>7</v>
      </c>
      <c r="J799" s="10" t="s">
        <v>119</v>
      </c>
      <c r="K799" s="13"/>
    </row>
    <row r="800" spans="1:11">
      <c r="A800" s="10">
        <v>799</v>
      </c>
      <c r="B800" t="s">
        <v>38</v>
      </c>
      <c r="C800">
        <v>2</v>
      </c>
      <c r="D800" t="s">
        <v>45</v>
      </c>
      <c r="F800" s="20">
        <v>43967.458333333336</v>
      </c>
      <c r="G800">
        <v>120</v>
      </c>
      <c r="H800" t="s">
        <v>17</v>
      </c>
      <c r="I800" t="s">
        <v>7</v>
      </c>
      <c r="J800" s="10" t="s">
        <v>119</v>
      </c>
      <c r="K800" s="13"/>
    </row>
    <row r="801" spans="1:11">
      <c r="A801" s="10">
        <v>800</v>
      </c>
      <c r="B801" t="s">
        <v>39</v>
      </c>
      <c r="C801">
        <v>5</v>
      </c>
      <c r="D801" t="s">
        <v>50</v>
      </c>
      <c r="F801" s="20">
        <v>43967.458333333336</v>
      </c>
      <c r="G801">
        <v>90</v>
      </c>
      <c r="H801" t="s">
        <v>16</v>
      </c>
      <c r="I801" t="s">
        <v>9</v>
      </c>
      <c r="J801" s="10" t="s">
        <v>119</v>
      </c>
      <c r="K801" s="10"/>
    </row>
    <row r="802" spans="1:11">
      <c r="A802" s="10">
        <v>801</v>
      </c>
      <c r="B802" t="s">
        <v>44</v>
      </c>
      <c r="C802">
        <v>5</v>
      </c>
      <c r="D802" t="s">
        <v>51</v>
      </c>
      <c r="F802" s="20">
        <v>43967.479166666664</v>
      </c>
      <c r="G802">
        <v>90</v>
      </c>
      <c r="H802" t="s">
        <v>14</v>
      </c>
      <c r="I802" t="s">
        <v>9</v>
      </c>
      <c r="J802" s="10" t="s">
        <v>119</v>
      </c>
      <c r="K802" s="10"/>
    </row>
    <row r="803" spans="1:11">
      <c r="A803" s="10">
        <v>802</v>
      </c>
      <c r="B803" t="s">
        <v>43</v>
      </c>
      <c r="C803">
        <v>4</v>
      </c>
      <c r="D803" t="s">
        <v>46</v>
      </c>
      <c r="F803" s="20">
        <v>43967.489583333336</v>
      </c>
      <c r="G803">
        <v>105</v>
      </c>
      <c r="H803" t="s">
        <v>8</v>
      </c>
      <c r="I803" t="s">
        <v>11</v>
      </c>
      <c r="J803" s="10" t="s">
        <v>119</v>
      </c>
      <c r="K803" s="13"/>
    </row>
    <row r="804" spans="1:11">
      <c r="A804" s="10">
        <v>803</v>
      </c>
      <c r="B804" t="s">
        <v>40</v>
      </c>
      <c r="C804">
        <v>4</v>
      </c>
      <c r="D804">
        <v>5</v>
      </c>
      <c r="F804" s="20">
        <v>43967.489583333336</v>
      </c>
      <c r="G804">
        <v>105</v>
      </c>
      <c r="H804" t="s">
        <v>15</v>
      </c>
      <c r="I804" t="s">
        <v>11</v>
      </c>
      <c r="J804" s="10" t="s">
        <v>119</v>
      </c>
      <c r="K804" s="10"/>
    </row>
    <row r="805" spans="1:11">
      <c r="A805" s="10">
        <v>804</v>
      </c>
      <c r="B805" t="s">
        <v>37</v>
      </c>
      <c r="C805">
        <v>3</v>
      </c>
      <c r="D805" t="s">
        <v>45</v>
      </c>
      <c r="F805" s="20">
        <v>43967.520833333336</v>
      </c>
      <c r="G805">
        <v>105</v>
      </c>
      <c r="H805" t="s">
        <v>18</v>
      </c>
      <c r="I805" t="s">
        <v>10</v>
      </c>
      <c r="J805" t="s">
        <v>119</v>
      </c>
      <c r="K805" s="13"/>
    </row>
    <row r="806" spans="1:11">
      <c r="A806" s="10">
        <v>805</v>
      </c>
      <c r="B806" t="s">
        <v>39</v>
      </c>
      <c r="C806">
        <v>5</v>
      </c>
      <c r="D806" t="s">
        <v>50</v>
      </c>
      <c r="F806" s="20">
        <v>43967.520833333336</v>
      </c>
      <c r="G806">
        <v>90</v>
      </c>
      <c r="H806" t="s">
        <v>16</v>
      </c>
      <c r="I806" t="s">
        <v>9</v>
      </c>
      <c r="J806" t="s">
        <v>119</v>
      </c>
    </row>
    <row r="807" spans="1:11">
      <c r="A807" s="10">
        <v>806</v>
      </c>
      <c r="B807" t="s">
        <v>41</v>
      </c>
      <c r="C807">
        <v>1</v>
      </c>
      <c r="D807" t="s">
        <v>128</v>
      </c>
      <c r="F807" s="20">
        <v>43967.541666666664</v>
      </c>
      <c r="G807">
        <v>120</v>
      </c>
      <c r="H807" t="s">
        <v>6</v>
      </c>
      <c r="I807" t="s">
        <v>6</v>
      </c>
      <c r="J807" t="s">
        <v>119</v>
      </c>
      <c r="K807" s="13"/>
    </row>
    <row r="808" spans="1:11">
      <c r="A808" s="10">
        <v>807</v>
      </c>
      <c r="B808" t="s">
        <v>42</v>
      </c>
      <c r="C808">
        <v>2</v>
      </c>
      <c r="D808" t="s">
        <v>49</v>
      </c>
      <c r="F808" s="20">
        <v>43967.541666666664</v>
      </c>
      <c r="G808">
        <v>120</v>
      </c>
      <c r="H808" t="s">
        <v>7</v>
      </c>
      <c r="I808" t="s">
        <v>7</v>
      </c>
      <c r="J808" t="s">
        <v>119</v>
      </c>
      <c r="K808" s="13"/>
    </row>
    <row r="809" spans="1:11">
      <c r="A809" s="10">
        <v>808</v>
      </c>
      <c r="B809" t="s">
        <v>38</v>
      </c>
      <c r="C809">
        <v>2</v>
      </c>
      <c r="D809" t="s">
        <v>45</v>
      </c>
      <c r="F809" s="20">
        <v>43967.541666666664</v>
      </c>
      <c r="G809">
        <v>120</v>
      </c>
      <c r="H809" t="s">
        <v>17</v>
      </c>
      <c r="I809" t="s">
        <v>7</v>
      </c>
      <c r="J809" t="s">
        <v>119</v>
      </c>
      <c r="K809" s="13"/>
    </row>
    <row r="810" spans="1:11">
      <c r="A810" s="10">
        <v>809</v>
      </c>
      <c r="B810" t="s">
        <v>44</v>
      </c>
      <c r="C810">
        <v>5</v>
      </c>
      <c r="D810" t="s">
        <v>51</v>
      </c>
      <c r="F810" s="20">
        <v>43967.541666666664</v>
      </c>
      <c r="G810">
        <v>90</v>
      </c>
      <c r="H810" t="s">
        <v>14</v>
      </c>
      <c r="I810" t="s">
        <v>9</v>
      </c>
      <c r="J810" t="s">
        <v>119</v>
      </c>
    </row>
    <row r="811" spans="1:11">
      <c r="A811" s="10">
        <v>810</v>
      </c>
      <c r="B811" t="s">
        <v>43</v>
      </c>
      <c r="C811">
        <v>4</v>
      </c>
      <c r="D811" t="s">
        <v>46</v>
      </c>
      <c r="F811" s="20">
        <v>43967.572916666664</v>
      </c>
      <c r="G811">
        <v>105</v>
      </c>
      <c r="H811" t="s">
        <v>8</v>
      </c>
      <c r="I811" t="s">
        <v>11</v>
      </c>
      <c r="J811" t="s">
        <v>119</v>
      </c>
      <c r="K811" s="13"/>
    </row>
    <row r="812" spans="1:11">
      <c r="A812" s="10">
        <v>811</v>
      </c>
      <c r="B812" t="s">
        <v>40</v>
      </c>
      <c r="C812">
        <v>4</v>
      </c>
      <c r="D812">
        <v>5</v>
      </c>
      <c r="F812" s="20">
        <v>43967.572916666664</v>
      </c>
      <c r="G812">
        <v>105</v>
      </c>
      <c r="H812" t="s">
        <v>15</v>
      </c>
      <c r="I812" t="s">
        <v>11</v>
      </c>
      <c r="J812" t="s">
        <v>119</v>
      </c>
    </row>
    <row r="813" spans="1:11">
      <c r="A813" s="10">
        <v>812</v>
      </c>
      <c r="B813" t="s">
        <v>39</v>
      </c>
      <c r="C813">
        <v>5</v>
      </c>
      <c r="D813" t="s">
        <v>50</v>
      </c>
      <c r="F813" s="20">
        <v>43967.583333333336</v>
      </c>
      <c r="G813">
        <v>90</v>
      </c>
      <c r="H813" t="s">
        <v>16</v>
      </c>
      <c r="I813" t="s">
        <v>9</v>
      </c>
      <c r="J813" t="s">
        <v>119</v>
      </c>
    </row>
    <row r="814" spans="1:11">
      <c r="A814" s="10">
        <v>813</v>
      </c>
      <c r="B814" t="s">
        <v>37</v>
      </c>
      <c r="C814">
        <v>3</v>
      </c>
      <c r="D814" t="s">
        <v>45</v>
      </c>
      <c r="F814" s="20">
        <v>43967.614583333336</v>
      </c>
      <c r="G814">
        <v>105</v>
      </c>
      <c r="H814" t="s">
        <v>18</v>
      </c>
      <c r="I814" t="s">
        <v>10</v>
      </c>
      <c r="J814" t="s">
        <v>119</v>
      </c>
      <c r="K814" s="13"/>
    </row>
    <row r="815" spans="1:11">
      <c r="A815" s="10">
        <v>814</v>
      </c>
      <c r="B815" t="s">
        <v>41</v>
      </c>
      <c r="C815">
        <v>1</v>
      </c>
      <c r="D815" t="s">
        <v>128</v>
      </c>
      <c r="F815" s="20">
        <v>43967.625</v>
      </c>
      <c r="G815">
        <v>120</v>
      </c>
      <c r="H815" t="s">
        <v>6</v>
      </c>
      <c r="I815" t="s">
        <v>6</v>
      </c>
      <c r="J815" t="s">
        <v>119</v>
      </c>
      <c r="K815" s="13"/>
    </row>
    <row r="816" spans="1:11">
      <c r="A816" s="10">
        <v>815</v>
      </c>
      <c r="B816" t="s">
        <v>42</v>
      </c>
      <c r="C816">
        <v>2</v>
      </c>
      <c r="D816" t="s">
        <v>49</v>
      </c>
      <c r="F816" s="20">
        <v>43967.625</v>
      </c>
      <c r="G816">
        <v>120</v>
      </c>
      <c r="H816" t="s">
        <v>7</v>
      </c>
      <c r="I816" t="s">
        <v>7</v>
      </c>
      <c r="J816" t="s">
        <v>119</v>
      </c>
      <c r="K816" s="13"/>
    </row>
    <row r="817" spans="1:11">
      <c r="A817" s="10">
        <v>816</v>
      </c>
      <c r="B817" t="s">
        <v>44</v>
      </c>
      <c r="C817">
        <v>5</v>
      </c>
      <c r="D817" t="s">
        <v>51</v>
      </c>
      <c r="F817" s="20">
        <v>43967.625</v>
      </c>
      <c r="G817">
        <v>90</v>
      </c>
      <c r="H817" t="s">
        <v>14</v>
      </c>
      <c r="I817" t="s">
        <v>9</v>
      </c>
      <c r="J817" t="s">
        <v>119</v>
      </c>
    </row>
    <row r="818" spans="1:11">
      <c r="A818" s="10">
        <v>817</v>
      </c>
      <c r="B818" t="s">
        <v>38</v>
      </c>
      <c r="C818">
        <v>2</v>
      </c>
      <c r="D818" t="s">
        <v>45</v>
      </c>
      <c r="F818" s="20">
        <v>43967.635416666664</v>
      </c>
      <c r="G818">
        <v>120</v>
      </c>
      <c r="H818" t="s">
        <v>17</v>
      </c>
      <c r="I818" t="s">
        <v>7</v>
      </c>
      <c r="J818" t="s">
        <v>119</v>
      </c>
      <c r="K818" s="13"/>
    </row>
    <row r="819" spans="1:11">
      <c r="A819" s="10">
        <v>818</v>
      </c>
      <c r="B819" t="s">
        <v>39</v>
      </c>
      <c r="C819">
        <v>3</v>
      </c>
      <c r="D819" t="s">
        <v>50</v>
      </c>
      <c r="F819" s="20">
        <v>43967.645833333336</v>
      </c>
      <c r="G819">
        <v>105</v>
      </c>
      <c r="H819" t="s">
        <v>16</v>
      </c>
      <c r="I819" t="s">
        <v>10</v>
      </c>
      <c r="J819" t="s">
        <v>119</v>
      </c>
      <c r="K819" s="13"/>
    </row>
    <row r="820" spans="1:11">
      <c r="A820" s="10">
        <v>819</v>
      </c>
      <c r="B820" t="s">
        <v>43</v>
      </c>
      <c r="C820">
        <v>4</v>
      </c>
      <c r="D820" t="s">
        <v>46</v>
      </c>
      <c r="F820" s="20">
        <v>43967.645833333336</v>
      </c>
      <c r="G820">
        <v>105</v>
      </c>
      <c r="H820" t="s">
        <v>8</v>
      </c>
      <c r="I820" t="s">
        <v>11</v>
      </c>
      <c r="J820" t="s">
        <v>119</v>
      </c>
      <c r="K820" s="13"/>
    </row>
    <row r="821" spans="1:11">
      <c r="A821" s="10">
        <v>820</v>
      </c>
      <c r="B821" t="s">
        <v>40</v>
      </c>
      <c r="C821">
        <v>4</v>
      </c>
      <c r="D821">
        <v>5</v>
      </c>
      <c r="F821" s="20">
        <v>43967.645833333336</v>
      </c>
      <c r="G821">
        <v>105</v>
      </c>
      <c r="H821" t="s">
        <v>15</v>
      </c>
      <c r="I821" t="s">
        <v>11</v>
      </c>
      <c r="J821" s="10" t="s">
        <v>119</v>
      </c>
      <c r="K821" s="10"/>
    </row>
    <row r="822" spans="1:11">
      <c r="A822" s="10">
        <v>821</v>
      </c>
      <c r="B822" t="s">
        <v>37</v>
      </c>
      <c r="C822">
        <v>3</v>
      </c>
      <c r="D822" t="s">
        <v>45</v>
      </c>
      <c r="F822" s="20">
        <v>43967.6875</v>
      </c>
      <c r="G822">
        <v>105</v>
      </c>
      <c r="H822" t="s">
        <v>18</v>
      </c>
      <c r="I822" t="s">
        <v>10</v>
      </c>
      <c r="J822" s="10" t="s">
        <v>119</v>
      </c>
      <c r="K822" s="13"/>
    </row>
    <row r="823" spans="1:11">
      <c r="A823" s="10">
        <v>822</v>
      </c>
      <c r="B823" t="s">
        <v>44</v>
      </c>
      <c r="C823">
        <v>5</v>
      </c>
      <c r="D823" t="s">
        <v>51</v>
      </c>
      <c r="F823" s="20">
        <v>43967.6875</v>
      </c>
      <c r="G823">
        <v>90</v>
      </c>
      <c r="H823" t="s">
        <v>14</v>
      </c>
      <c r="I823" t="s">
        <v>9</v>
      </c>
      <c r="J823" s="10" t="s">
        <v>119</v>
      </c>
      <c r="K823" s="10"/>
    </row>
    <row r="824" spans="1:11">
      <c r="A824" s="10">
        <v>823</v>
      </c>
      <c r="B824" t="s">
        <v>41</v>
      </c>
      <c r="C824">
        <v>1</v>
      </c>
      <c r="D824" t="s">
        <v>128</v>
      </c>
      <c r="F824" s="20">
        <v>43967.708333333336</v>
      </c>
      <c r="G824">
        <v>120</v>
      </c>
      <c r="H824" t="s">
        <v>6</v>
      </c>
      <c r="I824" t="s">
        <v>6</v>
      </c>
      <c r="J824" s="10" t="s">
        <v>119</v>
      </c>
      <c r="K824" s="13"/>
    </row>
    <row r="825" spans="1:11">
      <c r="A825" s="10">
        <v>824</v>
      </c>
      <c r="B825" t="s">
        <v>42</v>
      </c>
      <c r="C825">
        <v>2</v>
      </c>
      <c r="D825" t="s">
        <v>49</v>
      </c>
      <c r="F825" s="20">
        <v>43967.708333333336</v>
      </c>
      <c r="G825">
        <v>120</v>
      </c>
      <c r="H825" t="s">
        <v>7</v>
      </c>
      <c r="I825" t="s">
        <v>7</v>
      </c>
      <c r="J825" s="10" t="s">
        <v>119</v>
      </c>
      <c r="K825" s="13"/>
    </row>
    <row r="826" spans="1:11">
      <c r="A826" s="10">
        <v>825</v>
      </c>
      <c r="B826" t="s">
        <v>39</v>
      </c>
      <c r="C826">
        <v>3</v>
      </c>
      <c r="D826" t="s">
        <v>50</v>
      </c>
      <c r="F826" s="20">
        <v>43967.71875</v>
      </c>
      <c r="G826">
        <v>105</v>
      </c>
      <c r="H826" t="s">
        <v>16</v>
      </c>
      <c r="I826" t="s">
        <v>10</v>
      </c>
      <c r="J826" t="s">
        <v>119</v>
      </c>
      <c r="K826" s="13"/>
    </row>
    <row r="827" spans="1:11">
      <c r="A827" s="10">
        <v>826</v>
      </c>
      <c r="B827" t="s">
        <v>38</v>
      </c>
      <c r="C827">
        <v>3</v>
      </c>
      <c r="D827" t="s">
        <v>45</v>
      </c>
      <c r="F827" s="20">
        <v>43967.71875</v>
      </c>
      <c r="G827">
        <v>105</v>
      </c>
      <c r="H827" t="s">
        <v>17</v>
      </c>
      <c r="I827" t="s">
        <v>10</v>
      </c>
      <c r="J827" t="s">
        <v>119</v>
      </c>
      <c r="K827" s="13"/>
    </row>
    <row r="828" spans="1:11">
      <c r="A828" s="10">
        <v>827</v>
      </c>
      <c r="B828" t="s">
        <v>43</v>
      </c>
      <c r="C828">
        <v>4</v>
      </c>
      <c r="D828" t="s">
        <v>46</v>
      </c>
      <c r="F828" s="20">
        <v>43967.71875</v>
      </c>
      <c r="G828">
        <v>105</v>
      </c>
      <c r="H828" t="s">
        <v>8</v>
      </c>
      <c r="I828" t="s">
        <v>11</v>
      </c>
      <c r="J828" t="s">
        <v>119</v>
      </c>
    </row>
    <row r="829" spans="1:11">
      <c r="A829" s="10">
        <v>828</v>
      </c>
      <c r="B829" t="s">
        <v>40</v>
      </c>
      <c r="C829">
        <v>4</v>
      </c>
      <c r="D829">
        <v>5</v>
      </c>
      <c r="F829" s="20">
        <v>43967.71875</v>
      </c>
      <c r="G829">
        <v>105</v>
      </c>
      <c r="H829" t="s">
        <v>15</v>
      </c>
      <c r="I829" t="s">
        <v>11</v>
      </c>
      <c r="J829" t="s">
        <v>119</v>
      </c>
    </row>
  </sheetData>
  <autoFilter ref="A1:K692" xr:uid="{D091315E-7928-4C23-827C-4DFFBFEE119E}">
    <sortState xmlns:xlrd2="http://schemas.microsoft.com/office/spreadsheetml/2017/richdata2" ref="A2:K829">
      <sortCondition ref="F1:F692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83820</xdr:rowOff>
                  </from>
                  <to>
                    <xdr:col>14</xdr:col>
                    <xdr:colOff>7620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T114"/>
  <sheetViews>
    <sheetView workbookViewId="0">
      <selection activeCell="C20" sqref="C20"/>
    </sheetView>
  </sheetViews>
  <sheetFormatPr defaultRowHeight="14.4"/>
  <cols>
    <col min="1" max="1" width="34.6640625" customWidth="1"/>
    <col min="2" max="2" width="12.5546875" bestFit="1" customWidth="1"/>
    <col min="4" max="4" width="24.21875" style="6" bestFit="1" customWidth="1"/>
    <col min="5" max="5" width="8.88671875" style="10"/>
    <col min="6" max="6" width="25.88671875" bestFit="1" customWidth="1"/>
    <col min="7" max="7" width="15.33203125" bestFit="1" customWidth="1"/>
    <col min="9" max="9" width="19" style="10" customWidth="1"/>
    <col min="12" max="12" width="25.88671875" style="6" bestFit="1" customWidth="1"/>
    <col min="13" max="13" width="16.33203125" bestFit="1" customWidth="1"/>
    <col min="16" max="16" width="15.33203125" bestFit="1" customWidth="1"/>
    <col min="18" max="19" width="15.33203125" customWidth="1"/>
  </cols>
  <sheetData>
    <row r="1" spans="1:20">
      <c r="A1" t="s">
        <v>19</v>
      </c>
      <c r="B1" t="s">
        <v>20</v>
      </c>
    </row>
    <row r="2" spans="1:20">
      <c r="A2" s="5">
        <v>43906</v>
      </c>
      <c r="B2" s="10" t="s">
        <v>102</v>
      </c>
      <c r="D2" s="5">
        <v>43906</v>
      </c>
      <c r="E2" s="10" t="s">
        <v>102</v>
      </c>
      <c r="F2" s="6">
        <f t="shared" ref="F2:F5" si="0">A2</f>
        <v>43906</v>
      </c>
      <c r="G2" s="7">
        <f>WEEKDAY(F2)</f>
        <v>2</v>
      </c>
      <c r="I2" s="5">
        <v>43906</v>
      </c>
      <c r="J2" t="s">
        <v>102</v>
      </c>
      <c r="K2" t="b">
        <f>J2=B2</f>
        <v>1</v>
      </c>
      <c r="L2" s="8" t="s">
        <v>56</v>
      </c>
      <c r="M2" s="5">
        <v>43906</v>
      </c>
      <c r="N2">
        <f>WEEKDAY(M2)</f>
        <v>2</v>
      </c>
      <c r="O2">
        <f>IF(OR(N2=7,N2=1),9,18)</f>
        <v>18</v>
      </c>
      <c r="P2" s="9">
        <f>M2+O2/24</f>
        <v>43906.75</v>
      </c>
      <c r="Q2" t="str">
        <f t="shared" ref="Q2:Q45" si="1">_xlfn.CONCAT(R2:T2)</f>
        <v>Weeknights</v>
      </c>
      <c r="R2" s="9" t="str">
        <f>IF(AND(N2&gt;=2,N2&lt;=5),"Weeknights","")</f>
        <v>Weeknights</v>
      </c>
      <c r="S2" s="9" t="str">
        <f>IF(N2=6,"Friday Nights","")</f>
        <v/>
      </c>
      <c r="T2" t="str">
        <f t="shared" ref="T2:T45" si="2">IF(N2=7,"Sat","")</f>
        <v/>
      </c>
    </row>
    <row r="3" spans="1:20">
      <c r="A3" s="5">
        <v>43907</v>
      </c>
      <c r="B3" s="32" t="s">
        <v>102</v>
      </c>
      <c r="C3" s="32"/>
      <c r="D3" s="5">
        <v>43907</v>
      </c>
      <c r="E3" s="32" t="s">
        <v>102</v>
      </c>
      <c r="F3" s="6">
        <f t="shared" si="0"/>
        <v>43907</v>
      </c>
      <c r="G3" s="7">
        <f t="shared" ref="G3:G35" si="3">WEEKDAY(F3)</f>
        <v>3</v>
      </c>
      <c r="I3" s="5">
        <v>43907</v>
      </c>
      <c r="J3" t="s">
        <v>103</v>
      </c>
      <c r="K3" s="10" t="b">
        <f t="shared" ref="K3:K5" si="4">J3=B3</f>
        <v>0</v>
      </c>
      <c r="L3" s="8" t="s">
        <v>57</v>
      </c>
      <c r="M3" s="5">
        <v>43907</v>
      </c>
      <c r="N3">
        <f t="shared" ref="N3:N45" si="5">WEEKDAY(M3)</f>
        <v>3</v>
      </c>
      <c r="O3">
        <f t="shared" ref="O3:O45" si="6">IF(OR(N3=7,N3=1),9,18)</f>
        <v>18</v>
      </c>
      <c r="P3" s="9">
        <f t="shared" ref="P3:P45" si="7">M3+O3/24</f>
        <v>43907.75</v>
      </c>
      <c r="Q3" t="str">
        <f t="shared" si="1"/>
        <v>Weeknights</v>
      </c>
      <c r="R3" s="9" t="str">
        <f t="shared" ref="R3:R45" si="8">IF(AND(N3&gt;=2,N3&lt;=5),"Weeknights","")</f>
        <v>Weeknights</v>
      </c>
      <c r="S3" s="9" t="str">
        <f t="shared" ref="S3:S45" si="9">IF(N3=6,"Friday Nights","")</f>
        <v/>
      </c>
      <c r="T3" t="str">
        <f t="shared" si="2"/>
        <v/>
      </c>
    </row>
    <row r="4" spans="1:20">
      <c r="A4" s="5">
        <v>43908</v>
      </c>
      <c r="B4" s="32" t="s">
        <v>103</v>
      </c>
      <c r="C4" s="32"/>
      <c r="D4" s="5">
        <v>43908</v>
      </c>
      <c r="E4" s="32" t="s">
        <v>103</v>
      </c>
      <c r="F4" s="6">
        <f t="shared" si="0"/>
        <v>43908</v>
      </c>
      <c r="G4" s="7">
        <f t="shared" si="3"/>
        <v>4</v>
      </c>
      <c r="I4" s="5">
        <v>43908</v>
      </c>
      <c r="J4" t="s">
        <v>103</v>
      </c>
      <c r="K4" s="10" t="b">
        <f t="shared" si="4"/>
        <v>1</v>
      </c>
      <c r="L4" s="8" t="s">
        <v>58</v>
      </c>
      <c r="M4" s="5">
        <v>43908</v>
      </c>
      <c r="N4">
        <f t="shared" si="5"/>
        <v>4</v>
      </c>
      <c r="O4">
        <f t="shared" si="6"/>
        <v>18</v>
      </c>
      <c r="P4" s="9">
        <f t="shared" si="7"/>
        <v>43908.75</v>
      </c>
      <c r="Q4" t="str">
        <f t="shared" si="1"/>
        <v>Weeknights</v>
      </c>
      <c r="R4" s="9" t="str">
        <f t="shared" si="8"/>
        <v>Weeknights</v>
      </c>
      <c r="S4" s="9" t="str">
        <f t="shared" si="9"/>
        <v/>
      </c>
      <c r="T4" t="str">
        <f t="shared" si="2"/>
        <v/>
      </c>
    </row>
    <row r="5" spans="1:20">
      <c r="A5" s="5">
        <v>43909</v>
      </c>
      <c r="B5" s="33" t="s">
        <v>137</v>
      </c>
      <c r="C5" s="32" t="s">
        <v>144</v>
      </c>
      <c r="D5" s="5">
        <v>43909</v>
      </c>
      <c r="E5" s="32" t="s">
        <v>137</v>
      </c>
      <c r="F5" s="6">
        <f t="shared" si="0"/>
        <v>43909</v>
      </c>
      <c r="G5" s="7">
        <f t="shared" si="3"/>
        <v>5</v>
      </c>
      <c r="I5" s="5">
        <v>43909</v>
      </c>
      <c r="J5" t="s">
        <v>104</v>
      </c>
      <c r="K5" s="10" t="b">
        <f t="shared" si="4"/>
        <v>0</v>
      </c>
      <c r="L5" s="8" t="s">
        <v>59</v>
      </c>
      <c r="M5" s="5">
        <v>43909</v>
      </c>
      <c r="N5">
        <f t="shared" si="5"/>
        <v>5</v>
      </c>
      <c r="O5">
        <f t="shared" si="6"/>
        <v>18</v>
      </c>
      <c r="P5" s="9">
        <f t="shared" si="7"/>
        <v>43909.75</v>
      </c>
      <c r="Q5" t="str">
        <f t="shared" si="1"/>
        <v>Weeknights</v>
      </c>
      <c r="R5" s="9" t="str">
        <f t="shared" si="8"/>
        <v>Weeknights</v>
      </c>
      <c r="S5" s="9" t="str">
        <f t="shared" si="9"/>
        <v/>
      </c>
      <c r="T5" t="str">
        <f t="shared" si="2"/>
        <v/>
      </c>
    </row>
    <row r="6" spans="1:20">
      <c r="A6" s="5">
        <v>43911</v>
      </c>
      <c r="B6" s="33" t="s">
        <v>135</v>
      </c>
      <c r="C6" s="32" t="s">
        <v>144</v>
      </c>
      <c r="D6" s="5">
        <v>43911</v>
      </c>
      <c r="E6" s="32" t="s">
        <v>135</v>
      </c>
      <c r="F6" s="6">
        <f>A6</f>
        <v>43911</v>
      </c>
      <c r="G6" s="7">
        <f t="shared" si="3"/>
        <v>7</v>
      </c>
      <c r="I6" s="5">
        <v>43911</v>
      </c>
      <c r="J6" t="s">
        <v>121</v>
      </c>
      <c r="K6" s="10" t="b">
        <f>J6=B6</f>
        <v>0</v>
      </c>
      <c r="L6" s="8" t="s">
        <v>60</v>
      </c>
      <c r="M6" s="5">
        <v>43910</v>
      </c>
      <c r="N6">
        <f t="shared" si="5"/>
        <v>6</v>
      </c>
      <c r="O6">
        <f t="shared" si="6"/>
        <v>18</v>
      </c>
      <c r="P6" s="9">
        <f t="shared" si="7"/>
        <v>43910.75</v>
      </c>
      <c r="Q6" t="str">
        <f t="shared" si="1"/>
        <v>Friday Nights</v>
      </c>
      <c r="R6" s="9" t="str">
        <f t="shared" si="8"/>
        <v/>
      </c>
      <c r="S6" s="9" t="str">
        <f t="shared" si="9"/>
        <v>Friday Nights</v>
      </c>
      <c r="T6" t="str">
        <f t="shared" si="2"/>
        <v/>
      </c>
    </row>
    <row r="7" spans="1:20">
      <c r="A7" s="5">
        <v>43913</v>
      </c>
      <c r="B7" s="32" t="s">
        <v>137</v>
      </c>
      <c r="C7" s="32"/>
      <c r="D7" s="5">
        <v>43913</v>
      </c>
      <c r="E7" s="32" t="s">
        <v>137</v>
      </c>
      <c r="F7" s="6">
        <f>A7</f>
        <v>43913</v>
      </c>
      <c r="G7" s="7">
        <f t="shared" si="3"/>
        <v>2</v>
      </c>
      <c r="I7" s="5">
        <v>43913</v>
      </c>
      <c r="J7" t="s">
        <v>105</v>
      </c>
      <c r="K7" s="10" t="b">
        <f>J7=B7</f>
        <v>0</v>
      </c>
      <c r="L7" s="8" t="s">
        <v>61</v>
      </c>
      <c r="M7" s="5">
        <v>43911</v>
      </c>
      <c r="N7">
        <f t="shared" si="5"/>
        <v>7</v>
      </c>
      <c r="O7">
        <f t="shared" si="6"/>
        <v>9</v>
      </c>
      <c r="P7" s="9">
        <f t="shared" si="7"/>
        <v>43911.375</v>
      </c>
      <c r="Q7" t="str">
        <f t="shared" si="1"/>
        <v>Sat</v>
      </c>
      <c r="R7" s="9" t="str">
        <f t="shared" si="8"/>
        <v/>
      </c>
      <c r="S7" s="9" t="str">
        <f t="shared" si="9"/>
        <v/>
      </c>
      <c r="T7" t="str">
        <f t="shared" si="2"/>
        <v>Sat</v>
      </c>
    </row>
    <row r="8" spans="1:20">
      <c r="A8" s="5">
        <v>43914</v>
      </c>
      <c r="B8" s="32" t="s">
        <v>137</v>
      </c>
      <c r="C8" s="32"/>
      <c r="D8" s="5">
        <v>43914</v>
      </c>
      <c r="E8" s="32" t="s">
        <v>137</v>
      </c>
      <c r="F8" s="6">
        <f>A8</f>
        <v>43914</v>
      </c>
      <c r="G8" s="7">
        <f t="shared" si="3"/>
        <v>3</v>
      </c>
      <c r="I8" s="5">
        <v>43914</v>
      </c>
      <c r="J8" t="s">
        <v>106</v>
      </c>
      <c r="K8" s="10" t="b">
        <f>J8=B8</f>
        <v>0</v>
      </c>
      <c r="L8" s="8" t="s">
        <v>62</v>
      </c>
      <c r="M8" s="5">
        <v>43913</v>
      </c>
      <c r="N8">
        <f t="shared" si="5"/>
        <v>2</v>
      </c>
      <c r="O8">
        <f t="shared" si="6"/>
        <v>18</v>
      </c>
      <c r="P8" s="9">
        <f t="shared" si="7"/>
        <v>43913.75</v>
      </c>
      <c r="Q8" t="str">
        <f t="shared" si="1"/>
        <v>Weeknights</v>
      </c>
      <c r="R8" s="9" t="str">
        <f t="shared" si="8"/>
        <v>Weeknights</v>
      </c>
      <c r="S8" s="9" t="str">
        <f t="shared" si="9"/>
        <v/>
      </c>
      <c r="T8" t="str">
        <f t="shared" si="2"/>
        <v/>
      </c>
    </row>
    <row r="9" spans="1:20">
      <c r="A9" s="5">
        <v>43915</v>
      </c>
      <c r="B9" s="32" t="s">
        <v>104</v>
      </c>
      <c r="C9" s="32"/>
      <c r="D9" s="5">
        <v>43915</v>
      </c>
      <c r="E9" s="32" t="s">
        <v>104</v>
      </c>
      <c r="F9" s="6">
        <f>A9</f>
        <v>43915</v>
      </c>
      <c r="G9" s="7">
        <f t="shared" si="3"/>
        <v>4</v>
      </c>
      <c r="I9" s="5">
        <v>43915</v>
      </c>
      <c r="J9" t="s">
        <v>107</v>
      </c>
      <c r="K9" s="10" t="b">
        <f>J9=B9</f>
        <v>0</v>
      </c>
      <c r="L9" s="8" t="s">
        <v>63</v>
      </c>
      <c r="M9" s="5">
        <v>43914</v>
      </c>
      <c r="N9">
        <f t="shared" si="5"/>
        <v>3</v>
      </c>
      <c r="O9">
        <f t="shared" si="6"/>
        <v>18</v>
      </c>
      <c r="P9" s="9">
        <f t="shared" si="7"/>
        <v>43914.75</v>
      </c>
      <c r="Q9" t="str">
        <f t="shared" si="1"/>
        <v>Weeknights</v>
      </c>
      <c r="R9" s="9" t="str">
        <f t="shared" si="8"/>
        <v>Weeknights</v>
      </c>
      <c r="S9" s="9" t="str">
        <f t="shared" si="9"/>
        <v/>
      </c>
      <c r="T9" t="str">
        <f t="shared" si="2"/>
        <v/>
      </c>
    </row>
    <row r="10" spans="1:20">
      <c r="A10" s="5">
        <v>43916</v>
      </c>
      <c r="B10" s="32" t="s">
        <v>137</v>
      </c>
      <c r="C10" s="32"/>
      <c r="D10" s="5">
        <v>43917</v>
      </c>
      <c r="E10" s="10" t="s">
        <v>132</v>
      </c>
      <c r="F10" s="6">
        <f>A11</f>
        <v>43917</v>
      </c>
      <c r="G10" s="7">
        <f t="shared" si="3"/>
        <v>6</v>
      </c>
      <c r="I10" s="5">
        <v>43917</v>
      </c>
      <c r="J10" t="s">
        <v>115</v>
      </c>
      <c r="K10" s="10" t="b">
        <f>J10=B11</f>
        <v>0</v>
      </c>
      <c r="L10" s="8" t="s">
        <v>64</v>
      </c>
      <c r="M10" s="5">
        <v>43915</v>
      </c>
      <c r="N10">
        <f t="shared" si="5"/>
        <v>4</v>
      </c>
      <c r="O10">
        <f t="shared" si="6"/>
        <v>18</v>
      </c>
      <c r="P10" s="9">
        <f t="shared" si="7"/>
        <v>43915.75</v>
      </c>
      <c r="Q10" t="str">
        <f t="shared" si="1"/>
        <v>Weeknights</v>
      </c>
      <c r="R10" s="9" t="str">
        <f t="shared" si="8"/>
        <v>Weeknights</v>
      </c>
      <c r="S10" s="9" t="str">
        <f t="shared" si="9"/>
        <v/>
      </c>
      <c r="T10" t="str">
        <f t="shared" si="2"/>
        <v/>
      </c>
    </row>
    <row r="11" spans="1:20">
      <c r="A11" s="5">
        <v>43917</v>
      </c>
      <c r="B11" s="10" t="s">
        <v>132</v>
      </c>
      <c r="C11" s="32"/>
      <c r="D11" s="5">
        <v>43918</v>
      </c>
      <c r="E11" s="10" t="s">
        <v>108</v>
      </c>
      <c r="F11" s="6">
        <f>A12</f>
        <v>43918</v>
      </c>
      <c r="G11" s="7">
        <f t="shared" si="3"/>
        <v>7</v>
      </c>
      <c r="I11" s="5">
        <v>43918</v>
      </c>
      <c r="J11" t="s">
        <v>108</v>
      </c>
      <c r="K11" s="10" t="b">
        <f>J11=B12</f>
        <v>0</v>
      </c>
      <c r="L11" s="8" t="s">
        <v>65</v>
      </c>
      <c r="M11" s="5">
        <v>43916</v>
      </c>
      <c r="N11">
        <f t="shared" si="5"/>
        <v>5</v>
      </c>
      <c r="O11">
        <f t="shared" si="6"/>
        <v>18</v>
      </c>
      <c r="P11" s="9">
        <f t="shared" si="7"/>
        <v>43916.75</v>
      </c>
      <c r="Q11" t="str">
        <f t="shared" si="1"/>
        <v>Weeknights</v>
      </c>
      <c r="R11" s="9" t="str">
        <f t="shared" si="8"/>
        <v>Weeknights</v>
      </c>
      <c r="S11" s="9" t="str">
        <f t="shared" si="9"/>
        <v/>
      </c>
      <c r="T11" t="str">
        <f t="shared" si="2"/>
        <v/>
      </c>
    </row>
    <row r="12" spans="1:20">
      <c r="A12" s="5">
        <v>43918</v>
      </c>
      <c r="B12" s="10" t="s">
        <v>119</v>
      </c>
      <c r="C12" s="32"/>
      <c r="D12" s="5">
        <v>43921</v>
      </c>
      <c r="E12" s="10" t="s">
        <v>127</v>
      </c>
      <c r="F12" s="6">
        <f>A14</f>
        <v>43921</v>
      </c>
      <c r="G12" s="7">
        <f t="shared" si="3"/>
        <v>3</v>
      </c>
      <c r="I12" s="5">
        <v>43920</v>
      </c>
      <c r="J12" t="s">
        <v>105</v>
      </c>
      <c r="K12" s="10" t="b">
        <f>J12=B14</f>
        <v>0</v>
      </c>
      <c r="L12" s="8" t="s">
        <v>66</v>
      </c>
      <c r="M12" s="5">
        <v>43917</v>
      </c>
      <c r="N12">
        <f t="shared" si="5"/>
        <v>6</v>
      </c>
      <c r="O12">
        <f t="shared" si="6"/>
        <v>18</v>
      </c>
      <c r="P12" s="9">
        <f t="shared" si="7"/>
        <v>43917.75</v>
      </c>
      <c r="Q12" t="str">
        <f t="shared" si="1"/>
        <v>Friday Nights</v>
      </c>
      <c r="R12" s="9" t="str">
        <f t="shared" si="8"/>
        <v/>
      </c>
      <c r="S12" s="9" t="str">
        <f t="shared" si="9"/>
        <v>Friday Nights</v>
      </c>
      <c r="T12" t="str">
        <f t="shared" si="2"/>
        <v/>
      </c>
    </row>
    <row r="13" spans="1:20">
      <c r="A13" s="5">
        <v>43920</v>
      </c>
      <c r="B13" s="10" t="s">
        <v>137</v>
      </c>
      <c r="C13" s="32"/>
      <c r="D13" s="5">
        <v>43922</v>
      </c>
      <c r="E13" s="10" t="s">
        <v>134</v>
      </c>
      <c r="F13" s="6">
        <f>A15</f>
        <v>43922</v>
      </c>
      <c r="G13" s="7">
        <f t="shared" si="3"/>
        <v>4</v>
      </c>
      <c r="I13" s="5">
        <v>43921</v>
      </c>
      <c r="J13" t="s">
        <v>109</v>
      </c>
      <c r="K13" s="10" t="b">
        <f>J13=B15</f>
        <v>0</v>
      </c>
      <c r="L13" s="8" t="s">
        <v>67</v>
      </c>
      <c r="M13" s="5">
        <v>43918</v>
      </c>
      <c r="N13">
        <f t="shared" si="5"/>
        <v>7</v>
      </c>
      <c r="O13">
        <f t="shared" si="6"/>
        <v>9</v>
      </c>
      <c r="P13" s="9">
        <f t="shared" si="7"/>
        <v>43918.375</v>
      </c>
      <c r="Q13" t="str">
        <f t="shared" si="1"/>
        <v>Sat</v>
      </c>
      <c r="R13" s="9" t="str">
        <f t="shared" si="8"/>
        <v/>
      </c>
      <c r="S13" s="9" t="str">
        <f t="shared" si="9"/>
        <v/>
      </c>
      <c r="T13" t="str">
        <f t="shared" si="2"/>
        <v>Sat</v>
      </c>
    </row>
    <row r="14" spans="1:20">
      <c r="A14" s="5">
        <v>43921</v>
      </c>
      <c r="B14" s="10" t="s">
        <v>127</v>
      </c>
      <c r="C14" s="32"/>
      <c r="D14" s="5">
        <v>43924</v>
      </c>
      <c r="E14" s="10" t="s">
        <v>110</v>
      </c>
      <c r="F14" s="6">
        <f>A16</f>
        <v>43924</v>
      </c>
      <c r="G14" s="7">
        <f t="shared" si="3"/>
        <v>6</v>
      </c>
      <c r="I14" s="5">
        <v>43922</v>
      </c>
      <c r="J14" t="s">
        <v>107</v>
      </c>
      <c r="K14" s="10" t="b">
        <f>J14=B16</f>
        <v>0</v>
      </c>
      <c r="L14" s="8" t="s">
        <v>68</v>
      </c>
      <c r="M14" s="5">
        <v>43920</v>
      </c>
      <c r="N14">
        <f t="shared" si="5"/>
        <v>2</v>
      </c>
      <c r="O14">
        <f t="shared" si="6"/>
        <v>18</v>
      </c>
      <c r="P14" s="9">
        <f t="shared" si="7"/>
        <v>43920.75</v>
      </c>
      <c r="Q14" t="str">
        <f t="shared" si="1"/>
        <v>Weeknights</v>
      </c>
      <c r="R14" s="9" t="str">
        <f t="shared" si="8"/>
        <v>Weeknights</v>
      </c>
      <c r="S14" s="9" t="str">
        <f t="shared" si="9"/>
        <v/>
      </c>
      <c r="T14" t="str">
        <f t="shared" si="2"/>
        <v/>
      </c>
    </row>
    <row r="15" spans="1:20">
      <c r="A15" s="5">
        <v>43922</v>
      </c>
      <c r="B15" s="10" t="s">
        <v>134</v>
      </c>
      <c r="C15" s="10"/>
      <c r="D15" s="5">
        <v>43925</v>
      </c>
      <c r="E15" s="10" t="s">
        <v>111</v>
      </c>
      <c r="F15" s="6">
        <f>A17</f>
        <v>43925</v>
      </c>
      <c r="G15" s="7">
        <f t="shared" si="3"/>
        <v>7</v>
      </c>
      <c r="I15" s="5">
        <v>43924</v>
      </c>
      <c r="J15" t="s">
        <v>110</v>
      </c>
      <c r="K15" s="10" t="b">
        <f>J15=B17</f>
        <v>0</v>
      </c>
      <c r="L15" s="8" t="s">
        <v>69</v>
      </c>
      <c r="M15" s="5">
        <v>43921</v>
      </c>
      <c r="N15">
        <f t="shared" si="5"/>
        <v>3</v>
      </c>
      <c r="O15">
        <f t="shared" si="6"/>
        <v>18</v>
      </c>
      <c r="P15" s="9">
        <f t="shared" si="7"/>
        <v>43921.75</v>
      </c>
      <c r="Q15" t="str">
        <f t="shared" si="1"/>
        <v>Weeknights</v>
      </c>
      <c r="R15" s="9" t="str">
        <f t="shared" si="8"/>
        <v>Weeknights</v>
      </c>
      <c r="S15" s="9" t="str">
        <f t="shared" si="9"/>
        <v/>
      </c>
      <c r="T15" t="str">
        <f t="shared" si="2"/>
        <v/>
      </c>
    </row>
    <row r="16" spans="1:20">
      <c r="A16" s="5">
        <v>43924</v>
      </c>
      <c r="B16" s="10" t="s">
        <v>110</v>
      </c>
      <c r="C16" s="32"/>
      <c r="D16" s="5">
        <v>43929</v>
      </c>
      <c r="E16" s="10" t="s">
        <v>138</v>
      </c>
      <c r="F16" s="6">
        <f>A18</f>
        <v>43929</v>
      </c>
      <c r="G16" s="7">
        <f t="shared" si="3"/>
        <v>4</v>
      </c>
      <c r="I16" s="5">
        <v>43925</v>
      </c>
      <c r="J16" t="s">
        <v>111</v>
      </c>
      <c r="K16" s="10" t="b">
        <f>J16=B18</f>
        <v>0</v>
      </c>
      <c r="L16" s="8" t="s">
        <v>70</v>
      </c>
      <c r="M16" s="5">
        <v>43922</v>
      </c>
      <c r="N16">
        <f t="shared" si="5"/>
        <v>4</v>
      </c>
      <c r="O16">
        <f t="shared" si="6"/>
        <v>18</v>
      </c>
      <c r="P16" s="9">
        <f t="shared" si="7"/>
        <v>43922.75</v>
      </c>
      <c r="Q16" t="str">
        <f t="shared" si="1"/>
        <v>Weeknights</v>
      </c>
      <c r="R16" s="9" t="str">
        <f t="shared" si="8"/>
        <v>Weeknights</v>
      </c>
      <c r="S16" s="9" t="str">
        <f t="shared" si="9"/>
        <v/>
      </c>
      <c r="T16" t="str">
        <f t="shared" si="2"/>
        <v/>
      </c>
    </row>
    <row r="17" spans="1:20">
      <c r="A17" s="5">
        <v>43925</v>
      </c>
      <c r="B17" s="10" t="s">
        <v>111</v>
      </c>
      <c r="C17" s="32"/>
      <c r="D17" s="5">
        <v>43930</v>
      </c>
      <c r="E17" s="10" t="s">
        <v>139</v>
      </c>
      <c r="F17" s="6">
        <f>A19</f>
        <v>43930</v>
      </c>
      <c r="G17" s="7">
        <f t="shared" si="3"/>
        <v>5</v>
      </c>
      <c r="I17" s="5">
        <v>43929</v>
      </c>
      <c r="J17" t="s">
        <v>109</v>
      </c>
      <c r="K17" s="10" t="b">
        <f>J17=B19</f>
        <v>0</v>
      </c>
      <c r="L17" s="8" t="s">
        <v>71</v>
      </c>
      <c r="M17" s="5">
        <v>43924</v>
      </c>
      <c r="N17">
        <f t="shared" si="5"/>
        <v>6</v>
      </c>
      <c r="O17">
        <f t="shared" si="6"/>
        <v>18</v>
      </c>
      <c r="P17" s="9">
        <f t="shared" si="7"/>
        <v>43924.75</v>
      </c>
      <c r="Q17" t="str">
        <f t="shared" si="1"/>
        <v>Friday Nights</v>
      </c>
      <c r="R17" s="9" t="str">
        <f t="shared" si="8"/>
        <v/>
      </c>
      <c r="S17" s="9" t="str">
        <f t="shared" si="9"/>
        <v>Friday Nights</v>
      </c>
      <c r="T17" t="str">
        <f t="shared" si="2"/>
        <v/>
      </c>
    </row>
    <row r="18" spans="1:20">
      <c r="A18" s="5">
        <v>43929</v>
      </c>
      <c r="B18" s="10" t="s">
        <v>138</v>
      </c>
      <c r="C18" s="32"/>
      <c r="D18" s="5">
        <v>43934</v>
      </c>
      <c r="E18" s="10" t="s">
        <v>140</v>
      </c>
      <c r="F18" s="6">
        <f>A20</f>
        <v>43934</v>
      </c>
      <c r="G18" s="7">
        <f t="shared" si="3"/>
        <v>2</v>
      </c>
      <c r="I18" s="5">
        <v>43930</v>
      </c>
      <c r="J18" t="s">
        <v>112</v>
      </c>
      <c r="K18" s="10" t="b">
        <f>J18=B20</f>
        <v>0</v>
      </c>
      <c r="L18" s="8" t="s">
        <v>72</v>
      </c>
      <c r="M18" s="5">
        <v>43925</v>
      </c>
      <c r="N18">
        <f t="shared" si="5"/>
        <v>7</v>
      </c>
      <c r="O18">
        <f t="shared" si="6"/>
        <v>9</v>
      </c>
      <c r="P18" s="9">
        <f t="shared" si="7"/>
        <v>43925.375</v>
      </c>
      <c r="Q18" t="str">
        <f t="shared" si="1"/>
        <v>Sat</v>
      </c>
      <c r="R18" s="9" t="str">
        <f t="shared" si="8"/>
        <v/>
      </c>
      <c r="S18" s="9" t="str">
        <f t="shared" si="9"/>
        <v/>
      </c>
      <c r="T18" t="str">
        <f t="shared" si="2"/>
        <v>Sat</v>
      </c>
    </row>
    <row r="19" spans="1:20">
      <c r="A19" s="5">
        <v>43930</v>
      </c>
      <c r="B19" s="34" t="s">
        <v>139</v>
      </c>
      <c r="C19" s="10" t="s">
        <v>144</v>
      </c>
      <c r="D19" s="5">
        <v>43935</v>
      </c>
      <c r="E19" s="10" t="s">
        <v>104</v>
      </c>
      <c r="F19" s="6">
        <f>A21</f>
        <v>43935</v>
      </c>
      <c r="G19" s="7">
        <f t="shared" si="3"/>
        <v>3</v>
      </c>
      <c r="I19" s="5">
        <v>43934</v>
      </c>
      <c r="J19" t="s">
        <v>105</v>
      </c>
      <c r="K19" s="10" t="b">
        <f>J19=B21</f>
        <v>0</v>
      </c>
      <c r="L19" s="8" t="s">
        <v>73</v>
      </c>
      <c r="M19" s="5">
        <v>43929</v>
      </c>
      <c r="N19">
        <f t="shared" si="5"/>
        <v>4</v>
      </c>
      <c r="O19">
        <f t="shared" si="6"/>
        <v>18</v>
      </c>
      <c r="P19" s="9">
        <f t="shared" si="7"/>
        <v>43929.75</v>
      </c>
      <c r="Q19" t="str">
        <f t="shared" si="1"/>
        <v>Weeknights</v>
      </c>
      <c r="R19" s="9" t="str">
        <f t="shared" si="8"/>
        <v>Weeknights</v>
      </c>
      <c r="S19" s="9" t="str">
        <f t="shared" si="9"/>
        <v/>
      </c>
      <c r="T19" t="str">
        <f t="shared" si="2"/>
        <v/>
      </c>
    </row>
    <row r="20" spans="1:20">
      <c r="A20" s="5">
        <v>43934</v>
      </c>
      <c r="B20" s="10" t="s">
        <v>140</v>
      </c>
      <c r="C20" s="32"/>
      <c r="D20" s="5">
        <v>43936</v>
      </c>
      <c r="E20" s="10" t="s">
        <v>104</v>
      </c>
      <c r="F20" s="6">
        <f>A22</f>
        <v>43936</v>
      </c>
      <c r="G20" s="7">
        <f t="shared" si="3"/>
        <v>4</v>
      </c>
      <c r="I20" s="5">
        <v>43935</v>
      </c>
      <c r="J20" t="s">
        <v>113</v>
      </c>
      <c r="K20" s="10" t="b">
        <f>J20=B22</f>
        <v>0</v>
      </c>
      <c r="L20" s="8" t="s">
        <v>74</v>
      </c>
      <c r="M20" s="5">
        <v>43930</v>
      </c>
      <c r="N20">
        <f t="shared" si="5"/>
        <v>5</v>
      </c>
      <c r="O20">
        <f t="shared" si="6"/>
        <v>18</v>
      </c>
      <c r="P20" s="9">
        <f t="shared" si="7"/>
        <v>43930.75</v>
      </c>
      <c r="Q20" t="str">
        <f t="shared" si="1"/>
        <v>Weeknights</v>
      </c>
      <c r="R20" s="9" t="str">
        <f t="shared" si="8"/>
        <v>Weeknights</v>
      </c>
      <c r="S20" s="9" t="str">
        <f t="shared" si="9"/>
        <v/>
      </c>
      <c r="T20" t="str">
        <f t="shared" si="2"/>
        <v/>
      </c>
    </row>
    <row r="21" spans="1:20">
      <c r="A21" s="5">
        <v>43935</v>
      </c>
      <c r="B21" s="10" t="s">
        <v>104</v>
      </c>
      <c r="C21" s="32"/>
      <c r="D21" s="5">
        <v>43937</v>
      </c>
      <c r="E21" s="10" t="s">
        <v>102</v>
      </c>
      <c r="F21" s="6">
        <f>A23</f>
        <v>43937</v>
      </c>
      <c r="G21" s="7">
        <f t="shared" si="3"/>
        <v>5</v>
      </c>
      <c r="I21" s="5">
        <v>43936</v>
      </c>
      <c r="J21" t="s">
        <v>107</v>
      </c>
      <c r="K21" s="10" t="b">
        <f>J21=B23</f>
        <v>0</v>
      </c>
      <c r="L21" s="8" t="s">
        <v>75</v>
      </c>
      <c r="M21" s="5">
        <v>43934</v>
      </c>
      <c r="N21">
        <f t="shared" si="5"/>
        <v>2</v>
      </c>
      <c r="O21">
        <f t="shared" si="6"/>
        <v>18</v>
      </c>
      <c r="P21" s="9">
        <f t="shared" si="7"/>
        <v>43934.75</v>
      </c>
      <c r="Q21" t="str">
        <f t="shared" si="1"/>
        <v>Weeknights</v>
      </c>
      <c r="R21" s="9" t="str">
        <f t="shared" si="8"/>
        <v>Weeknights</v>
      </c>
      <c r="S21" s="9" t="str">
        <f t="shared" si="9"/>
        <v/>
      </c>
      <c r="T21" t="str">
        <f t="shared" si="2"/>
        <v/>
      </c>
    </row>
    <row r="22" spans="1:20">
      <c r="A22" s="5">
        <v>43936</v>
      </c>
      <c r="B22" s="10" t="s">
        <v>104</v>
      </c>
      <c r="C22" s="32"/>
      <c r="D22" s="5">
        <v>43938</v>
      </c>
      <c r="E22" s="10" t="s">
        <v>141</v>
      </c>
      <c r="F22" s="6">
        <f>A24</f>
        <v>43938</v>
      </c>
      <c r="G22" s="7">
        <f t="shared" si="3"/>
        <v>6</v>
      </c>
      <c r="I22" s="5">
        <v>43938</v>
      </c>
      <c r="J22" t="s">
        <v>110</v>
      </c>
      <c r="K22" s="10" t="b">
        <f>J22=B24</f>
        <v>0</v>
      </c>
      <c r="L22" s="8" t="s">
        <v>76</v>
      </c>
      <c r="M22" s="5">
        <v>43935</v>
      </c>
      <c r="N22">
        <f t="shared" si="5"/>
        <v>3</v>
      </c>
      <c r="O22">
        <f t="shared" si="6"/>
        <v>18</v>
      </c>
      <c r="P22" s="9">
        <f t="shared" si="7"/>
        <v>43935.75</v>
      </c>
      <c r="Q22" t="str">
        <f t="shared" si="1"/>
        <v>Weeknights</v>
      </c>
      <c r="R22" s="9" t="str">
        <f t="shared" si="8"/>
        <v>Weeknights</v>
      </c>
      <c r="S22" s="9" t="str">
        <f t="shared" si="9"/>
        <v/>
      </c>
      <c r="T22" t="str">
        <f t="shared" si="2"/>
        <v/>
      </c>
    </row>
    <row r="23" spans="1:20">
      <c r="A23" s="5">
        <v>43937</v>
      </c>
      <c r="B23" s="10" t="s">
        <v>102</v>
      </c>
      <c r="C23" s="10"/>
      <c r="D23" s="5">
        <v>43939</v>
      </c>
      <c r="E23" s="10" t="s">
        <v>108</v>
      </c>
      <c r="F23" s="6">
        <f>A25</f>
        <v>43939</v>
      </c>
      <c r="G23" s="7">
        <f t="shared" si="3"/>
        <v>7</v>
      </c>
      <c r="I23" s="5">
        <v>43939</v>
      </c>
      <c r="J23" t="s">
        <v>111</v>
      </c>
      <c r="K23" s="10" t="b">
        <f>J23=B25</f>
        <v>0</v>
      </c>
      <c r="L23" s="8" t="s">
        <v>77</v>
      </c>
      <c r="M23" s="5">
        <v>43936</v>
      </c>
      <c r="N23">
        <f t="shared" si="5"/>
        <v>4</v>
      </c>
      <c r="O23">
        <f t="shared" si="6"/>
        <v>18</v>
      </c>
      <c r="P23" s="9">
        <f t="shared" si="7"/>
        <v>43936.75</v>
      </c>
      <c r="Q23" t="str">
        <f t="shared" si="1"/>
        <v>Weeknights</v>
      </c>
      <c r="R23" s="9" t="str">
        <f t="shared" si="8"/>
        <v>Weeknights</v>
      </c>
      <c r="S23" s="9" t="str">
        <f t="shared" si="9"/>
        <v/>
      </c>
      <c r="T23" t="str">
        <f t="shared" si="2"/>
        <v/>
      </c>
    </row>
    <row r="24" spans="1:20">
      <c r="A24" s="5">
        <v>43938</v>
      </c>
      <c r="B24" s="34" t="s">
        <v>141</v>
      </c>
      <c r="C24" s="32" t="s">
        <v>144</v>
      </c>
      <c r="D24" s="5">
        <v>43941</v>
      </c>
      <c r="E24" s="10" t="s">
        <v>102</v>
      </c>
      <c r="F24" s="6">
        <f>A26</f>
        <v>43941</v>
      </c>
      <c r="G24" s="7">
        <f t="shared" si="3"/>
        <v>2</v>
      </c>
      <c r="I24" s="5">
        <v>43942</v>
      </c>
      <c r="J24" t="s">
        <v>114</v>
      </c>
      <c r="K24" s="10" t="b">
        <f>J24=B26</f>
        <v>0</v>
      </c>
      <c r="L24" s="8" t="s">
        <v>78</v>
      </c>
      <c r="M24" s="5">
        <v>43937</v>
      </c>
      <c r="N24">
        <f t="shared" si="5"/>
        <v>5</v>
      </c>
      <c r="O24">
        <f t="shared" si="6"/>
        <v>18</v>
      </c>
      <c r="P24" s="9">
        <f t="shared" si="7"/>
        <v>43937.75</v>
      </c>
      <c r="Q24" t="str">
        <f t="shared" si="1"/>
        <v>Weeknights</v>
      </c>
      <c r="R24" s="9" t="str">
        <f t="shared" si="8"/>
        <v>Weeknights</v>
      </c>
      <c r="S24" s="9" t="str">
        <f t="shared" si="9"/>
        <v/>
      </c>
      <c r="T24" t="str">
        <f t="shared" si="2"/>
        <v/>
      </c>
    </row>
    <row r="25" spans="1:20" s="10" customFormat="1">
      <c r="A25" s="5">
        <v>43939</v>
      </c>
      <c r="B25" s="10" t="s">
        <v>119</v>
      </c>
      <c r="C25" s="32"/>
      <c r="D25" s="5">
        <v>43942</v>
      </c>
      <c r="E25" s="10" t="s">
        <v>133</v>
      </c>
      <c r="F25" s="6">
        <f>A27</f>
        <v>43942</v>
      </c>
      <c r="G25" s="7">
        <f t="shared" si="3"/>
        <v>3</v>
      </c>
      <c r="I25" s="5">
        <v>43944</v>
      </c>
      <c r="J25" t="s">
        <v>123</v>
      </c>
      <c r="K25" s="10" t="b">
        <f>J25=B27</f>
        <v>0</v>
      </c>
      <c r="L25" s="8"/>
      <c r="M25" s="5"/>
      <c r="P25" s="9"/>
      <c r="R25" s="9"/>
      <c r="S25" s="9"/>
    </row>
    <row r="26" spans="1:20">
      <c r="A26" s="5">
        <v>43941</v>
      </c>
      <c r="B26" s="10" t="s">
        <v>102</v>
      </c>
      <c r="C26" s="32"/>
      <c r="D26" s="5">
        <v>43943</v>
      </c>
      <c r="E26" s="10" t="s">
        <v>136</v>
      </c>
      <c r="F26" s="6">
        <f>A28</f>
        <v>43943</v>
      </c>
      <c r="G26" s="7">
        <f t="shared" si="3"/>
        <v>4</v>
      </c>
      <c r="I26" s="5">
        <v>43945</v>
      </c>
      <c r="J26" t="s">
        <v>115</v>
      </c>
      <c r="K26" s="10" t="b">
        <f>J26=B28</f>
        <v>0</v>
      </c>
      <c r="L26" s="8" t="s">
        <v>79</v>
      </c>
      <c r="M26" s="5">
        <v>43939</v>
      </c>
      <c r="N26">
        <f t="shared" si="5"/>
        <v>7</v>
      </c>
      <c r="O26">
        <f t="shared" si="6"/>
        <v>9</v>
      </c>
      <c r="P26" s="9">
        <f t="shared" si="7"/>
        <v>43939.375</v>
      </c>
      <c r="Q26" t="str">
        <f t="shared" si="1"/>
        <v>Sat</v>
      </c>
      <c r="R26" s="9" t="str">
        <f t="shared" si="8"/>
        <v/>
      </c>
      <c r="S26" s="9" t="str">
        <f t="shared" si="9"/>
        <v/>
      </c>
      <c r="T26" t="str">
        <f t="shared" si="2"/>
        <v>Sat</v>
      </c>
    </row>
    <row r="27" spans="1:20">
      <c r="A27" s="5">
        <v>43942</v>
      </c>
      <c r="B27" s="10" t="s">
        <v>133</v>
      </c>
      <c r="C27" s="10"/>
      <c r="D27" s="5">
        <v>43945</v>
      </c>
      <c r="E27" s="10" t="s">
        <v>112</v>
      </c>
      <c r="F27" s="6">
        <f>A29</f>
        <v>43945</v>
      </c>
      <c r="G27" s="7">
        <f t="shared" si="3"/>
        <v>6</v>
      </c>
      <c r="I27" s="5">
        <v>43946</v>
      </c>
      <c r="J27" t="s">
        <v>108</v>
      </c>
      <c r="K27" s="10" t="b">
        <f>J27=B29</f>
        <v>0</v>
      </c>
      <c r="L27" s="8" t="s">
        <v>80</v>
      </c>
      <c r="M27" s="5">
        <v>43941</v>
      </c>
      <c r="N27">
        <f t="shared" si="5"/>
        <v>2</v>
      </c>
      <c r="O27">
        <f t="shared" si="6"/>
        <v>18</v>
      </c>
      <c r="P27" s="9">
        <f t="shared" si="7"/>
        <v>43941.75</v>
      </c>
      <c r="Q27" t="str">
        <f t="shared" si="1"/>
        <v>Weeknights</v>
      </c>
      <c r="R27" s="9" t="str">
        <f t="shared" si="8"/>
        <v>Weeknights</v>
      </c>
      <c r="S27" s="9" t="str">
        <f t="shared" si="9"/>
        <v/>
      </c>
      <c r="T27" t="str">
        <f t="shared" si="2"/>
        <v/>
      </c>
    </row>
    <row r="28" spans="1:20">
      <c r="A28" s="5">
        <v>43943</v>
      </c>
      <c r="B28" s="34" t="s">
        <v>136</v>
      </c>
      <c r="C28" s="10" t="s">
        <v>144</v>
      </c>
      <c r="D28" s="5">
        <v>43946</v>
      </c>
      <c r="E28" s="10" t="s">
        <v>111</v>
      </c>
      <c r="F28" s="6">
        <f>A30</f>
        <v>43946</v>
      </c>
      <c r="G28" s="7">
        <f t="shared" si="3"/>
        <v>7</v>
      </c>
      <c r="I28" s="5">
        <v>43948</v>
      </c>
      <c r="J28" t="s">
        <v>116</v>
      </c>
      <c r="K28" s="10" t="b">
        <f>J28=B30</f>
        <v>0</v>
      </c>
      <c r="L28" s="8" t="s">
        <v>81</v>
      </c>
      <c r="M28" s="5">
        <v>43942</v>
      </c>
      <c r="N28">
        <f t="shared" si="5"/>
        <v>3</v>
      </c>
      <c r="O28">
        <f t="shared" si="6"/>
        <v>18</v>
      </c>
      <c r="P28" s="9">
        <f t="shared" si="7"/>
        <v>43942.75</v>
      </c>
      <c r="Q28" t="str">
        <f t="shared" si="1"/>
        <v>Weeknights</v>
      </c>
      <c r="R28" s="9" t="str">
        <f t="shared" si="8"/>
        <v>Weeknights</v>
      </c>
      <c r="S28" s="9" t="str">
        <f t="shared" si="9"/>
        <v/>
      </c>
      <c r="T28" t="str">
        <f t="shared" si="2"/>
        <v/>
      </c>
    </row>
    <row r="29" spans="1:20">
      <c r="A29" s="5">
        <v>43945</v>
      </c>
      <c r="B29" s="10" t="s">
        <v>112</v>
      </c>
      <c r="C29" s="10"/>
      <c r="D29" s="5">
        <v>43949</v>
      </c>
      <c r="E29" s="10" t="s">
        <v>103</v>
      </c>
      <c r="F29" s="6">
        <f>A32</f>
        <v>43949</v>
      </c>
      <c r="G29" s="7">
        <f t="shared" si="3"/>
        <v>3</v>
      </c>
      <c r="I29" s="5">
        <v>43949</v>
      </c>
      <c r="J29" t="s">
        <v>117</v>
      </c>
      <c r="K29" s="10" t="b">
        <f>J29=B32</f>
        <v>0</v>
      </c>
      <c r="L29" s="8" t="s">
        <v>82</v>
      </c>
      <c r="M29" s="5">
        <v>43943</v>
      </c>
      <c r="N29">
        <f t="shared" si="5"/>
        <v>4</v>
      </c>
      <c r="O29">
        <f t="shared" si="6"/>
        <v>18</v>
      </c>
      <c r="P29" s="9">
        <f t="shared" si="7"/>
        <v>43943.75</v>
      </c>
      <c r="Q29" t="str">
        <f t="shared" si="1"/>
        <v>Weeknights</v>
      </c>
      <c r="R29" s="9" t="str">
        <f t="shared" si="8"/>
        <v>Weeknights</v>
      </c>
      <c r="S29" s="9" t="str">
        <f t="shared" si="9"/>
        <v/>
      </c>
      <c r="T29" t="str">
        <f t="shared" si="2"/>
        <v/>
      </c>
    </row>
    <row r="30" spans="1:20">
      <c r="A30" s="5">
        <v>43946</v>
      </c>
      <c r="B30" s="10" t="s">
        <v>111</v>
      </c>
      <c r="D30" s="5">
        <v>43950</v>
      </c>
      <c r="E30" s="10" t="s">
        <v>102</v>
      </c>
      <c r="F30" s="6">
        <f>A33</f>
        <v>43950</v>
      </c>
      <c r="G30" s="7">
        <f t="shared" si="3"/>
        <v>4</v>
      </c>
      <c r="I30" s="5">
        <v>43950</v>
      </c>
      <c r="J30" t="s">
        <v>118</v>
      </c>
      <c r="K30" s="10" t="b">
        <f>J30=B33</f>
        <v>0</v>
      </c>
      <c r="L30" s="8" t="s">
        <v>83</v>
      </c>
      <c r="M30" s="5">
        <v>43944</v>
      </c>
      <c r="N30">
        <f t="shared" si="5"/>
        <v>5</v>
      </c>
      <c r="O30">
        <f t="shared" si="6"/>
        <v>18</v>
      </c>
      <c r="P30" s="9">
        <f t="shared" si="7"/>
        <v>43944.75</v>
      </c>
      <c r="Q30" t="str">
        <f t="shared" si="1"/>
        <v>Weeknights</v>
      </c>
      <c r="R30" s="9" t="str">
        <f t="shared" si="8"/>
        <v>Weeknights</v>
      </c>
      <c r="S30" s="9" t="str">
        <f t="shared" si="9"/>
        <v/>
      </c>
      <c r="T30" t="str">
        <f t="shared" si="2"/>
        <v/>
      </c>
    </row>
    <row r="31" spans="1:20">
      <c r="A31" s="5">
        <v>43948</v>
      </c>
      <c r="B31" s="10" t="s">
        <v>133</v>
      </c>
      <c r="C31" s="10"/>
      <c r="D31" s="5">
        <v>43952</v>
      </c>
      <c r="E31" s="10" t="s">
        <v>142</v>
      </c>
      <c r="F31" s="6">
        <f>A34</f>
        <v>43952</v>
      </c>
      <c r="G31" s="7">
        <f t="shared" si="3"/>
        <v>6</v>
      </c>
      <c r="I31" s="5">
        <v>43952</v>
      </c>
      <c r="J31" t="s">
        <v>110</v>
      </c>
      <c r="K31" s="10" t="b">
        <f>J31=B34</f>
        <v>0</v>
      </c>
      <c r="L31" s="8" t="s">
        <v>84</v>
      </c>
      <c r="M31" s="5">
        <v>43945</v>
      </c>
      <c r="N31">
        <f t="shared" si="5"/>
        <v>6</v>
      </c>
      <c r="O31">
        <f t="shared" si="6"/>
        <v>18</v>
      </c>
      <c r="P31" s="9">
        <f t="shared" si="7"/>
        <v>43945.75</v>
      </c>
      <c r="Q31" t="str">
        <f t="shared" si="1"/>
        <v>Friday Nights</v>
      </c>
      <c r="R31" s="9" t="str">
        <f t="shared" si="8"/>
        <v/>
      </c>
      <c r="S31" s="9" t="str">
        <f t="shared" si="9"/>
        <v>Friday Nights</v>
      </c>
      <c r="T31" t="str">
        <f t="shared" si="2"/>
        <v/>
      </c>
    </row>
    <row r="32" spans="1:20">
      <c r="A32" s="5">
        <v>43949</v>
      </c>
      <c r="B32" s="10" t="s">
        <v>103</v>
      </c>
      <c r="C32" s="10"/>
      <c r="D32" s="5">
        <v>43953</v>
      </c>
      <c r="E32" s="10" t="s">
        <v>119</v>
      </c>
      <c r="F32" s="6">
        <f>A35</f>
        <v>43953</v>
      </c>
      <c r="G32" s="7">
        <f t="shared" si="3"/>
        <v>7</v>
      </c>
      <c r="I32" s="5">
        <v>43953</v>
      </c>
      <c r="J32" s="10" t="s">
        <v>119</v>
      </c>
      <c r="K32" s="10" t="b">
        <f>J32=B35</f>
        <v>1</v>
      </c>
      <c r="L32" s="8" t="s">
        <v>85</v>
      </c>
      <c r="M32" s="5">
        <v>43946</v>
      </c>
      <c r="N32">
        <f t="shared" si="5"/>
        <v>7</v>
      </c>
      <c r="O32">
        <f t="shared" si="6"/>
        <v>9</v>
      </c>
      <c r="P32" s="9">
        <f t="shared" si="7"/>
        <v>43946.375</v>
      </c>
      <c r="Q32" t="str">
        <f t="shared" si="1"/>
        <v>Sat</v>
      </c>
      <c r="R32" s="9" t="str">
        <f t="shared" si="8"/>
        <v/>
      </c>
      <c r="S32" s="9" t="str">
        <f t="shared" si="9"/>
        <v/>
      </c>
      <c r="T32" t="str">
        <f t="shared" si="2"/>
        <v>Sat</v>
      </c>
    </row>
    <row r="33" spans="1:20" s="10" customFormat="1">
      <c r="A33" s="5">
        <v>43950</v>
      </c>
      <c r="B33" s="10" t="s">
        <v>102</v>
      </c>
      <c r="D33" s="5">
        <v>43955</v>
      </c>
      <c r="E33" s="10" t="s">
        <v>104</v>
      </c>
      <c r="F33" s="6">
        <f>A36</f>
        <v>43955</v>
      </c>
      <c r="G33" s="7">
        <f t="shared" si="3"/>
        <v>2</v>
      </c>
      <c r="I33" s="5">
        <v>43955</v>
      </c>
      <c r="J33" t="s">
        <v>117</v>
      </c>
      <c r="K33" s="10" t="b">
        <f>J33=B36</f>
        <v>0</v>
      </c>
      <c r="L33" s="8"/>
      <c r="M33" s="5"/>
      <c r="P33" s="9"/>
      <c r="R33" s="9"/>
      <c r="S33" s="9"/>
    </row>
    <row r="34" spans="1:20">
      <c r="A34" s="5">
        <v>43952</v>
      </c>
      <c r="B34" s="34" t="s">
        <v>142</v>
      </c>
      <c r="C34" s="10" t="s">
        <v>144</v>
      </c>
      <c r="D34" s="5">
        <v>43957</v>
      </c>
      <c r="E34" s="10" t="s">
        <v>143</v>
      </c>
      <c r="F34" s="6">
        <f>A37</f>
        <v>43957</v>
      </c>
      <c r="G34" s="7">
        <f t="shared" si="3"/>
        <v>4</v>
      </c>
      <c r="I34" s="5">
        <v>43956</v>
      </c>
      <c r="J34" t="s">
        <v>124</v>
      </c>
      <c r="K34" s="10" t="b">
        <f>J34=B37</f>
        <v>0</v>
      </c>
      <c r="L34" s="8" t="s">
        <v>86</v>
      </c>
      <c r="M34" s="5">
        <v>43948</v>
      </c>
      <c r="N34">
        <f t="shared" si="5"/>
        <v>2</v>
      </c>
      <c r="O34">
        <f t="shared" si="6"/>
        <v>18</v>
      </c>
      <c r="P34" s="9">
        <f t="shared" si="7"/>
        <v>43948.75</v>
      </c>
      <c r="Q34" t="str">
        <f t="shared" si="1"/>
        <v>Weeknights</v>
      </c>
      <c r="R34" s="9" t="str">
        <f t="shared" si="8"/>
        <v>Weeknights</v>
      </c>
      <c r="S34" s="9" t="str">
        <f t="shared" si="9"/>
        <v/>
      </c>
      <c r="T34" t="str">
        <f t="shared" si="2"/>
        <v/>
      </c>
    </row>
    <row r="35" spans="1:20">
      <c r="A35" s="5">
        <v>43953</v>
      </c>
      <c r="B35" s="10" t="s">
        <v>119</v>
      </c>
      <c r="D35" s="5">
        <v>43960</v>
      </c>
      <c r="E35" s="10" t="s">
        <v>119</v>
      </c>
      <c r="F35" s="6">
        <f>A38</f>
        <v>43960</v>
      </c>
      <c r="G35" s="7">
        <f t="shared" si="3"/>
        <v>7</v>
      </c>
      <c r="I35" s="5">
        <v>43957</v>
      </c>
      <c r="J35" t="s">
        <v>120</v>
      </c>
      <c r="K35" s="10" t="b">
        <f>J35=B38</f>
        <v>0</v>
      </c>
      <c r="L35" s="8" t="s">
        <v>87</v>
      </c>
      <c r="M35" s="5">
        <v>43949</v>
      </c>
      <c r="N35">
        <f t="shared" si="5"/>
        <v>3</v>
      </c>
      <c r="O35">
        <f t="shared" si="6"/>
        <v>18</v>
      </c>
      <c r="P35" s="9">
        <f t="shared" si="7"/>
        <v>43949.75</v>
      </c>
      <c r="Q35" t="str">
        <f t="shared" si="1"/>
        <v>Weeknights</v>
      </c>
      <c r="R35" s="9" t="str">
        <f t="shared" si="8"/>
        <v>Weeknights</v>
      </c>
      <c r="S35" s="9" t="str">
        <f t="shared" si="9"/>
        <v/>
      </c>
      <c r="T35" t="str">
        <f t="shared" si="2"/>
        <v/>
      </c>
    </row>
    <row r="36" spans="1:20">
      <c r="A36" s="5">
        <v>43955</v>
      </c>
      <c r="B36" s="10" t="s">
        <v>104</v>
      </c>
      <c r="C36" s="10"/>
      <c r="F36" s="6"/>
      <c r="G36" s="7"/>
      <c r="I36" s="5">
        <v>43960</v>
      </c>
      <c r="J36" t="s">
        <v>119</v>
      </c>
      <c r="K36" s="10" t="b">
        <f>J36=B43</f>
        <v>0</v>
      </c>
      <c r="L36" s="8" t="s">
        <v>88</v>
      </c>
      <c r="M36" s="5">
        <v>43950</v>
      </c>
      <c r="N36">
        <f t="shared" si="5"/>
        <v>4</v>
      </c>
      <c r="O36">
        <f t="shared" si="6"/>
        <v>18</v>
      </c>
      <c r="P36" s="9">
        <f t="shared" si="7"/>
        <v>43950.75</v>
      </c>
      <c r="Q36" t="str">
        <f t="shared" si="1"/>
        <v>Weeknights</v>
      </c>
      <c r="R36" s="9" t="str">
        <f t="shared" si="8"/>
        <v>Weeknights</v>
      </c>
      <c r="S36" s="9" t="str">
        <f t="shared" si="9"/>
        <v/>
      </c>
      <c r="T36" t="str">
        <f t="shared" si="2"/>
        <v/>
      </c>
    </row>
    <row r="37" spans="1:20">
      <c r="A37" s="5">
        <v>43957</v>
      </c>
      <c r="B37" s="34" t="s">
        <v>143</v>
      </c>
      <c r="C37" s="10" t="s">
        <v>144</v>
      </c>
      <c r="F37" s="6"/>
      <c r="G37" s="7"/>
      <c r="I37" s="5"/>
      <c r="K37" s="10"/>
      <c r="L37" s="8" t="s">
        <v>89</v>
      </c>
      <c r="M37" s="5">
        <v>43951</v>
      </c>
      <c r="N37">
        <f t="shared" si="5"/>
        <v>5</v>
      </c>
      <c r="O37">
        <f t="shared" si="6"/>
        <v>18</v>
      </c>
      <c r="P37" s="9">
        <f t="shared" si="7"/>
        <v>43951.75</v>
      </c>
      <c r="Q37" t="str">
        <f t="shared" si="1"/>
        <v>Weeknights</v>
      </c>
      <c r="R37" s="9" t="str">
        <f t="shared" si="8"/>
        <v>Weeknights</v>
      </c>
      <c r="S37" s="9" t="str">
        <f t="shared" si="9"/>
        <v/>
      </c>
      <c r="T37" t="str">
        <f t="shared" si="2"/>
        <v/>
      </c>
    </row>
    <row r="38" spans="1:20">
      <c r="A38" s="5">
        <v>43960</v>
      </c>
      <c r="B38" s="10" t="s">
        <v>119</v>
      </c>
      <c r="C38" s="10"/>
      <c r="I38" s="5"/>
      <c r="K38" s="10"/>
      <c r="L38" s="8" t="s">
        <v>90</v>
      </c>
      <c r="M38" s="5">
        <v>43953</v>
      </c>
      <c r="N38">
        <f t="shared" si="5"/>
        <v>7</v>
      </c>
      <c r="O38">
        <f t="shared" si="6"/>
        <v>9</v>
      </c>
      <c r="P38" s="9">
        <f t="shared" si="7"/>
        <v>43953.375</v>
      </c>
      <c r="Q38" t="str">
        <f t="shared" si="1"/>
        <v>Sat</v>
      </c>
      <c r="R38" s="9" t="str">
        <f t="shared" si="8"/>
        <v/>
      </c>
      <c r="S38" s="9" t="str">
        <f t="shared" si="9"/>
        <v/>
      </c>
      <c r="T38" t="str">
        <f t="shared" si="2"/>
        <v>Sat</v>
      </c>
    </row>
    <row r="39" spans="1:20">
      <c r="A39" s="5">
        <v>43965</v>
      </c>
      <c r="B39" s="10" t="s">
        <v>137</v>
      </c>
      <c r="C39" s="10"/>
      <c r="I39" s="5"/>
      <c r="K39" s="10"/>
      <c r="L39" s="8" t="s">
        <v>91</v>
      </c>
      <c r="M39" s="5">
        <v>43955</v>
      </c>
      <c r="N39">
        <f t="shared" si="5"/>
        <v>2</v>
      </c>
      <c r="O39">
        <f t="shared" si="6"/>
        <v>18</v>
      </c>
      <c r="P39" s="9">
        <f t="shared" si="7"/>
        <v>43955.75</v>
      </c>
      <c r="Q39" t="str">
        <f t="shared" si="1"/>
        <v>Weeknights</v>
      </c>
      <c r="R39" s="9" t="str">
        <f t="shared" si="8"/>
        <v>Weeknights</v>
      </c>
      <c r="S39" s="9" t="str">
        <f t="shared" si="9"/>
        <v/>
      </c>
      <c r="T39" t="str">
        <f t="shared" si="2"/>
        <v/>
      </c>
    </row>
    <row r="40" spans="1:20">
      <c r="A40" s="5">
        <v>43967</v>
      </c>
      <c r="B40" s="10" t="s">
        <v>119</v>
      </c>
      <c r="C40" s="10"/>
      <c r="I40" s="5"/>
      <c r="K40" s="10"/>
      <c r="L40" s="8" t="s">
        <v>92</v>
      </c>
      <c r="M40" s="5">
        <v>43956</v>
      </c>
      <c r="N40">
        <f t="shared" si="5"/>
        <v>3</v>
      </c>
      <c r="O40">
        <f t="shared" si="6"/>
        <v>18</v>
      </c>
      <c r="P40" s="9">
        <f t="shared" si="7"/>
        <v>43956.75</v>
      </c>
      <c r="Q40" t="str">
        <f t="shared" si="1"/>
        <v>Weeknights</v>
      </c>
      <c r="R40" s="9" t="str">
        <f t="shared" si="8"/>
        <v>Weeknights</v>
      </c>
      <c r="S40" s="9" t="str">
        <f t="shared" si="9"/>
        <v/>
      </c>
      <c r="T40" t="str">
        <f t="shared" si="2"/>
        <v/>
      </c>
    </row>
    <row r="41" spans="1:20">
      <c r="A41" s="5"/>
      <c r="B41" s="10"/>
      <c r="C41" s="10"/>
      <c r="I41" s="5"/>
      <c r="K41" s="10"/>
      <c r="L41" s="8" t="s">
        <v>93</v>
      </c>
      <c r="M41" s="5">
        <v>43957</v>
      </c>
      <c r="N41">
        <f t="shared" si="5"/>
        <v>4</v>
      </c>
      <c r="O41">
        <f t="shared" si="6"/>
        <v>18</v>
      </c>
      <c r="P41" s="9">
        <f t="shared" si="7"/>
        <v>43957.75</v>
      </c>
      <c r="Q41" t="str">
        <f t="shared" si="1"/>
        <v>Weeknights</v>
      </c>
      <c r="R41" s="9" t="str">
        <f t="shared" si="8"/>
        <v>Weeknights</v>
      </c>
      <c r="S41" s="9" t="str">
        <f t="shared" si="9"/>
        <v/>
      </c>
      <c r="T41" t="str">
        <f t="shared" si="2"/>
        <v/>
      </c>
    </row>
    <row r="42" spans="1:20">
      <c r="A42" s="5"/>
      <c r="B42" s="10"/>
      <c r="C42" s="10"/>
      <c r="I42" s="5"/>
      <c r="K42" s="10"/>
      <c r="L42" s="8" t="s">
        <v>94</v>
      </c>
      <c r="M42" s="5">
        <v>43958</v>
      </c>
      <c r="N42">
        <f t="shared" si="5"/>
        <v>5</v>
      </c>
      <c r="O42">
        <f t="shared" si="6"/>
        <v>18</v>
      </c>
      <c r="P42" s="9">
        <f t="shared" si="7"/>
        <v>43958.75</v>
      </c>
      <c r="Q42" t="str">
        <f t="shared" si="1"/>
        <v>Weeknights</v>
      </c>
      <c r="R42" s="9" t="str">
        <f t="shared" si="8"/>
        <v>Weeknights</v>
      </c>
      <c r="S42" s="9" t="str">
        <f t="shared" si="9"/>
        <v/>
      </c>
      <c r="T42" t="str">
        <f t="shared" si="2"/>
        <v/>
      </c>
    </row>
    <row r="43" spans="1:20">
      <c r="A43" s="5"/>
      <c r="B43" s="10"/>
      <c r="I43" s="5"/>
      <c r="K43" s="10"/>
      <c r="L43" s="8" t="s">
        <v>95</v>
      </c>
      <c r="M43" s="5">
        <v>43959</v>
      </c>
      <c r="N43">
        <f t="shared" si="5"/>
        <v>6</v>
      </c>
      <c r="O43">
        <f t="shared" si="6"/>
        <v>18</v>
      </c>
      <c r="P43" s="9">
        <f t="shared" si="7"/>
        <v>43959.75</v>
      </c>
      <c r="Q43" t="str">
        <f t="shared" si="1"/>
        <v>Friday Nights</v>
      </c>
      <c r="R43" s="9" t="str">
        <f t="shared" si="8"/>
        <v/>
      </c>
      <c r="S43" s="9" t="str">
        <f t="shared" si="9"/>
        <v>Friday Nights</v>
      </c>
      <c r="T43" t="str">
        <f t="shared" si="2"/>
        <v/>
      </c>
    </row>
    <row r="44" spans="1:20">
      <c r="K44" s="10"/>
      <c r="L44" s="8" t="s">
        <v>96</v>
      </c>
      <c r="M44" s="5">
        <v>43960</v>
      </c>
      <c r="N44">
        <f t="shared" si="5"/>
        <v>7</v>
      </c>
      <c r="O44">
        <f t="shared" si="6"/>
        <v>9</v>
      </c>
      <c r="P44" s="9">
        <f t="shared" si="7"/>
        <v>43960.375</v>
      </c>
      <c r="Q44" t="str">
        <f t="shared" si="1"/>
        <v>Sat</v>
      </c>
      <c r="R44" s="9" t="str">
        <f t="shared" si="8"/>
        <v/>
      </c>
      <c r="S44" s="9" t="str">
        <f t="shared" si="9"/>
        <v/>
      </c>
      <c r="T44" t="str">
        <f t="shared" si="2"/>
        <v>Sat</v>
      </c>
    </row>
    <row r="45" spans="1:20">
      <c r="A45" s="5"/>
      <c r="K45" s="10"/>
      <c r="L45" s="8" t="s">
        <v>97</v>
      </c>
      <c r="M45" s="5">
        <v>43967</v>
      </c>
      <c r="N45">
        <f t="shared" si="5"/>
        <v>7</v>
      </c>
      <c r="O45">
        <f t="shared" si="6"/>
        <v>9</v>
      </c>
      <c r="P45" s="9">
        <f t="shared" si="7"/>
        <v>43967.375</v>
      </c>
      <c r="Q45" t="str">
        <f t="shared" si="1"/>
        <v>Sat</v>
      </c>
      <c r="R45" s="9" t="str">
        <f t="shared" si="8"/>
        <v/>
      </c>
      <c r="S45" s="9" t="str">
        <f t="shared" si="9"/>
        <v/>
      </c>
      <c r="T45" t="str">
        <f t="shared" si="2"/>
        <v>Sat</v>
      </c>
    </row>
    <row r="46" spans="1:20">
      <c r="A46" s="5"/>
    </row>
    <row r="47" spans="1:20">
      <c r="A47" s="5"/>
      <c r="D47" s="5"/>
      <c r="I47" s="1"/>
    </row>
    <row r="48" spans="1:20">
      <c r="A48" s="5"/>
      <c r="I48" s="1"/>
    </row>
    <row r="49" spans="1:9">
      <c r="A49" s="5"/>
      <c r="I49" s="1"/>
    </row>
    <row r="50" spans="1:9">
      <c r="A50" s="5"/>
      <c r="D50" s="5"/>
      <c r="I50" s="1"/>
    </row>
    <row r="51" spans="1:9">
      <c r="D51" s="5"/>
      <c r="I51" s="1"/>
    </row>
    <row r="52" spans="1:9">
      <c r="I52" s="1"/>
    </row>
    <row r="53" spans="1:9">
      <c r="I53" s="1"/>
    </row>
    <row r="54" spans="1:9">
      <c r="A54" s="1"/>
      <c r="D54" s="5"/>
      <c r="I54" s="1"/>
    </row>
    <row r="55" spans="1:9">
      <c r="A55" s="1"/>
      <c r="I55" s="1"/>
    </row>
    <row r="56" spans="1:9">
      <c r="A56" s="1"/>
      <c r="D56" s="5"/>
      <c r="I56" s="1"/>
    </row>
    <row r="57" spans="1:9">
      <c r="A57" s="1"/>
      <c r="I57" s="1"/>
    </row>
    <row r="58" spans="1:9">
      <c r="A58" s="1"/>
      <c r="D58" s="5"/>
      <c r="I58" s="1"/>
    </row>
    <row r="59" spans="1:9">
      <c r="A59" s="1"/>
      <c r="D59" s="5"/>
      <c r="I59" s="1"/>
    </row>
    <row r="60" spans="1:9">
      <c r="A60" s="1"/>
      <c r="I60" s="1"/>
    </row>
    <row r="61" spans="1:9">
      <c r="A61" s="1"/>
      <c r="D61" s="5"/>
      <c r="I61" s="1"/>
    </row>
    <row r="62" spans="1:9">
      <c r="A62" s="1"/>
      <c r="D62" s="5"/>
      <c r="I62" s="1"/>
    </row>
    <row r="63" spans="1:9">
      <c r="A63" s="1"/>
      <c r="I63" s="1"/>
    </row>
    <row r="64" spans="1:9">
      <c r="A64" s="1"/>
      <c r="I64" s="1"/>
    </row>
    <row r="65" spans="1:9">
      <c r="A65" s="1"/>
      <c r="I65" s="1"/>
    </row>
    <row r="66" spans="1:9">
      <c r="A66" s="1"/>
      <c r="I66" s="1"/>
    </row>
    <row r="67" spans="1:9">
      <c r="A67" s="1"/>
      <c r="I67" s="1"/>
    </row>
    <row r="68" spans="1:9">
      <c r="A68" s="1"/>
      <c r="I68" s="1"/>
    </row>
    <row r="69" spans="1:9">
      <c r="A69" s="1"/>
      <c r="I69" s="1"/>
    </row>
    <row r="70" spans="1:9">
      <c r="A70" s="1"/>
      <c r="I70" s="1"/>
    </row>
    <row r="71" spans="1:9">
      <c r="A71" s="1"/>
      <c r="I71" s="1"/>
    </row>
    <row r="72" spans="1:9">
      <c r="A72" s="1"/>
      <c r="I72" s="1"/>
    </row>
    <row r="73" spans="1:9">
      <c r="A73" s="1"/>
      <c r="I73" s="1"/>
    </row>
    <row r="74" spans="1:9">
      <c r="A74" s="1"/>
      <c r="I74" s="1"/>
    </row>
    <row r="75" spans="1:9">
      <c r="A75" s="1"/>
      <c r="I75" s="1"/>
    </row>
    <row r="76" spans="1:9">
      <c r="A76" s="1"/>
      <c r="I76" s="1"/>
    </row>
    <row r="77" spans="1:9">
      <c r="A77" s="1"/>
      <c r="I77" s="1"/>
    </row>
    <row r="78" spans="1:9">
      <c r="A78" s="1"/>
      <c r="I78" s="1"/>
    </row>
    <row r="79" spans="1:9">
      <c r="A79" s="1"/>
      <c r="I79" s="1"/>
    </row>
    <row r="80" spans="1:9">
      <c r="A80" s="1"/>
      <c r="I80" s="1"/>
    </row>
    <row r="81" spans="1:9">
      <c r="A81" s="1"/>
      <c r="I81" s="1"/>
    </row>
    <row r="82" spans="1:9">
      <c r="A82" s="1"/>
      <c r="I82" s="1"/>
    </row>
    <row r="83" spans="1:9">
      <c r="A83" s="1"/>
      <c r="I83" s="1"/>
    </row>
    <row r="84" spans="1:9">
      <c r="A84" s="1"/>
      <c r="I84" s="1"/>
    </row>
    <row r="85" spans="1:9">
      <c r="A85" s="1"/>
      <c r="I85" s="1"/>
    </row>
    <row r="86" spans="1:9">
      <c r="A86" s="1"/>
      <c r="I86" s="1"/>
    </row>
    <row r="87" spans="1:9">
      <c r="A87" s="1"/>
      <c r="I87" s="1"/>
    </row>
    <row r="88" spans="1:9">
      <c r="A88" s="1"/>
      <c r="I88" s="1"/>
    </row>
    <row r="89" spans="1:9">
      <c r="A89" s="1"/>
      <c r="I89" s="1"/>
    </row>
    <row r="90" spans="1:9">
      <c r="A90" s="1"/>
      <c r="I90" s="1"/>
    </row>
    <row r="91" spans="1:9">
      <c r="A91" s="1"/>
      <c r="I91" s="1"/>
    </row>
    <row r="92" spans="1:9">
      <c r="A92" s="1"/>
      <c r="I92" s="1"/>
    </row>
    <row r="93" spans="1:9">
      <c r="A93" s="1"/>
      <c r="I93" s="1"/>
    </row>
    <row r="94" spans="1:9">
      <c r="A94" s="1"/>
      <c r="I94" s="1"/>
    </row>
    <row r="95" spans="1:9">
      <c r="A95" s="1"/>
      <c r="I95" s="1"/>
    </row>
    <row r="96" spans="1:9">
      <c r="A96" s="1"/>
      <c r="I96" s="1"/>
    </row>
    <row r="97" spans="1:9">
      <c r="A97" s="1"/>
      <c r="I97" s="1"/>
    </row>
    <row r="98" spans="1:9">
      <c r="A98" s="1"/>
      <c r="I98" s="1"/>
    </row>
    <row r="99" spans="1:9">
      <c r="A99" s="1"/>
      <c r="I99" s="1"/>
    </row>
    <row r="100" spans="1:9">
      <c r="A100" s="1"/>
      <c r="I100" s="1"/>
    </row>
    <row r="101" spans="1:9">
      <c r="A101" s="1"/>
      <c r="I101" s="1"/>
    </row>
    <row r="102" spans="1:9">
      <c r="A102" s="1"/>
      <c r="I102" s="1"/>
    </row>
    <row r="103" spans="1:9">
      <c r="A103" s="1"/>
      <c r="I103" s="1"/>
    </row>
    <row r="104" spans="1:9">
      <c r="A104" s="1"/>
      <c r="I104" s="1"/>
    </row>
    <row r="105" spans="1:9">
      <c r="A105" s="1"/>
      <c r="I105" s="1"/>
    </row>
    <row r="106" spans="1:9">
      <c r="A106" s="1"/>
      <c r="I106" s="1"/>
    </row>
    <row r="107" spans="1:9">
      <c r="A107" s="1"/>
      <c r="I107" s="1"/>
    </row>
    <row r="108" spans="1:9">
      <c r="A108" s="1"/>
    </row>
    <row r="109" spans="1:9">
      <c r="A109" s="1"/>
    </row>
    <row r="110" spans="1:9">
      <c r="A110" s="1"/>
    </row>
    <row r="111" spans="1:9">
      <c r="A111" s="1"/>
    </row>
    <row r="112" spans="1:9">
      <c r="A112" s="1"/>
    </row>
    <row r="113" spans="1:1">
      <c r="A113" s="1"/>
    </row>
    <row r="114" spans="1:1">
      <c r="A114" s="1"/>
    </row>
  </sheetData>
  <sortState xmlns:xlrd2="http://schemas.microsoft.com/office/spreadsheetml/2017/richdata2" ref="A2:B107">
    <sortCondition ref="A2:A10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4F035-BE06-441B-A56B-5CEF313786DD}">
  <sheetPr codeName="Sheet3"/>
  <dimension ref="A1:H106"/>
  <sheetViews>
    <sheetView workbookViewId="0">
      <selection activeCell="J16" sqref="J16"/>
    </sheetView>
  </sheetViews>
  <sheetFormatPr defaultRowHeight="14.4"/>
  <cols>
    <col min="1" max="1" width="15.88671875" style="10" bestFit="1" customWidth="1"/>
  </cols>
  <sheetData>
    <row r="1" spans="1:8">
      <c r="A1" s="10" t="s">
        <v>125</v>
      </c>
      <c r="B1" t="s">
        <v>126</v>
      </c>
      <c r="G1" s="31"/>
    </row>
    <row r="2" spans="1:8">
      <c r="A2" s="9">
        <v>43906</v>
      </c>
      <c r="B2" t="s">
        <v>102</v>
      </c>
      <c r="G2" s="31"/>
      <c r="H2" s="31"/>
    </row>
    <row r="3" spans="1:8">
      <c r="A3" s="9">
        <v>43907</v>
      </c>
      <c r="B3" t="s">
        <v>103</v>
      </c>
      <c r="G3" s="31"/>
      <c r="H3" s="31"/>
    </row>
    <row r="4" spans="1:8">
      <c r="A4" s="9">
        <v>43908</v>
      </c>
      <c r="B4" t="s">
        <v>103</v>
      </c>
      <c r="G4" s="31"/>
      <c r="H4" s="31"/>
    </row>
    <row r="5" spans="1:8">
      <c r="A5" s="9">
        <v>43909</v>
      </c>
      <c r="B5" t="s">
        <v>104</v>
      </c>
      <c r="G5" s="31"/>
      <c r="H5" s="31"/>
    </row>
    <row r="6" spans="1:8">
      <c r="A6" s="9">
        <v>43910</v>
      </c>
      <c r="G6" s="31"/>
      <c r="H6" s="31"/>
    </row>
    <row r="7" spans="1:8">
      <c r="A7" s="9">
        <v>43911</v>
      </c>
      <c r="B7" t="s">
        <v>121</v>
      </c>
      <c r="G7" s="31"/>
      <c r="H7" s="31"/>
    </row>
    <row r="8" spans="1:8">
      <c r="A8" s="9">
        <v>43912</v>
      </c>
      <c r="G8" s="31"/>
      <c r="H8" s="31"/>
    </row>
    <row r="9" spans="1:8">
      <c r="A9" s="9">
        <v>43913</v>
      </c>
      <c r="B9" t="s">
        <v>105</v>
      </c>
      <c r="G9" s="31"/>
      <c r="H9" s="31"/>
    </row>
    <row r="10" spans="1:8">
      <c r="A10" s="9">
        <v>43914</v>
      </c>
      <c r="B10" t="s">
        <v>106</v>
      </c>
      <c r="G10" s="31"/>
      <c r="H10" s="31"/>
    </row>
    <row r="11" spans="1:8">
      <c r="A11" s="9">
        <v>43915</v>
      </c>
      <c r="B11" t="s">
        <v>107</v>
      </c>
      <c r="G11" s="31"/>
      <c r="H11" s="31"/>
    </row>
    <row r="12" spans="1:8">
      <c r="A12" s="9">
        <v>43916</v>
      </c>
      <c r="G12" s="31"/>
      <c r="H12" s="31"/>
    </row>
    <row r="13" spans="1:8">
      <c r="A13" s="9">
        <v>43917</v>
      </c>
      <c r="B13" t="s">
        <v>122</v>
      </c>
      <c r="G13" s="31"/>
      <c r="H13" s="31"/>
    </row>
    <row r="14" spans="1:8">
      <c r="A14" s="9">
        <v>43918</v>
      </c>
      <c r="B14" t="s">
        <v>108</v>
      </c>
      <c r="G14" s="31"/>
      <c r="H14" s="31"/>
    </row>
    <row r="15" spans="1:8">
      <c r="A15" s="9">
        <v>43919</v>
      </c>
      <c r="G15" s="31"/>
      <c r="H15" s="31"/>
    </row>
    <row r="16" spans="1:8">
      <c r="A16" s="9">
        <v>43920</v>
      </c>
      <c r="B16" t="s">
        <v>105</v>
      </c>
      <c r="G16" s="31"/>
      <c r="H16" s="31"/>
    </row>
    <row r="17" spans="1:8">
      <c r="A17" s="9">
        <v>43921</v>
      </c>
      <c r="B17" t="s">
        <v>109</v>
      </c>
      <c r="G17" s="31"/>
      <c r="H17" s="31"/>
    </row>
    <row r="18" spans="1:8">
      <c r="A18" s="9">
        <v>43922</v>
      </c>
      <c r="B18" t="s">
        <v>107</v>
      </c>
      <c r="G18" s="31"/>
      <c r="H18" s="31"/>
    </row>
    <row r="19" spans="1:8">
      <c r="A19" s="9">
        <v>43923</v>
      </c>
      <c r="G19" s="31"/>
      <c r="H19" s="31"/>
    </row>
    <row r="20" spans="1:8">
      <c r="A20" s="9">
        <v>43924</v>
      </c>
      <c r="B20" t="s">
        <v>110</v>
      </c>
      <c r="G20" s="31"/>
      <c r="H20" s="31"/>
    </row>
    <row r="21" spans="1:8">
      <c r="A21" s="9">
        <v>43925</v>
      </c>
      <c r="B21" t="s">
        <v>111</v>
      </c>
      <c r="G21" s="31"/>
      <c r="H21" s="31"/>
    </row>
    <row r="22" spans="1:8">
      <c r="A22" s="9">
        <v>43926</v>
      </c>
      <c r="G22" s="31"/>
      <c r="H22" s="31"/>
    </row>
    <row r="23" spans="1:8">
      <c r="A23" s="9">
        <v>43927</v>
      </c>
      <c r="G23" s="31"/>
      <c r="H23" s="31"/>
    </row>
    <row r="24" spans="1:8">
      <c r="A24" s="9">
        <v>43928</v>
      </c>
      <c r="G24" s="31"/>
      <c r="H24" s="31"/>
    </row>
    <row r="25" spans="1:8">
      <c r="A25" s="9">
        <v>43929</v>
      </c>
      <c r="B25" t="s">
        <v>109</v>
      </c>
      <c r="G25" s="31"/>
      <c r="H25" s="31"/>
    </row>
    <row r="26" spans="1:8">
      <c r="A26" s="9">
        <v>43930</v>
      </c>
      <c r="B26" t="s">
        <v>112</v>
      </c>
      <c r="G26" s="31"/>
      <c r="H26" s="31"/>
    </row>
    <row r="27" spans="1:8">
      <c r="A27" s="9">
        <v>43931</v>
      </c>
      <c r="G27" s="31"/>
      <c r="H27" s="31"/>
    </row>
    <row r="28" spans="1:8">
      <c r="A28" s="9">
        <v>43932</v>
      </c>
      <c r="G28" s="31"/>
      <c r="H28" s="31"/>
    </row>
    <row r="29" spans="1:8">
      <c r="A29" s="9">
        <v>43933</v>
      </c>
      <c r="G29" s="31"/>
      <c r="H29" s="31"/>
    </row>
    <row r="30" spans="1:8">
      <c r="A30" s="9">
        <v>43934</v>
      </c>
      <c r="B30" t="s">
        <v>105</v>
      </c>
      <c r="G30" s="31"/>
      <c r="H30" s="31"/>
    </row>
    <row r="31" spans="1:8">
      <c r="A31" s="9">
        <v>43935</v>
      </c>
      <c r="B31" t="s">
        <v>113</v>
      </c>
      <c r="G31" s="31"/>
      <c r="H31" s="31"/>
    </row>
    <row r="32" spans="1:8">
      <c r="A32" s="9">
        <v>43936</v>
      </c>
      <c r="B32" t="s">
        <v>107</v>
      </c>
      <c r="G32" s="31"/>
      <c r="H32" s="31"/>
    </row>
    <row r="33" spans="1:8">
      <c r="A33" s="9">
        <v>43937</v>
      </c>
      <c r="G33" s="31"/>
      <c r="H33" s="31"/>
    </row>
    <row r="34" spans="1:8">
      <c r="A34" s="9">
        <v>43938</v>
      </c>
      <c r="B34" t="s">
        <v>110</v>
      </c>
      <c r="G34" s="31"/>
      <c r="H34" s="31"/>
    </row>
    <row r="35" spans="1:8">
      <c r="A35" s="9">
        <v>43939</v>
      </c>
      <c r="B35" t="s">
        <v>111</v>
      </c>
      <c r="G35" s="31"/>
      <c r="H35" s="31"/>
    </row>
    <row r="36" spans="1:8">
      <c r="A36" s="9">
        <v>43940</v>
      </c>
      <c r="G36" s="31"/>
    </row>
    <row r="37" spans="1:8">
      <c r="A37" s="9">
        <v>43941</v>
      </c>
      <c r="G37" s="31"/>
    </row>
    <row r="38" spans="1:8">
      <c r="A38" s="9">
        <v>43942</v>
      </c>
      <c r="B38" t="s">
        <v>114</v>
      </c>
      <c r="G38" s="31"/>
    </row>
    <row r="39" spans="1:8">
      <c r="A39" s="9">
        <v>43943</v>
      </c>
      <c r="G39" s="31"/>
    </row>
    <row r="40" spans="1:8">
      <c r="A40" s="9">
        <v>43944</v>
      </c>
      <c r="B40" t="s">
        <v>123</v>
      </c>
      <c r="G40" s="31"/>
    </row>
    <row r="41" spans="1:8">
      <c r="A41" s="9">
        <v>43945</v>
      </c>
      <c r="B41" t="s">
        <v>122</v>
      </c>
      <c r="G41" s="31"/>
    </row>
    <row r="42" spans="1:8">
      <c r="A42" s="9">
        <v>43946</v>
      </c>
      <c r="B42" t="s">
        <v>108</v>
      </c>
      <c r="G42" s="31"/>
    </row>
    <row r="43" spans="1:8">
      <c r="A43" s="9">
        <v>43947</v>
      </c>
      <c r="G43" s="31"/>
    </row>
    <row r="44" spans="1:8">
      <c r="A44" s="9">
        <v>43948</v>
      </c>
      <c r="B44" t="s">
        <v>116</v>
      </c>
      <c r="G44" s="31"/>
    </row>
    <row r="45" spans="1:8">
      <c r="A45" s="9">
        <v>43949</v>
      </c>
      <c r="B45" t="s">
        <v>117</v>
      </c>
      <c r="G45" s="31"/>
    </row>
    <row r="46" spans="1:8">
      <c r="A46" s="9">
        <v>43950</v>
      </c>
      <c r="B46" t="s">
        <v>118</v>
      </c>
      <c r="G46" s="31"/>
    </row>
    <row r="47" spans="1:8">
      <c r="A47" s="9">
        <v>43951</v>
      </c>
      <c r="G47" s="31"/>
    </row>
    <row r="48" spans="1:8">
      <c r="A48" s="9">
        <v>43952</v>
      </c>
      <c r="B48" t="s">
        <v>110</v>
      </c>
      <c r="G48" s="31"/>
    </row>
    <row r="49" spans="1:7">
      <c r="A49" s="9">
        <v>43953</v>
      </c>
      <c r="B49" t="s">
        <v>119</v>
      </c>
      <c r="G49" s="31"/>
    </row>
    <row r="50" spans="1:7">
      <c r="A50" s="9">
        <v>43954</v>
      </c>
      <c r="G50" s="31"/>
    </row>
    <row r="51" spans="1:7">
      <c r="A51" s="9">
        <v>43955</v>
      </c>
      <c r="B51" t="s">
        <v>117</v>
      </c>
      <c r="G51" s="31"/>
    </row>
    <row r="52" spans="1:7">
      <c r="A52" s="9">
        <v>43956</v>
      </c>
      <c r="B52" t="s">
        <v>124</v>
      </c>
      <c r="G52" s="31"/>
    </row>
    <row r="53" spans="1:7">
      <c r="A53" s="9">
        <v>43957</v>
      </c>
      <c r="B53" t="s">
        <v>120</v>
      </c>
      <c r="G53" s="31"/>
    </row>
    <row r="54" spans="1:7">
      <c r="A54" s="9">
        <v>43958</v>
      </c>
      <c r="G54" s="31"/>
    </row>
    <row r="55" spans="1:7">
      <c r="A55" s="9">
        <v>43959</v>
      </c>
      <c r="G55" s="31"/>
    </row>
    <row r="56" spans="1:7">
      <c r="A56" s="9">
        <v>43960</v>
      </c>
      <c r="B56" t="s">
        <v>119</v>
      </c>
    </row>
    <row r="57" spans="1:7">
      <c r="A57" s="9">
        <v>43961</v>
      </c>
    </row>
    <row r="58" spans="1:7">
      <c r="A58" s="9">
        <v>43962</v>
      </c>
    </row>
    <row r="59" spans="1:7">
      <c r="A59" s="9">
        <v>43963</v>
      </c>
    </row>
    <row r="60" spans="1:7">
      <c r="A60" s="9">
        <v>43964</v>
      </c>
    </row>
    <row r="61" spans="1:7">
      <c r="A61" s="9">
        <v>43965</v>
      </c>
    </row>
    <row r="62" spans="1:7">
      <c r="A62" s="9">
        <v>43966</v>
      </c>
    </row>
    <row r="63" spans="1:7">
      <c r="A63" s="9">
        <v>43967</v>
      </c>
    </row>
    <row r="64" spans="1:7">
      <c r="A64" s="9">
        <v>43968</v>
      </c>
    </row>
    <row r="65" spans="1:1">
      <c r="A65" s="9">
        <v>43969</v>
      </c>
    </row>
    <row r="66" spans="1:1">
      <c r="A66" s="9">
        <v>43970</v>
      </c>
    </row>
    <row r="67" spans="1:1">
      <c r="A67" s="9">
        <v>43971</v>
      </c>
    </row>
    <row r="68" spans="1:1">
      <c r="A68" s="9">
        <v>43972</v>
      </c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7321-BBB7-49D5-90D6-7EE8ED099276}">
  <sheetPr codeName="Sheet34"/>
  <dimension ref="A1:AO67"/>
  <sheetViews>
    <sheetView zoomScale="55" zoomScaleNormal="55" workbookViewId="0">
      <pane ySplit="19" topLeftCell="A20" activePane="bottomLeft" state="frozen"/>
      <selection pane="bottomLeft" activeCell="F35" sqref="F35"/>
    </sheetView>
  </sheetViews>
  <sheetFormatPr defaultColWidth="8.88671875" defaultRowHeight="14.4"/>
  <cols>
    <col min="1" max="5" width="8.77734375" style="10" customWidth="1"/>
    <col min="6" max="6" width="11.5546875" style="14" customWidth="1"/>
    <col min="7" max="110" width="8.77734375" style="10" customWidth="1"/>
    <col min="111" max="16384" width="8.88671875" style="10"/>
  </cols>
  <sheetData>
    <row r="1" spans="1:4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6</v>
      </c>
      <c r="B2" s="35" t="s">
        <v>10</v>
      </c>
      <c r="C2" s="36"/>
      <c r="D2" s="36"/>
      <c r="E2" s="36"/>
      <c r="F2" s="36"/>
      <c r="G2" s="36"/>
      <c r="H2" s="37"/>
      <c r="I2" s="35" t="s">
        <v>10</v>
      </c>
      <c r="J2" s="36"/>
      <c r="K2" s="36"/>
      <c r="L2" s="36"/>
      <c r="M2" s="36"/>
      <c r="N2" s="36"/>
      <c r="O2" s="37"/>
      <c r="P2" s="35" t="s">
        <v>10</v>
      </c>
      <c r="Q2" s="36"/>
      <c r="R2" s="36"/>
      <c r="S2" s="36"/>
      <c r="T2" s="36"/>
      <c r="U2" s="36"/>
      <c r="V2" s="37"/>
      <c r="W2" s="35" t="s">
        <v>10</v>
      </c>
      <c r="X2" s="36"/>
      <c r="Y2" s="36"/>
      <c r="Z2" s="36"/>
      <c r="AA2" s="36"/>
      <c r="AB2" s="36"/>
      <c r="AC2" s="37"/>
    </row>
    <row r="3" spans="1:41" ht="15" thickBot="1">
      <c r="A3" s="10" t="s">
        <v>7</v>
      </c>
      <c r="B3" s="35" t="s">
        <v>10</v>
      </c>
      <c r="C3" s="36"/>
      <c r="D3" s="36"/>
      <c r="E3" s="36"/>
      <c r="F3" s="36"/>
      <c r="G3" s="36"/>
      <c r="H3" s="37"/>
      <c r="I3" s="35" t="s">
        <v>10</v>
      </c>
      <c r="J3" s="36"/>
      <c r="K3" s="36"/>
      <c r="L3" s="36"/>
      <c r="M3" s="36"/>
      <c r="N3" s="36"/>
      <c r="O3" s="37"/>
      <c r="P3" s="35" t="s">
        <v>10</v>
      </c>
      <c r="Q3" s="36"/>
      <c r="R3" s="36"/>
      <c r="S3" s="36"/>
      <c r="T3" s="36"/>
      <c r="U3" s="36"/>
      <c r="V3" s="37"/>
      <c r="W3" s="35" t="s">
        <v>10</v>
      </c>
      <c r="X3" s="36"/>
      <c r="Y3" s="36"/>
      <c r="Z3" s="36"/>
      <c r="AA3" s="36"/>
      <c r="AB3" s="36"/>
      <c r="AC3" s="37"/>
    </row>
    <row r="4" spans="1:41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  <c r="P4" s="56" t="s">
        <v>11</v>
      </c>
      <c r="Q4" s="57"/>
      <c r="R4" s="57"/>
      <c r="S4" s="57"/>
      <c r="T4" s="57"/>
      <c r="U4" s="57"/>
      <c r="V4" s="58"/>
      <c r="W4" s="56" t="s">
        <v>11</v>
      </c>
      <c r="X4" s="57"/>
      <c r="Y4" s="57"/>
      <c r="Z4" s="57"/>
      <c r="AA4" s="57"/>
      <c r="AB4" s="57"/>
      <c r="AC4" s="58"/>
    </row>
    <row r="5" spans="1:41" ht="15" thickBot="1">
      <c r="A5" s="10" t="s">
        <v>14</v>
      </c>
      <c r="B5" s="47" t="s">
        <v>100</v>
      </c>
      <c r="C5" s="48"/>
      <c r="D5" s="48"/>
      <c r="E5" s="49"/>
      <c r="F5" s="25"/>
      <c r="G5" s="26"/>
      <c r="H5" s="26"/>
      <c r="I5" s="24"/>
      <c r="J5" s="25"/>
      <c r="K5" s="26"/>
      <c r="L5" s="38" t="s">
        <v>9</v>
      </c>
      <c r="M5" s="39"/>
      <c r="N5" s="39"/>
      <c r="O5" s="39"/>
      <c r="P5" s="39"/>
      <c r="Q5" s="40"/>
      <c r="R5" s="38" t="s">
        <v>9</v>
      </c>
      <c r="S5" s="39"/>
      <c r="T5" s="39"/>
      <c r="U5" s="39"/>
      <c r="V5" s="39"/>
      <c r="W5" s="40"/>
      <c r="X5" s="38" t="s">
        <v>9</v>
      </c>
      <c r="Y5" s="39"/>
      <c r="Z5" s="39"/>
      <c r="AA5" s="39"/>
      <c r="AB5" s="39"/>
      <c r="AC5" s="40"/>
    </row>
    <row r="6" spans="1:41" ht="15" thickBot="1">
      <c r="A6" s="10" t="s">
        <v>15</v>
      </c>
      <c r="B6" s="41" t="s">
        <v>12</v>
      </c>
      <c r="C6" s="42"/>
      <c r="D6" s="42"/>
      <c r="E6" s="43"/>
      <c r="F6" s="56" t="s">
        <v>11</v>
      </c>
      <c r="G6" s="57"/>
      <c r="H6" s="57"/>
      <c r="I6" s="57"/>
      <c r="J6" s="57"/>
      <c r="K6" s="57"/>
      <c r="L6" s="58"/>
      <c r="M6" s="56" t="s">
        <v>11</v>
      </c>
      <c r="N6" s="57"/>
      <c r="O6" s="57"/>
      <c r="P6" s="57"/>
      <c r="Q6" s="57"/>
      <c r="R6" s="57"/>
      <c r="S6" s="58"/>
      <c r="T6" s="56" t="s">
        <v>11</v>
      </c>
      <c r="U6" s="57"/>
      <c r="V6" s="57"/>
      <c r="W6" s="57"/>
      <c r="X6" s="57"/>
      <c r="Y6" s="57"/>
      <c r="Z6" s="58"/>
      <c r="AA6" s="24"/>
      <c r="AB6" s="26"/>
      <c r="AC6" s="24"/>
    </row>
    <row r="7" spans="1:41" ht="15" thickBot="1">
      <c r="A7" s="10" t="s">
        <v>98</v>
      </c>
      <c r="B7" s="41" t="s">
        <v>12</v>
      </c>
      <c r="C7" s="42"/>
      <c r="D7" s="42"/>
      <c r="E7" s="43"/>
      <c r="F7" s="56" t="s">
        <v>11</v>
      </c>
      <c r="G7" s="57"/>
      <c r="H7" s="57"/>
      <c r="I7" s="57"/>
      <c r="J7" s="57"/>
      <c r="K7" s="57"/>
      <c r="L7" s="58"/>
      <c r="M7" s="56" t="s">
        <v>11</v>
      </c>
      <c r="N7" s="57"/>
      <c r="O7" s="57"/>
      <c r="P7" s="57"/>
      <c r="Q7" s="57"/>
      <c r="R7" s="57"/>
      <c r="S7" s="58"/>
      <c r="T7" s="56" t="s">
        <v>11</v>
      </c>
      <c r="U7" s="57"/>
      <c r="V7" s="57"/>
      <c r="W7" s="57"/>
      <c r="X7" s="57"/>
      <c r="Y7" s="57"/>
      <c r="Z7" s="58"/>
      <c r="AA7" s="24"/>
    </row>
    <row r="8" spans="1:41" ht="15" thickBot="1">
      <c r="A8" s="10" t="s">
        <v>17</v>
      </c>
      <c r="B8" s="41" t="s">
        <v>12</v>
      </c>
      <c r="C8" s="42"/>
      <c r="D8" s="42"/>
      <c r="E8" s="43"/>
      <c r="F8" s="41" t="s">
        <v>12</v>
      </c>
      <c r="G8" s="42"/>
      <c r="H8" s="42"/>
      <c r="I8" s="43"/>
      <c r="J8" s="38" t="s">
        <v>9</v>
      </c>
      <c r="K8" s="39"/>
      <c r="L8" s="39"/>
      <c r="M8" s="39"/>
      <c r="N8" s="39"/>
      <c r="O8" s="40"/>
      <c r="P8" s="38" t="s">
        <v>9</v>
      </c>
      <c r="Q8" s="39"/>
      <c r="R8" s="39"/>
      <c r="S8" s="39"/>
      <c r="T8" s="39"/>
      <c r="U8" s="40"/>
      <c r="V8" s="26"/>
      <c r="W8" s="26"/>
      <c r="X8" s="26"/>
      <c r="Y8" s="26"/>
      <c r="Z8" s="24"/>
    </row>
    <row r="9" spans="1:41" ht="15" thickBot="1">
      <c r="A9" s="10" t="s">
        <v>18</v>
      </c>
      <c r="B9" s="38" t="s">
        <v>9</v>
      </c>
      <c r="C9" s="39"/>
      <c r="D9" s="39"/>
      <c r="E9" s="39"/>
      <c r="F9" s="39"/>
      <c r="G9" s="40"/>
      <c r="H9" s="38" t="s">
        <v>9</v>
      </c>
      <c r="I9" s="39"/>
      <c r="J9" s="39"/>
      <c r="K9" s="39"/>
      <c r="L9" s="39"/>
      <c r="M9" s="40"/>
      <c r="N9" s="38" t="s">
        <v>9</v>
      </c>
      <c r="O9" s="39"/>
      <c r="P9" s="39"/>
      <c r="Q9" s="39"/>
      <c r="R9" s="39"/>
      <c r="S9" s="40"/>
      <c r="T9" s="26"/>
      <c r="U9" s="26"/>
      <c r="V9" s="24"/>
      <c r="W9" s="26"/>
      <c r="X9" s="24"/>
    </row>
    <row r="12" spans="1:41" ht="15" thickBot="1"/>
    <row r="13" spans="1:41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0</v>
      </c>
      <c r="L13" s="10">
        <f t="shared" ref="L13:L19" si="0">COUNTIF($B$2:$CS$9,B13)</f>
        <v>0</v>
      </c>
    </row>
    <row r="14" spans="1:41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0</v>
      </c>
      <c r="L14" s="10">
        <f t="shared" si="0"/>
        <v>0</v>
      </c>
    </row>
    <row r="15" spans="1:41" ht="15" thickBot="1">
      <c r="B15" s="35" t="s">
        <v>10</v>
      </c>
      <c r="C15" s="36"/>
      <c r="D15" s="36"/>
      <c r="E15" s="36"/>
      <c r="F15" s="36"/>
      <c r="G15" s="36"/>
      <c r="H15" s="37"/>
      <c r="K15" s="10">
        <v>8</v>
      </c>
      <c r="L15" s="10">
        <f t="shared" si="0"/>
        <v>8</v>
      </c>
    </row>
    <row r="16" spans="1:41" ht="15" thickBot="1">
      <c r="B16" s="56" t="s">
        <v>11</v>
      </c>
      <c r="C16" s="57"/>
      <c r="D16" s="57"/>
      <c r="E16" s="57"/>
      <c r="F16" s="57"/>
      <c r="G16" s="57"/>
      <c r="H16" s="58"/>
      <c r="K16" s="10">
        <v>10</v>
      </c>
      <c r="L16" s="10">
        <f t="shared" si="0"/>
        <v>10</v>
      </c>
    </row>
    <row r="17" spans="1:13" ht="15" thickBot="1">
      <c r="B17" s="38" t="s">
        <v>9</v>
      </c>
      <c r="C17" s="39"/>
      <c r="D17" s="39"/>
      <c r="E17" s="39"/>
      <c r="F17" s="39"/>
      <c r="G17" s="40"/>
      <c r="K17" s="10">
        <v>8</v>
      </c>
      <c r="L17" s="10">
        <f t="shared" si="0"/>
        <v>8</v>
      </c>
    </row>
    <row r="18" spans="1:13" ht="15" thickBot="1">
      <c r="B18" s="41" t="s">
        <v>12</v>
      </c>
      <c r="C18" s="42"/>
      <c r="D18" s="42"/>
      <c r="E18" s="43"/>
      <c r="K18" s="10">
        <v>4</v>
      </c>
      <c r="L18" s="10">
        <f t="shared" si="0"/>
        <v>4</v>
      </c>
    </row>
    <row r="19" spans="1:13">
      <c r="B19" s="44" t="s">
        <v>100</v>
      </c>
      <c r="C19" s="45"/>
      <c r="D19" s="45"/>
      <c r="E19" s="46"/>
      <c r="K19" s="10">
        <v>1</v>
      </c>
      <c r="L19" s="10">
        <f t="shared" si="0"/>
        <v>1</v>
      </c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3</v>
      </c>
      <c r="D22" s="13" t="str">
        <f>VLOOKUP(H22,slot_compat,3,FALSE)</f>
        <v>2,3</v>
      </c>
      <c r="E22" s="13"/>
      <c r="F22" s="15">
        <v>0.375</v>
      </c>
      <c r="G22" s="13">
        <f t="shared" ref="G22" si="3">VLOOKUP(I22,GameDuration,2,FALSE)</f>
        <v>105</v>
      </c>
      <c r="H22" s="13" t="s">
        <v>6</v>
      </c>
      <c r="I22" s="13" t="s">
        <v>10</v>
      </c>
      <c r="J22" s="13" t="str" cm="1">
        <f t="array" aca="1" ref="J22" ca="1">MID(CELL("filename",A1),FIND("]",CELL("filename",A1))+1,255)</f>
        <v>_0081084</v>
      </c>
      <c r="L22" s="10" t="s">
        <v>6</v>
      </c>
      <c r="M22" s="10">
        <f t="shared" ref="M22:M28" si="4">COUNTIF(I$22:I$104,L22)</f>
        <v>0</v>
      </c>
    </row>
    <row r="23" spans="1:13">
      <c r="A23" s="13" t="e">
        <f t="shared" ref="A23:A52" si="5">A22+1</f>
        <v>#VALUE!</v>
      </c>
      <c r="B23" s="13" t="str">
        <f t="shared" ref="B23:B52" si="6">VLOOKUP(H23,field_id,2,FALSE)</f>
        <v>4</v>
      </c>
      <c r="C23" s="13">
        <f t="shared" ref="C23:C52" si="7">VLOOKUP(I23,league_id,2,FALSE)</f>
        <v>3</v>
      </c>
      <c r="D23" s="13" t="str">
        <f t="shared" ref="D23:D52" si="8">VLOOKUP(H23,slot_compat,3,FALSE)</f>
        <v>2,3</v>
      </c>
      <c r="E23" s="13"/>
      <c r="F23" s="15">
        <f>IF(B23&lt;&gt;B22,F$22,F22+G22/60/24)</f>
        <v>0.44791666666666669</v>
      </c>
      <c r="G23" s="13">
        <f t="shared" ref="G23:G52" si="9">VLOOKUP(I23,GameDuration,2,FALSE)</f>
        <v>105</v>
      </c>
      <c r="H23" s="13" t="s">
        <v>6</v>
      </c>
      <c r="I23" s="13" t="s">
        <v>10</v>
      </c>
      <c r="J23" s="13" t="str" cm="1">
        <f t="array" aca="1" ref="J23" ca="1">MID(CELL("filename",A2),FIND("]",CELL("filename",A2))+1,255)</f>
        <v>_0081084</v>
      </c>
      <c r="L23" s="10" t="s">
        <v>7</v>
      </c>
      <c r="M23" s="10">
        <f t="shared" si="4"/>
        <v>0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3</v>
      </c>
      <c r="D24" s="13" t="str">
        <f t="shared" si="8"/>
        <v>2,3</v>
      </c>
      <c r="E24" s="13"/>
      <c r="F24" s="15">
        <f t="shared" ref="F24:F52" si="10">IF(B24&lt;&gt;B23,F$22,F23+G23/60/24)</f>
        <v>0.52083333333333337</v>
      </c>
      <c r="G24" s="13">
        <f t="shared" si="9"/>
        <v>105</v>
      </c>
      <c r="H24" s="13" t="s">
        <v>6</v>
      </c>
      <c r="I24" s="13" t="s">
        <v>10</v>
      </c>
      <c r="J24" s="13" t="str" cm="1">
        <f t="array" aca="1" ref="J24" ca="1">MID(CELL("filename",A3),FIND("]",CELL("filename",A3))+1,255)</f>
        <v>_0081084</v>
      </c>
      <c r="L24" s="10" t="s">
        <v>10</v>
      </c>
      <c r="M24" s="10">
        <f t="shared" si="4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3</v>
      </c>
      <c r="D25" s="13" t="str">
        <f t="shared" si="8"/>
        <v>2,3</v>
      </c>
      <c r="E25" s="13"/>
      <c r="F25" s="15">
        <f t="shared" si="10"/>
        <v>0.59375</v>
      </c>
      <c r="G25" s="13">
        <f t="shared" si="9"/>
        <v>105</v>
      </c>
      <c r="H25" s="13" t="s">
        <v>6</v>
      </c>
      <c r="I25" s="13" t="s">
        <v>10</v>
      </c>
      <c r="J25" s="13" t="str" cm="1">
        <f t="array" aca="1" ref="J25" ca="1">MID(CELL("filename",A4),FIND("]",CELL("filename",A4))+1,255)</f>
        <v>_0081084</v>
      </c>
      <c r="L25" s="10" t="s">
        <v>11</v>
      </c>
      <c r="M25" s="10">
        <f t="shared" si="4"/>
        <v>10</v>
      </c>
    </row>
    <row r="26" spans="1:13">
      <c r="A26" s="13" t="e">
        <f t="shared" si="5"/>
        <v>#VALUE!</v>
      </c>
      <c r="B26" s="13" t="str">
        <f t="shared" si="6"/>
        <v>3</v>
      </c>
      <c r="C26" s="13">
        <f t="shared" si="7"/>
        <v>3</v>
      </c>
      <c r="D26" s="13" t="str">
        <f t="shared" si="8"/>
        <v>1,3</v>
      </c>
      <c r="E26" s="13"/>
      <c r="F26" s="15">
        <f t="shared" si="10"/>
        <v>0.375</v>
      </c>
      <c r="G26" s="13">
        <f t="shared" si="9"/>
        <v>105</v>
      </c>
      <c r="H26" s="13" t="s">
        <v>7</v>
      </c>
      <c r="I26" s="13" t="s">
        <v>10</v>
      </c>
      <c r="J26" s="13" t="str" cm="1">
        <f t="array" aca="1" ref="J26" ca="1">MID(CELL("filename",A5),FIND("]",CELL("filename",A5))+1,255)</f>
        <v>_0081084</v>
      </c>
      <c r="L26" s="10" t="s">
        <v>9</v>
      </c>
      <c r="M26" s="10">
        <f t="shared" si="4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3</v>
      </c>
      <c r="D27" s="13" t="str">
        <f t="shared" si="8"/>
        <v>1,3</v>
      </c>
      <c r="E27" s="13"/>
      <c r="F27" s="15">
        <f t="shared" si="10"/>
        <v>0.44791666666666669</v>
      </c>
      <c r="G27" s="13">
        <f t="shared" si="9"/>
        <v>105</v>
      </c>
      <c r="H27" s="13" t="s">
        <v>7</v>
      </c>
      <c r="I27" s="13" t="s">
        <v>10</v>
      </c>
      <c r="J27" s="13" t="str" cm="1">
        <f t="array" aca="1" ref="J27" ca="1">MID(CELL("filename",A6),FIND("]",CELL("filename",A6))+1,255)</f>
        <v>_0081084</v>
      </c>
      <c r="L27" s="10" t="s">
        <v>12</v>
      </c>
      <c r="M27" s="10">
        <f t="shared" si="4"/>
        <v>4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3</v>
      </c>
      <c r="D28" s="13" t="str">
        <f t="shared" si="8"/>
        <v>1,3</v>
      </c>
      <c r="E28" s="13"/>
      <c r="F28" s="15">
        <f t="shared" si="10"/>
        <v>0.52083333333333337</v>
      </c>
      <c r="G28" s="13">
        <f t="shared" si="9"/>
        <v>105</v>
      </c>
      <c r="H28" s="13" t="s">
        <v>7</v>
      </c>
      <c r="I28" s="13" t="s">
        <v>10</v>
      </c>
      <c r="J28" s="13" t="str" cm="1">
        <f t="array" aca="1" ref="J28" ca="1">MID(CELL("filename",A7),FIND("]",CELL("filename",A7))+1,255)</f>
        <v>_0081084</v>
      </c>
      <c r="L28" s="10" t="s">
        <v>13</v>
      </c>
      <c r="M28" s="10">
        <f t="shared" si="4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3</v>
      </c>
      <c r="D29" s="13" t="str">
        <f t="shared" si="8"/>
        <v>1,3</v>
      </c>
      <c r="E29" s="13"/>
      <c r="F29" s="15">
        <f t="shared" si="10"/>
        <v>0.59375</v>
      </c>
      <c r="G29" s="13">
        <f t="shared" si="9"/>
        <v>105</v>
      </c>
      <c r="H29" s="13" t="s">
        <v>7</v>
      </c>
      <c r="I29" s="13" t="s">
        <v>10</v>
      </c>
      <c r="J29" s="13" t="str" cm="1">
        <f t="array" aca="1" ref="J29" ca="1">MID(CELL("filename",A8),FIND("]",CELL("filename",A8))+1,255)</f>
        <v>_0081084</v>
      </c>
    </row>
    <row r="30" spans="1:13">
      <c r="A30" s="13" t="e">
        <f t="shared" si="5"/>
        <v>#VALUE!</v>
      </c>
      <c r="B30" s="13" t="str">
        <f t="shared" si="6"/>
        <v>2</v>
      </c>
      <c r="C30" s="13">
        <f t="shared" si="7"/>
        <v>4</v>
      </c>
      <c r="D30" s="13" t="str">
        <f t="shared" si="8"/>
        <v>5,6</v>
      </c>
      <c r="E30" s="13"/>
      <c r="F30" s="15">
        <f t="shared" si="10"/>
        <v>0.375</v>
      </c>
      <c r="G30" s="13">
        <f t="shared" si="9"/>
        <v>105</v>
      </c>
      <c r="H30" s="13" t="s">
        <v>8</v>
      </c>
      <c r="I30" s="13" t="s">
        <v>11</v>
      </c>
      <c r="J30" s="13" t="str" cm="1">
        <f t="array" aca="1" ref="J30" ca="1">MID(CELL("filename",A9),FIND("]",CELL("filename",A9))+1,255)</f>
        <v>_0081084</v>
      </c>
    </row>
    <row r="31" spans="1:13">
      <c r="A31" s="13" t="e">
        <f t="shared" si="5"/>
        <v>#VALUE!</v>
      </c>
      <c r="B31" s="13" t="str">
        <f t="shared" si="6"/>
        <v>2</v>
      </c>
      <c r="C31" s="13">
        <f t="shared" si="7"/>
        <v>4</v>
      </c>
      <c r="D31" s="13" t="str">
        <f t="shared" si="8"/>
        <v>5,6</v>
      </c>
      <c r="E31" s="13"/>
      <c r="F31" s="15">
        <f t="shared" si="10"/>
        <v>0.44791666666666669</v>
      </c>
      <c r="G31" s="13">
        <f t="shared" si="9"/>
        <v>105</v>
      </c>
      <c r="H31" s="13" t="s">
        <v>8</v>
      </c>
      <c r="I31" s="13" t="s">
        <v>11</v>
      </c>
      <c r="J31" s="13" t="str" cm="1">
        <f t="array" aca="1" ref="J31" ca="1">MID(CELL("filename",A10),FIND("]",CELL("filename",A10))+1,255)</f>
        <v>_0081084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4</v>
      </c>
      <c r="D32" s="13" t="str">
        <f t="shared" si="8"/>
        <v>5,6</v>
      </c>
      <c r="E32" s="13"/>
      <c r="F32" s="15">
        <f t="shared" si="10"/>
        <v>0.52083333333333337</v>
      </c>
      <c r="G32" s="13">
        <f t="shared" si="9"/>
        <v>105</v>
      </c>
      <c r="H32" s="13" t="s">
        <v>8</v>
      </c>
      <c r="I32" s="13" t="s">
        <v>11</v>
      </c>
      <c r="J32" s="13" t="str" cm="1">
        <f t="array" aca="1" ref="J32" ca="1">MID(CELL("filename",A11),FIND("]",CELL("filename",A11))+1,255)</f>
        <v>_0081084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0"/>
        <v>0.59375</v>
      </c>
      <c r="G33" s="13">
        <f t="shared" si="9"/>
        <v>105</v>
      </c>
      <c r="H33" s="13" t="s">
        <v>8</v>
      </c>
      <c r="I33" s="13" t="s">
        <v>11</v>
      </c>
      <c r="J33" s="13" t="str" cm="1">
        <f t="array" aca="1" ref="J33" ca="1">MID(CELL("filename",A12),FIND("]",CELL("filename",A12))+1,255)</f>
        <v>_0081084</v>
      </c>
    </row>
    <row r="34" spans="1:10">
      <c r="A34" s="13" t="e">
        <f t="shared" si="5"/>
        <v>#VALUE!</v>
      </c>
      <c r="B34" s="13" t="str">
        <f t="shared" si="6"/>
        <v>1</v>
      </c>
      <c r="C34" s="13">
        <f t="shared" si="7"/>
        <v>7</v>
      </c>
      <c r="D34" s="13" t="str">
        <f t="shared" si="8"/>
        <v>6,7</v>
      </c>
      <c r="E34" s="13"/>
      <c r="F34" s="15">
        <f t="shared" si="10"/>
        <v>0.375</v>
      </c>
      <c r="G34" s="13">
        <f t="shared" si="9"/>
        <v>60</v>
      </c>
      <c r="H34" s="13" t="s">
        <v>14</v>
      </c>
      <c r="I34" s="13" t="s">
        <v>13</v>
      </c>
      <c r="J34" s="13" t="str" cm="1">
        <f t="array" aca="1" ref="J34" ca="1">MID(CELL("filename",A13),FIND("]",CELL("filename",A13))+1,255)</f>
        <v>_0081084</v>
      </c>
    </row>
    <row r="35" spans="1:10">
      <c r="A35" s="13" t="e">
        <f t="shared" si="5"/>
        <v>#VALUE!</v>
      </c>
      <c r="B35" s="13" t="str">
        <f t="shared" si="6"/>
        <v>1</v>
      </c>
      <c r="C35" s="13">
        <f t="shared" si="7"/>
        <v>5</v>
      </c>
      <c r="D35" s="13" t="str">
        <f t="shared" si="8"/>
        <v>6,7</v>
      </c>
      <c r="E35" s="13"/>
      <c r="F35" s="15">
        <v>0.47916666666666669</v>
      </c>
      <c r="G35" s="13">
        <f t="shared" si="9"/>
        <v>90</v>
      </c>
      <c r="H35" s="13" t="s">
        <v>14</v>
      </c>
      <c r="I35" s="13" t="s">
        <v>9</v>
      </c>
      <c r="J35" s="13" t="str" cm="1">
        <f t="array" aca="1" ref="J35" ca="1">MID(CELL("filename",A14),FIND("]",CELL("filename",A14))+1,255)</f>
        <v>_0081084</v>
      </c>
    </row>
    <row r="36" spans="1:10">
      <c r="A36" s="13" t="e">
        <f t="shared" si="5"/>
        <v>#VALUE!</v>
      </c>
      <c r="B36" s="13" t="str">
        <f t="shared" si="6"/>
        <v>1</v>
      </c>
      <c r="C36" s="13">
        <f t="shared" si="7"/>
        <v>5</v>
      </c>
      <c r="D36" s="13" t="str">
        <f t="shared" si="8"/>
        <v>6,7</v>
      </c>
      <c r="E36" s="13"/>
      <c r="F36" s="15">
        <f t="shared" si="10"/>
        <v>0.54166666666666674</v>
      </c>
      <c r="G36" s="13">
        <f t="shared" si="9"/>
        <v>90</v>
      </c>
      <c r="H36" s="13" t="s">
        <v>14</v>
      </c>
      <c r="I36" s="13" t="s">
        <v>9</v>
      </c>
      <c r="J36" s="13" t="str" cm="1">
        <f t="array" aca="1" ref="J36" ca="1">MID(CELL("filename",A15),FIND("]",CELL("filename",A15))+1,255)</f>
        <v>_0081084</v>
      </c>
    </row>
    <row r="37" spans="1:10">
      <c r="A37" s="13" t="e">
        <f t="shared" si="5"/>
        <v>#VALUE!</v>
      </c>
      <c r="B37" s="13" t="str">
        <f t="shared" si="6"/>
        <v>1</v>
      </c>
      <c r="C37" s="13">
        <f t="shared" si="7"/>
        <v>5</v>
      </c>
      <c r="D37" s="13" t="str">
        <f t="shared" si="8"/>
        <v>6,7</v>
      </c>
      <c r="E37" s="13"/>
      <c r="F37" s="15">
        <f t="shared" si="10"/>
        <v>0.60416666666666674</v>
      </c>
      <c r="G37" s="13">
        <f t="shared" si="9"/>
        <v>90</v>
      </c>
      <c r="H37" s="13" t="s">
        <v>14</v>
      </c>
      <c r="I37" s="13" t="s">
        <v>9</v>
      </c>
      <c r="J37" s="13" t="str" cm="1">
        <f t="array" aca="1" ref="J37" ca="1">MID(CELL("filename",A16),FIND("]",CELL("filename",A16))+1,255)</f>
        <v>_0081084</v>
      </c>
    </row>
    <row r="38" spans="1:10">
      <c r="A38" s="13" t="e">
        <f t="shared" si="5"/>
        <v>#VALUE!</v>
      </c>
      <c r="B38" s="13" t="str">
        <f t="shared" si="6"/>
        <v>5</v>
      </c>
      <c r="C38" s="13">
        <f t="shared" si="7"/>
        <v>6</v>
      </c>
      <c r="D38" s="13">
        <f t="shared" si="8"/>
        <v>5</v>
      </c>
      <c r="E38" s="13"/>
      <c r="F38" s="15">
        <f t="shared" si="10"/>
        <v>0.375</v>
      </c>
      <c r="G38" s="13">
        <f t="shared" si="9"/>
        <v>60</v>
      </c>
      <c r="H38" s="13" t="s">
        <v>15</v>
      </c>
      <c r="I38" s="13" t="s">
        <v>12</v>
      </c>
      <c r="J38" s="13" t="str" cm="1">
        <f t="array" aca="1" ref="J38" ca="1">MID(CELL("filename",A17),FIND("]",CELL("filename",A17))+1,255)</f>
        <v>_0081084</v>
      </c>
    </row>
    <row r="39" spans="1:10">
      <c r="A39" s="13" t="e">
        <f t="shared" si="5"/>
        <v>#VALUE!</v>
      </c>
      <c r="B39" s="13" t="str">
        <f t="shared" si="6"/>
        <v>5</v>
      </c>
      <c r="C39" s="13">
        <f t="shared" si="7"/>
        <v>4</v>
      </c>
      <c r="D39" s="13">
        <f t="shared" si="8"/>
        <v>5</v>
      </c>
      <c r="E39" s="13"/>
      <c r="F39" s="15">
        <f t="shared" si="10"/>
        <v>0.41666666666666669</v>
      </c>
      <c r="G39" s="13">
        <f t="shared" si="9"/>
        <v>105</v>
      </c>
      <c r="H39" s="13" t="s">
        <v>15</v>
      </c>
      <c r="I39" s="13" t="s">
        <v>11</v>
      </c>
      <c r="J39" s="13" t="str" cm="1">
        <f t="array" aca="1" ref="J39" ca="1">MID(CELL("filename",A18),FIND("]",CELL("filename",A18))+1,255)</f>
        <v>_0081084</v>
      </c>
    </row>
    <row r="40" spans="1:10">
      <c r="A40" s="13" t="e">
        <f t="shared" si="5"/>
        <v>#VALUE!</v>
      </c>
      <c r="B40" s="13" t="str">
        <f t="shared" si="6"/>
        <v>5</v>
      </c>
      <c r="C40" s="13">
        <f t="shared" si="7"/>
        <v>4</v>
      </c>
      <c r="D40" s="13">
        <f t="shared" si="8"/>
        <v>5</v>
      </c>
      <c r="E40" s="13"/>
      <c r="F40" s="15">
        <f t="shared" si="10"/>
        <v>0.48958333333333337</v>
      </c>
      <c r="G40" s="13">
        <f t="shared" si="9"/>
        <v>105</v>
      </c>
      <c r="H40" s="13" t="s">
        <v>15</v>
      </c>
      <c r="I40" s="13" t="s">
        <v>11</v>
      </c>
      <c r="J40" s="13" t="str" cm="1">
        <f t="array" aca="1" ref="J40" ca="1">MID(CELL("filename",A19),FIND("]",CELL("filename",A19))+1,255)</f>
        <v>_0081084</v>
      </c>
    </row>
    <row r="41" spans="1:10">
      <c r="A41" s="13" t="e">
        <f t="shared" si="5"/>
        <v>#VALUE!</v>
      </c>
      <c r="B41" s="13" t="str">
        <f t="shared" si="6"/>
        <v>5</v>
      </c>
      <c r="C41" s="13">
        <f t="shared" si="7"/>
        <v>4</v>
      </c>
      <c r="D41" s="13">
        <f t="shared" si="8"/>
        <v>5</v>
      </c>
      <c r="E41" s="13"/>
      <c r="F41" s="15">
        <f t="shared" si="10"/>
        <v>0.5625</v>
      </c>
      <c r="G41" s="13">
        <f t="shared" si="9"/>
        <v>105</v>
      </c>
      <c r="H41" s="13" t="s">
        <v>15</v>
      </c>
      <c r="I41" s="13" t="s">
        <v>11</v>
      </c>
      <c r="J41" s="13" t="str" cm="1">
        <f t="array" aca="1" ref="J41" ca="1">MID(CELL("filename",A20),FIND("]",CELL("filename",A20))+1,255)</f>
        <v>_0081084</v>
      </c>
    </row>
    <row r="42" spans="1:10">
      <c r="A42" s="13" t="e">
        <f t="shared" si="5"/>
        <v>#VALUE!</v>
      </c>
      <c r="B42" s="13" t="str">
        <f t="shared" si="6"/>
        <v>6</v>
      </c>
      <c r="C42" s="13">
        <f t="shared" si="7"/>
        <v>6</v>
      </c>
      <c r="D42" s="13" t="str">
        <f t="shared" si="8"/>
        <v>4,5,6,1</v>
      </c>
      <c r="E42" s="13"/>
      <c r="F42" s="15">
        <f t="shared" si="10"/>
        <v>0.375</v>
      </c>
      <c r="G42" s="13">
        <f t="shared" si="9"/>
        <v>60</v>
      </c>
      <c r="H42" s="13" t="s">
        <v>16</v>
      </c>
      <c r="I42" s="13" t="s">
        <v>12</v>
      </c>
      <c r="J42" s="13" t="str" cm="1">
        <f t="array" aca="1" ref="J42" ca="1">MID(CELL("filename",A21),FIND("]",CELL("filename",A21))+1,255)</f>
        <v>_0081084</v>
      </c>
    </row>
    <row r="43" spans="1:10">
      <c r="A43" s="13" t="e">
        <f t="shared" si="5"/>
        <v>#VALUE!</v>
      </c>
      <c r="B43" s="13" t="str">
        <f t="shared" si="6"/>
        <v>6</v>
      </c>
      <c r="C43" s="13">
        <f t="shared" si="7"/>
        <v>4</v>
      </c>
      <c r="D43" s="13" t="str">
        <f t="shared" si="8"/>
        <v>4,5,6,1</v>
      </c>
      <c r="E43" s="13"/>
      <c r="F43" s="15">
        <f t="shared" si="10"/>
        <v>0.41666666666666669</v>
      </c>
      <c r="G43" s="13">
        <f t="shared" si="9"/>
        <v>105</v>
      </c>
      <c r="H43" s="13" t="s">
        <v>16</v>
      </c>
      <c r="I43" s="13" t="s">
        <v>11</v>
      </c>
      <c r="J43" s="13" t="str" cm="1">
        <f t="array" aca="1" ref="J43" ca="1">MID(CELL("filename",A22),FIND("]",CELL("filename",A22))+1,255)</f>
        <v>_0081084</v>
      </c>
    </row>
    <row r="44" spans="1:10">
      <c r="A44" s="13" t="e">
        <f t="shared" si="5"/>
        <v>#VALUE!</v>
      </c>
      <c r="B44" s="13" t="str">
        <f t="shared" si="6"/>
        <v>6</v>
      </c>
      <c r="C44" s="13">
        <f t="shared" si="7"/>
        <v>4</v>
      </c>
      <c r="D44" s="13" t="str">
        <f t="shared" si="8"/>
        <v>4,5,6,1</v>
      </c>
      <c r="E44" s="13"/>
      <c r="F44" s="15">
        <f t="shared" si="10"/>
        <v>0.48958333333333337</v>
      </c>
      <c r="G44" s="13">
        <f t="shared" si="9"/>
        <v>105</v>
      </c>
      <c r="H44" s="13" t="s">
        <v>16</v>
      </c>
      <c r="I44" s="13" t="s">
        <v>11</v>
      </c>
      <c r="J44" s="13" t="str" cm="1">
        <f t="array" aca="1" ref="J44" ca="1">MID(CELL("filename",A23),FIND("]",CELL("filename",A23))+1,255)</f>
        <v>_0081084</v>
      </c>
    </row>
    <row r="45" spans="1:10">
      <c r="A45" s="13" t="e">
        <f t="shared" si="5"/>
        <v>#VALUE!</v>
      </c>
      <c r="B45" s="13" t="str">
        <f t="shared" si="6"/>
        <v>6</v>
      </c>
      <c r="C45" s="13">
        <f t="shared" si="7"/>
        <v>4</v>
      </c>
      <c r="D45" s="13" t="str">
        <f t="shared" si="8"/>
        <v>4,5,6,1</v>
      </c>
      <c r="E45" s="13"/>
      <c r="F45" s="15">
        <f t="shared" si="10"/>
        <v>0.5625</v>
      </c>
      <c r="G45" s="13">
        <f t="shared" si="9"/>
        <v>105</v>
      </c>
      <c r="H45" s="13" t="s">
        <v>16</v>
      </c>
      <c r="I45" s="13" t="s">
        <v>11</v>
      </c>
      <c r="J45" s="13" t="str" cm="1">
        <f t="array" aca="1" ref="J45" ca="1">MID(CELL("filename",A24),FIND("]",CELL("filename",A24))+1,255)</f>
        <v>_0081084</v>
      </c>
    </row>
    <row r="46" spans="1:10">
      <c r="A46" s="13" t="e">
        <f t="shared" si="5"/>
        <v>#VALUE!</v>
      </c>
      <c r="B46" s="13" t="str">
        <f t="shared" si="6"/>
        <v>7</v>
      </c>
      <c r="C46" s="13">
        <f t="shared" si="7"/>
        <v>6</v>
      </c>
      <c r="D46" s="13" t="str">
        <f t="shared" si="8"/>
        <v>2,3,4,5,6</v>
      </c>
      <c r="E46" s="13"/>
      <c r="F46" s="15">
        <f t="shared" si="10"/>
        <v>0.375</v>
      </c>
      <c r="G46" s="13">
        <f t="shared" si="9"/>
        <v>60</v>
      </c>
      <c r="H46" s="13" t="s">
        <v>17</v>
      </c>
      <c r="I46" s="13" t="s">
        <v>12</v>
      </c>
      <c r="J46" s="13" t="str" cm="1">
        <f t="array" aca="1" ref="J46" ca="1">MID(CELL("filename",A25),FIND("]",CELL("filename",A25))+1,255)</f>
        <v>_0081084</v>
      </c>
    </row>
    <row r="47" spans="1:10">
      <c r="A47" s="13" t="e">
        <f t="shared" si="5"/>
        <v>#VALUE!</v>
      </c>
      <c r="B47" s="13" t="str">
        <f t="shared" si="6"/>
        <v>7</v>
      </c>
      <c r="C47" s="13">
        <f t="shared" si="7"/>
        <v>6</v>
      </c>
      <c r="D47" s="13" t="str">
        <f t="shared" si="8"/>
        <v>2,3,4,5,6</v>
      </c>
      <c r="E47" s="13"/>
      <c r="F47" s="15">
        <f t="shared" si="10"/>
        <v>0.41666666666666669</v>
      </c>
      <c r="G47" s="13">
        <f t="shared" si="9"/>
        <v>60</v>
      </c>
      <c r="H47" s="13" t="s">
        <v>17</v>
      </c>
      <c r="I47" s="13" t="s">
        <v>12</v>
      </c>
      <c r="J47" s="13" t="str" cm="1">
        <f t="array" aca="1" ref="J47" ca="1">MID(CELL("filename",A26),FIND("]",CELL("filename",A26))+1,255)</f>
        <v>_0081084</v>
      </c>
    </row>
    <row r="48" spans="1:10">
      <c r="A48" s="13" t="e">
        <f t="shared" si="5"/>
        <v>#VALUE!</v>
      </c>
      <c r="B48" s="13" t="str">
        <f t="shared" si="6"/>
        <v>7</v>
      </c>
      <c r="C48" s="13">
        <f t="shared" si="7"/>
        <v>5</v>
      </c>
      <c r="D48" s="13" t="str">
        <f t="shared" si="8"/>
        <v>2,3,4,5,6</v>
      </c>
      <c r="E48" s="13"/>
      <c r="F48" s="15">
        <f t="shared" si="10"/>
        <v>0.45833333333333337</v>
      </c>
      <c r="G48" s="13">
        <f t="shared" si="9"/>
        <v>90</v>
      </c>
      <c r="H48" s="13" t="s">
        <v>17</v>
      </c>
      <c r="I48" s="13" t="s">
        <v>9</v>
      </c>
      <c r="J48" s="13" t="str" cm="1">
        <f t="array" aca="1" ref="J48" ca="1">MID(CELL("filename",A27),FIND("]",CELL("filename",A27))+1,255)</f>
        <v>_0081084</v>
      </c>
    </row>
    <row r="49" spans="1:10">
      <c r="A49" s="13" t="e">
        <f t="shared" si="5"/>
        <v>#VALUE!</v>
      </c>
      <c r="B49" s="13" t="str">
        <f t="shared" si="6"/>
        <v>7</v>
      </c>
      <c r="C49" s="13">
        <f t="shared" si="7"/>
        <v>5</v>
      </c>
      <c r="D49" s="13" t="str">
        <f t="shared" si="8"/>
        <v>2,3,4,5,6</v>
      </c>
      <c r="E49" s="13"/>
      <c r="F49" s="15">
        <f t="shared" si="10"/>
        <v>0.52083333333333337</v>
      </c>
      <c r="G49" s="13">
        <f t="shared" si="9"/>
        <v>90</v>
      </c>
      <c r="H49" s="13" t="s">
        <v>17</v>
      </c>
      <c r="I49" s="13" t="s">
        <v>9</v>
      </c>
      <c r="J49" s="13" t="str" cm="1">
        <f t="array" aca="1" ref="J49" ca="1">MID(CELL("filename",A28),FIND("]",CELL("filename",A28))+1,255)</f>
        <v>_0081084</v>
      </c>
    </row>
    <row r="50" spans="1:10">
      <c r="A50" s="13" t="e">
        <f t="shared" si="5"/>
        <v>#VALUE!</v>
      </c>
      <c r="B50" s="13" t="str">
        <f t="shared" si="6"/>
        <v>8</v>
      </c>
      <c r="C50" s="13">
        <f t="shared" si="7"/>
        <v>5</v>
      </c>
      <c r="D50" s="13" t="str">
        <f t="shared" si="8"/>
        <v>2,3,4,5,6</v>
      </c>
      <c r="E50" s="13"/>
      <c r="F50" s="15">
        <f t="shared" si="10"/>
        <v>0.375</v>
      </c>
      <c r="G50" s="13">
        <f t="shared" si="9"/>
        <v>90</v>
      </c>
      <c r="H50" s="13" t="s">
        <v>18</v>
      </c>
      <c r="I50" s="13" t="s">
        <v>9</v>
      </c>
      <c r="J50" s="13" t="str" cm="1">
        <f t="array" aca="1" ref="J50" ca="1">MID(CELL("filename",A29),FIND("]",CELL("filename",A29))+1,255)</f>
        <v>_0081084</v>
      </c>
    </row>
    <row r="51" spans="1:10">
      <c r="A51" s="13" t="e">
        <f t="shared" si="5"/>
        <v>#VALUE!</v>
      </c>
      <c r="B51" s="13" t="str">
        <f t="shared" si="6"/>
        <v>8</v>
      </c>
      <c r="C51" s="13">
        <f t="shared" si="7"/>
        <v>5</v>
      </c>
      <c r="D51" s="13" t="str">
        <f t="shared" si="8"/>
        <v>2,3,4,5,6</v>
      </c>
      <c r="E51" s="13"/>
      <c r="F51" s="15">
        <f t="shared" si="10"/>
        <v>0.4375</v>
      </c>
      <c r="G51" s="13">
        <f t="shared" si="9"/>
        <v>90</v>
      </c>
      <c r="H51" s="13" t="s">
        <v>18</v>
      </c>
      <c r="I51" s="13" t="s">
        <v>9</v>
      </c>
      <c r="J51" s="13" t="str" cm="1">
        <f t="array" aca="1" ref="J51" ca="1">MID(CELL("filename",A30),FIND("]",CELL("filename",A30))+1,255)</f>
        <v>_0081084</v>
      </c>
    </row>
    <row r="52" spans="1:10">
      <c r="A52" s="13" t="e">
        <f t="shared" si="5"/>
        <v>#VALUE!</v>
      </c>
      <c r="B52" s="13" t="str">
        <f t="shared" si="6"/>
        <v>8</v>
      </c>
      <c r="C52" s="13">
        <f t="shared" si="7"/>
        <v>5</v>
      </c>
      <c r="D52" s="13" t="str">
        <f t="shared" si="8"/>
        <v>2,3,4,5,6</v>
      </c>
      <c r="E52" s="13"/>
      <c r="F52" s="15">
        <f t="shared" si="10"/>
        <v>0.5</v>
      </c>
      <c r="G52" s="13">
        <f t="shared" si="9"/>
        <v>90</v>
      </c>
      <c r="H52" s="13" t="s">
        <v>18</v>
      </c>
      <c r="I52" s="13" t="s">
        <v>9</v>
      </c>
      <c r="J52" s="13" t="str" cm="1">
        <f t="array" aca="1" ref="J52" ca="1">MID(CELL("filename",A31),FIND("]",CELL("filename",A31))+1,255)</f>
        <v>_0081084</v>
      </c>
    </row>
    <row r="53" spans="1:10">
      <c r="A53" s="13"/>
      <c r="B53" s="13"/>
      <c r="C53" s="13"/>
      <c r="D53" s="13"/>
      <c r="E53" s="13"/>
      <c r="F53" s="15"/>
      <c r="G53" s="13"/>
      <c r="H53" s="13"/>
      <c r="I53" s="13"/>
      <c r="J53" s="13"/>
    </row>
    <row r="54" spans="1:10">
      <c r="A54" s="13"/>
      <c r="B54" s="13"/>
      <c r="C54" s="13"/>
      <c r="D54" s="13"/>
      <c r="E54" s="13"/>
      <c r="F54" s="15"/>
      <c r="G54" s="13"/>
      <c r="H54" s="13"/>
      <c r="I54" s="13"/>
      <c r="J54" s="13"/>
    </row>
    <row r="55" spans="1:10">
      <c r="A55" s="13"/>
      <c r="B55" s="13"/>
      <c r="C55" s="13"/>
      <c r="D55" s="13"/>
      <c r="E55" s="13"/>
      <c r="F55" s="15"/>
      <c r="G55" s="13"/>
      <c r="H55" s="13"/>
      <c r="I55" s="13"/>
      <c r="J55" s="13"/>
    </row>
    <row r="56" spans="1:10">
      <c r="A56" s="13"/>
      <c r="B56" s="13"/>
      <c r="C56" s="13"/>
      <c r="D56" s="13"/>
      <c r="E56" s="13"/>
      <c r="F56" s="15"/>
      <c r="G56" s="13"/>
      <c r="H56" s="13"/>
      <c r="I56" s="13"/>
      <c r="J56" s="13"/>
    </row>
    <row r="57" spans="1:10">
      <c r="A57" s="13"/>
      <c r="B57" s="13"/>
      <c r="C57" s="13"/>
      <c r="D57" s="13"/>
      <c r="E57" s="13"/>
      <c r="F57" s="15"/>
      <c r="G57" s="13"/>
      <c r="H57" s="13"/>
      <c r="I57" s="13"/>
      <c r="J57" s="13"/>
    </row>
    <row r="58" spans="1:10">
      <c r="A58" s="13"/>
      <c r="B58" s="13"/>
      <c r="C58" s="13"/>
      <c r="D58" s="13"/>
      <c r="E58" s="13"/>
      <c r="F58" s="15"/>
      <c r="G58" s="13"/>
      <c r="H58" s="13"/>
      <c r="I58" s="13"/>
      <c r="J58" s="13"/>
    </row>
    <row r="59" spans="1:10">
      <c r="A59" s="13"/>
      <c r="B59" s="13"/>
      <c r="C59" s="13"/>
      <c r="D59" s="13"/>
      <c r="E59" s="13"/>
      <c r="F59" s="15"/>
      <c r="G59" s="13"/>
      <c r="H59" s="13"/>
      <c r="I59" s="13"/>
      <c r="J59" s="13"/>
    </row>
    <row r="60" spans="1:10">
      <c r="A60" s="13"/>
      <c r="B60" s="13"/>
      <c r="C60" s="13"/>
      <c r="D60" s="13"/>
      <c r="E60" s="13"/>
      <c r="F60" s="15"/>
      <c r="G60" s="13"/>
      <c r="H60" s="13"/>
      <c r="I60" s="13"/>
      <c r="J60" s="13"/>
    </row>
    <row r="61" spans="1:10">
      <c r="A61" s="13"/>
      <c r="B61" s="13"/>
      <c r="C61" s="13"/>
      <c r="D61" s="13"/>
      <c r="E61" s="13"/>
      <c r="F61" s="15"/>
      <c r="G61" s="13"/>
      <c r="H61" s="13"/>
      <c r="I61" s="13"/>
      <c r="J61" s="13"/>
    </row>
    <row r="62" spans="1:10">
      <c r="A62" s="13"/>
      <c r="B62" s="13"/>
      <c r="C62" s="13"/>
      <c r="D62" s="13"/>
      <c r="E62" s="13"/>
      <c r="F62" s="15"/>
      <c r="G62" s="13"/>
      <c r="H62" s="13"/>
      <c r="I62" s="13"/>
      <c r="J62" s="13"/>
    </row>
    <row r="63" spans="1:10">
      <c r="A63" s="13"/>
      <c r="B63" s="13"/>
      <c r="C63" s="13"/>
      <c r="D63" s="13"/>
      <c r="E63" s="13"/>
      <c r="F63" s="15"/>
      <c r="G63" s="13"/>
      <c r="H63" s="13"/>
      <c r="I63" s="13"/>
      <c r="J63" s="13"/>
    </row>
    <row r="64" spans="1:10">
      <c r="A64" s="13"/>
      <c r="B64" s="13"/>
      <c r="C64" s="13"/>
      <c r="D64" s="13"/>
      <c r="E64" s="13"/>
      <c r="F64" s="15"/>
      <c r="G64" s="13"/>
      <c r="H64" s="13"/>
      <c r="I64" s="13"/>
      <c r="J64" s="13"/>
    </row>
    <row r="65" spans="1:10">
      <c r="A65" s="13"/>
      <c r="B65" s="13"/>
      <c r="C65" s="13"/>
      <c r="D65" s="13"/>
      <c r="E65" s="13"/>
      <c r="F65" s="15"/>
      <c r="G65" s="13"/>
      <c r="H65" s="13"/>
      <c r="I65" s="13"/>
      <c r="J65" s="13"/>
    </row>
    <row r="66" spans="1:10">
      <c r="A66" s="13"/>
      <c r="B66" s="13"/>
      <c r="C66" s="13"/>
      <c r="D66" s="13"/>
      <c r="E66" s="13"/>
      <c r="F66" s="15"/>
      <c r="G66" s="13"/>
      <c r="H66" s="13"/>
      <c r="I66" s="13"/>
      <c r="J66" s="13"/>
    </row>
    <row r="67" spans="1:10">
      <c r="A67" s="13"/>
      <c r="B67" s="13"/>
      <c r="C67" s="13"/>
      <c r="D67" s="13"/>
      <c r="E67" s="13"/>
      <c r="F67" s="15"/>
      <c r="G67" s="13"/>
      <c r="H67" s="13"/>
      <c r="I67" s="13"/>
      <c r="J67" s="13"/>
    </row>
  </sheetData>
  <mergeCells count="38">
    <mergeCell ref="N9:S9"/>
    <mergeCell ref="M6:S6"/>
    <mergeCell ref="B4:H4"/>
    <mergeCell ref="I4:O4"/>
    <mergeCell ref="P4:V4"/>
    <mergeCell ref="L5:Q5"/>
    <mergeCell ref="R5:W5"/>
    <mergeCell ref="W4:AC4"/>
    <mergeCell ref="X5:AC5"/>
    <mergeCell ref="F8:I8"/>
    <mergeCell ref="J8:O8"/>
    <mergeCell ref="P8:U8"/>
    <mergeCell ref="T6:Z6"/>
    <mergeCell ref="F7:L7"/>
    <mergeCell ref="M7:S7"/>
    <mergeCell ref="T7:Z7"/>
    <mergeCell ref="B17:G17"/>
    <mergeCell ref="B18:E18"/>
    <mergeCell ref="B19:E19"/>
    <mergeCell ref="B5:E5"/>
    <mergeCell ref="B13:I13"/>
    <mergeCell ref="B14:I14"/>
    <mergeCell ref="B15:H15"/>
    <mergeCell ref="B16:H16"/>
    <mergeCell ref="B8:E8"/>
    <mergeCell ref="B6:E6"/>
    <mergeCell ref="B7:E7"/>
    <mergeCell ref="F6:L6"/>
    <mergeCell ref="B9:G9"/>
    <mergeCell ref="H9:M9"/>
    <mergeCell ref="W2:AC2"/>
    <mergeCell ref="B3:H3"/>
    <mergeCell ref="I3:O3"/>
    <mergeCell ref="P3:V3"/>
    <mergeCell ref="W3:AC3"/>
    <mergeCell ref="B2:H2"/>
    <mergeCell ref="I2:O2"/>
    <mergeCell ref="P2:V2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B46F-BB5D-4DFA-A195-4753FDC2859C}">
  <sheetPr codeName="Sheet14"/>
  <dimension ref="A1:Q36"/>
  <sheetViews>
    <sheetView zoomScale="70" zoomScaleNormal="70" workbookViewId="0">
      <selection activeCell="T30" sqref="T30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3" t="s">
        <v>7</v>
      </c>
      <c r="C2" s="54"/>
      <c r="D2" s="54"/>
      <c r="E2" s="54"/>
      <c r="F2" s="54"/>
      <c r="G2" s="54"/>
      <c r="H2" s="54"/>
      <c r="I2" s="55"/>
      <c r="J2" s="53" t="s">
        <v>7</v>
      </c>
      <c r="K2" s="54"/>
      <c r="L2" s="54"/>
      <c r="M2" s="54"/>
      <c r="N2" s="54"/>
      <c r="O2" s="54"/>
      <c r="P2" s="54"/>
      <c r="Q2" s="55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62"/>
      <c r="K4" s="62"/>
      <c r="L4" s="62"/>
      <c r="M4" s="62"/>
      <c r="N4" s="62"/>
      <c r="O4" s="63"/>
    </row>
    <row r="5" spans="1:17" ht="15" thickBot="1">
      <c r="A5" s="10" t="s">
        <v>14</v>
      </c>
      <c r="B5" s="25"/>
      <c r="C5" s="26"/>
      <c r="D5" s="26"/>
      <c r="E5" s="47" t="s">
        <v>100</v>
      </c>
      <c r="F5" s="48"/>
      <c r="G5" s="48"/>
      <c r="H5" s="49"/>
      <c r="I5" s="24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56" t="s">
        <v>11</v>
      </c>
      <c r="I6" s="57"/>
      <c r="J6" s="57"/>
      <c r="K6" s="57"/>
      <c r="L6" s="57"/>
      <c r="M6" s="57"/>
      <c r="N6" s="58"/>
      <c r="O6" s="26"/>
      <c r="P6" s="24"/>
    </row>
    <row r="7" spans="1:17" ht="15" thickBot="1">
      <c r="A7" s="10" t="s">
        <v>98</v>
      </c>
      <c r="B7" s="41" t="s">
        <v>12</v>
      </c>
      <c r="C7" s="42"/>
      <c r="D7" s="42"/>
      <c r="E7" s="43"/>
      <c r="F7" s="41" t="s">
        <v>12</v>
      </c>
      <c r="G7" s="42"/>
      <c r="H7" s="42"/>
      <c r="I7" s="43"/>
      <c r="J7" s="25"/>
      <c r="K7" s="26"/>
      <c r="L7" s="26"/>
      <c r="M7" s="26"/>
      <c r="N7" s="26"/>
      <c r="O7" s="26"/>
      <c r="P7" s="24"/>
    </row>
    <row r="8" spans="1:17" ht="15" thickBot="1">
      <c r="A8" s="10" t="s">
        <v>17</v>
      </c>
      <c r="B8" s="38" t="s">
        <v>9</v>
      </c>
      <c r="C8" s="39"/>
      <c r="D8" s="39"/>
      <c r="E8" s="39"/>
      <c r="F8" s="39"/>
      <c r="G8" s="40"/>
      <c r="H8" s="56" t="s">
        <v>11</v>
      </c>
      <c r="I8" s="57"/>
      <c r="J8" s="57"/>
      <c r="K8" s="57"/>
      <c r="L8" s="57"/>
      <c r="M8" s="57"/>
      <c r="N8" s="58"/>
      <c r="O8" s="24"/>
    </row>
    <row r="9" spans="1:17" ht="15" thickBot="1">
      <c r="A9" s="10" t="s">
        <v>18</v>
      </c>
      <c r="B9" s="41" t="s">
        <v>12</v>
      </c>
      <c r="C9" s="42"/>
      <c r="D9" s="42"/>
      <c r="E9" s="43"/>
      <c r="F9" s="41" t="s">
        <v>12</v>
      </c>
      <c r="G9" s="42"/>
      <c r="H9" s="42"/>
      <c r="I9" s="43"/>
      <c r="J9" s="25"/>
      <c r="K9" s="26"/>
      <c r="L9" s="26"/>
      <c r="M9" s="26"/>
      <c r="N9" s="26"/>
      <c r="O9" s="26"/>
      <c r="P9" s="24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0</v>
      </c>
      <c r="L13" s="10">
        <f t="shared" ref="L13:L18" si="0">COUNTIF($B$2:$CS$9,B13)</f>
        <v>0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0</v>
      </c>
      <c r="L15" s="10">
        <f t="shared" si="0"/>
        <v>0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4</v>
      </c>
      <c r="L16" s="10">
        <f t="shared" si="0"/>
        <v>4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4</v>
      </c>
      <c r="L18" s="10">
        <f t="shared" si="0"/>
        <v>4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6" si="1">VLOOKUP(H22,field_id,2,FALSE)</f>
        <v>4</v>
      </c>
      <c r="C22" s="13">
        <f t="shared" ref="C22:C36" si="2">VLOOKUP(I22,league_id,2,FALSE)</f>
        <v>2</v>
      </c>
      <c r="D22" s="13" t="str">
        <f t="shared" ref="D22:D36" si="3">VLOOKUP(H22,slot_compat,3,FALSE)</f>
        <v>2,3</v>
      </c>
      <c r="E22" s="13"/>
      <c r="F22" s="15">
        <v>0.75</v>
      </c>
      <c r="G22" s="13">
        <f t="shared" ref="G22:G36" si="4">VLOOKUP(I22,GameDuration,2,FALSE)</f>
        <v>120</v>
      </c>
      <c r="H22" s="13" t="s">
        <v>6</v>
      </c>
      <c r="I22" s="13" t="s">
        <v>7</v>
      </c>
      <c r="J22" s="13" t="str" cm="1">
        <f t="array" aca="1" ref="J22" ca="1">MID(CELL("filename",A1),FIND("]",CELL("filename",A1))+1,255)</f>
        <v>_040424</v>
      </c>
      <c r="L22" s="10" t="s">
        <v>6</v>
      </c>
      <c r="M22" s="10">
        <f t="shared" ref="M22:M28" si="5">COUNTIF(I$22:I$92,L22)</f>
        <v>0</v>
      </c>
      <c r="P22" s="30"/>
    </row>
    <row r="23" spans="1:16">
      <c r="A23" s="13" t="e">
        <f t="shared" ref="A23:A36" si="6">A22+1</f>
        <v>#VALUE!</v>
      </c>
      <c r="B23" s="13" t="str">
        <f t="shared" si="1"/>
        <v>4</v>
      </c>
      <c r="C23" s="13">
        <f t="shared" si="2"/>
        <v>2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7</v>
      </c>
      <c r="J23" s="13" t="str" cm="1">
        <f t="array" aca="1" ref="J23" ca="1">MID(CELL("filename",A2),FIND("]",CELL("filename",A2))+1,255)</f>
        <v>_040424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6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_040424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_040424</v>
      </c>
      <c r="L25" s="10" t="s">
        <v>11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_040424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_040424</v>
      </c>
      <c r="L27" s="10" t="s">
        <v>12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7</v>
      </c>
      <c r="D28" s="13" t="str">
        <f t="shared" si="3"/>
        <v>6,7</v>
      </c>
      <c r="E28" s="13"/>
      <c r="F28" s="15">
        <v>0.78125</v>
      </c>
      <c r="G28" s="13">
        <f t="shared" si="4"/>
        <v>60</v>
      </c>
      <c r="H28" s="13" t="s">
        <v>14</v>
      </c>
      <c r="I28" s="13" t="s">
        <v>13</v>
      </c>
      <c r="J28" s="13" t="str" cm="1">
        <f t="array" aca="1" ref="J28" ca="1">MID(CELL("filename",A7),FIND("]",CELL("filename",A7))+1,255)</f>
        <v>_040424</v>
      </c>
      <c r="L28" s="10" t="s">
        <v>13</v>
      </c>
      <c r="M28" s="10">
        <f t="shared" si="5"/>
        <v>1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MID(CELL("filename",A9),FIND("]",CELL("filename",A9))+1,255)</f>
        <v>_040424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0.8125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MID(CELL("filename",A10),FIND("]",CELL("filename",A10))+1,255)</f>
        <v>_040424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6</v>
      </c>
      <c r="D31" s="13" t="str">
        <f t="shared" si="3"/>
        <v>4,5,6,1</v>
      </c>
      <c r="E31" s="13"/>
      <c r="F31" s="15">
        <f t="shared" si="7"/>
        <v>0.75</v>
      </c>
      <c r="G31" s="13">
        <f t="shared" si="4"/>
        <v>60</v>
      </c>
      <c r="H31" s="13" t="s">
        <v>16</v>
      </c>
      <c r="I31" s="13" t="s">
        <v>12</v>
      </c>
      <c r="J31" s="13" t="str" cm="1">
        <f t="array" aca="1" ref="J31" ca="1">MID(CELL("filename",A11),FIND("]",CELL("filename",A11))+1,255)</f>
        <v>_040424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6</v>
      </c>
      <c r="D32" s="13" t="str">
        <f t="shared" si="3"/>
        <v>4,5,6,1</v>
      </c>
      <c r="E32" s="13"/>
      <c r="F32" s="15">
        <f t="shared" si="7"/>
        <v>0.79166666666666663</v>
      </c>
      <c r="G32" s="13">
        <f t="shared" si="4"/>
        <v>60</v>
      </c>
      <c r="H32" s="13" t="s">
        <v>16</v>
      </c>
      <c r="I32" s="13" t="s">
        <v>12</v>
      </c>
      <c r="J32" s="13" t="str" cm="1">
        <f t="array" aca="1" ref="J32" ca="1">MID(CELL("filename",A12),FIND("]",CELL("filename",A12))+1,255)</f>
        <v>_040424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5</v>
      </c>
      <c r="D33" s="13" t="str">
        <f t="shared" si="3"/>
        <v>2,3,4,5,6</v>
      </c>
      <c r="E33" s="13"/>
      <c r="F33" s="15">
        <f t="shared" si="7"/>
        <v>0.75</v>
      </c>
      <c r="G33" s="13">
        <f t="shared" si="4"/>
        <v>90</v>
      </c>
      <c r="H33" s="13" t="s">
        <v>17</v>
      </c>
      <c r="I33" s="13" t="s">
        <v>9</v>
      </c>
      <c r="J33" s="13" t="str" cm="1">
        <f t="array" aca="1" ref="J33" ca="1">MID(CELL("filename",A13),FIND("]",CELL("filename",A13))+1,255)</f>
        <v>_040424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4</v>
      </c>
      <c r="D34" s="13" t="str">
        <f t="shared" si="3"/>
        <v>2,3,4,5,6</v>
      </c>
      <c r="E34" s="13"/>
      <c r="F34" s="15">
        <f t="shared" si="7"/>
        <v>0.8125</v>
      </c>
      <c r="G34" s="13">
        <f t="shared" si="4"/>
        <v>105</v>
      </c>
      <c r="H34" s="13" t="s">
        <v>17</v>
      </c>
      <c r="I34" s="13" t="s">
        <v>11</v>
      </c>
      <c r="J34" s="13" t="str" cm="1">
        <f t="array" aca="1" ref="J34" ca="1">MID(CELL("filename",A14),FIND("]",CELL("filename",A14))+1,255)</f>
        <v>_040424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6</v>
      </c>
      <c r="D35" s="13" t="str">
        <f t="shared" si="3"/>
        <v>2,3,4,5,6</v>
      </c>
      <c r="E35" s="13"/>
      <c r="F35" s="15">
        <f t="shared" si="7"/>
        <v>0.75</v>
      </c>
      <c r="G35" s="13">
        <f t="shared" si="4"/>
        <v>60</v>
      </c>
      <c r="H35" s="13" t="s">
        <v>18</v>
      </c>
      <c r="I35" s="13" t="s">
        <v>12</v>
      </c>
      <c r="J35" s="13" t="str" cm="1">
        <f t="array" aca="1" ref="J35" ca="1">MID(CELL("filename",A15),FIND("]",CELL("filename",A15))+1,255)</f>
        <v>_040424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6</v>
      </c>
      <c r="D36" s="13" t="str">
        <f t="shared" si="3"/>
        <v>2,3,4,5,6</v>
      </c>
      <c r="E36" s="13"/>
      <c r="F36" s="15">
        <f t="shared" si="7"/>
        <v>0.79166666666666663</v>
      </c>
      <c r="G36" s="13">
        <f t="shared" si="4"/>
        <v>60</v>
      </c>
      <c r="H36" s="13" t="s">
        <v>18</v>
      </c>
      <c r="I36" s="13" t="s">
        <v>12</v>
      </c>
      <c r="J36" s="13" t="str" cm="1">
        <f t="array" aca="1" ref="J36" ca="1">MID(CELL("filename",A16),FIND("]",CELL("filename",A16))+1,255)</f>
        <v>_040424</v>
      </c>
    </row>
  </sheetData>
  <mergeCells count="22">
    <mergeCell ref="B15:H15"/>
    <mergeCell ref="B16:H16"/>
    <mergeCell ref="B17:G17"/>
    <mergeCell ref="B18:E18"/>
    <mergeCell ref="B19:E19"/>
    <mergeCell ref="E5:H5"/>
    <mergeCell ref="B6:G6"/>
    <mergeCell ref="H6:N6"/>
    <mergeCell ref="F7:I7"/>
    <mergeCell ref="B8:G8"/>
    <mergeCell ref="B7:E7"/>
    <mergeCell ref="B13:I13"/>
    <mergeCell ref="B14:I14"/>
    <mergeCell ref="H8:N8"/>
    <mergeCell ref="B9:E9"/>
    <mergeCell ref="F9:I9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09553-1E0A-44E1-981E-16D1E8970C90}">
  <sheetPr codeName="Sheet4"/>
  <dimension ref="A1:Q38"/>
  <sheetViews>
    <sheetView zoomScale="70" zoomScaleNormal="70" workbookViewId="0">
      <selection activeCell="J22" sqref="J22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62"/>
      <c r="K4" s="62"/>
      <c r="L4" s="62"/>
      <c r="M4" s="62"/>
      <c r="N4" s="62"/>
      <c r="O4" s="63"/>
    </row>
    <row r="5" spans="1:17" ht="15" thickBot="1">
      <c r="A5" s="10" t="s">
        <v>14</v>
      </c>
      <c r="B5" s="41" t="s">
        <v>12</v>
      </c>
      <c r="C5" s="42"/>
      <c r="D5" s="42"/>
      <c r="E5" s="43"/>
      <c r="F5" s="47" t="s">
        <v>100</v>
      </c>
      <c r="G5" s="48"/>
      <c r="H5" s="48"/>
      <c r="I5" s="49"/>
    </row>
    <row r="6" spans="1:17" ht="15" thickBot="1">
      <c r="A6" s="10" t="s">
        <v>15</v>
      </c>
      <c r="B6" s="41" t="s">
        <v>12</v>
      </c>
      <c r="C6" s="42"/>
      <c r="D6" s="42"/>
      <c r="E6" s="43"/>
      <c r="F6" s="41" t="s">
        <v>12</v>
      </c>
      <c r="G6" s="42"/>
      <c r="H6" s="42"/>
      <c r="I6" s="43"/>
      <c r="J6" s="56" t="s">
        <v>11</v>
      </c>
      <c r="K6" s="57"/>
      <c r="L6" s="57"/>
      <c r="M6" s="57"/>
      <c r="N6" s="57"/>
      <c r="O6" s="57"/>
      <c r="P6" s="58"/>
    </row>
    <row r="7" spans="1:17" ht="15" thickBot="1">
      <c r="A7" s="10" t="s">
        <v>98</v>
      </c>
      <c r="B7" s="41" t="s">
        <v>12</v>
      </c>
      <c r="C7" s="42"/>
      <c r="D7" s="42"/>
      <c r="E7" s="43"/>
      <c r="F7" s="38" t="s">
        <v>9</v>
      </c>
      <c r="G7" s="39"/>
      <c r="H7" s="39"/>
      <c r="I7" s="39"/>
      <c r="J7" s="39"/>
      <c r="K7" s="40"/>
    </row>
    <row r="8" spans="1:17" ht="15" thickBot="1">
      <c r="A8" s="10" t="s">
        <v>17</v>
      </c>
      <c r="B8" s="56" t="s">
        <v>11</v>
      </c>
      <c r="C8" s="57"/>
      <c r="D8" s="57"/>
      <c r="E8" s="57"/>
      <c r="F8" s="57"/>
      <c r="G8" s="57"/>
      <c r="H8" s="58"/>
      <c r="I8" s="56" t="s">
        <v>11</v>
      </c>
      <c r="J8" s="57"/>
      <c r="K8" s="57"/>
      <c r="L8" s="57"/>
      <c r="M8" s="57"/>
      <c r="N8" s="57"/>
      <c r="O8" s="58"/>
    </row>
    <row r="9" spans="1:17" ht="15" thickBot="1">
      <c r="A9" s="10" t="s">
        <v>18</v>
      </c>
      <c r="B9" s="38" t="s">
        <v>9</v>
      </c>
      <c r="C9" s="39"/>
      <c r="D9" s="39"/>
      <c r="E9" s="39"/>
      <c r="F9" s="39"/>
      <c r="G9" s="40"/>
      <c r="H9" s="38" t="s">
        <v>9</v>
      </c>
      <c r="I9" s="39"/>
      <c r="J9" s="39"/>
      <c r="K9" s="39"/>
      <c r="L9" s="39"/>
      <c r="M9" s="40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0</v>
      </c>
      <c r="L15" s="10">
        <f t="shared" si="0"/>
        <v>0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5</v>
      </c>
      <c r="L16" s="10">
        <f t="shared" si="0"/>
        <v>5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3</v>
      </c>
      <c r="L17" s="10">
        <f t="shared" si="0"/>
        <v>3</v>
      </c>
    </row>
    <row r="18" spans="1:16" ht="15" thickBot="1">
      <c r="B18" s="41" t="s">
        <v>12</v>
      </c>
      <c r="C18" s="42"/>
      <c r="D18" s="42"/>
      <c r="E18" s="43"/>
      <c r="K18" s="10">
        <v>4</v>
      </c>
      <c r="L18" s="10">
        <f t="shared" si="0"/>
        <v>4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8" si="1">VLOOKUP(H22,field_id,2,FALSE)</f>
        <v>4</v>
      </c>
      <c r="C22" s="13">
        <f t="shared" ref="C22:C38" si="2">VLOOKUP(I22,league_id,2,FALSE)</f>
        <v>1</v>
      </c>
      <c r="D22" s="13" t="str">
        <f t="shared" ref="D22:D38" si="3">VLOOKUP(H22,slot_compat,3,FALSE)</f>
        <v>2,3</v>
      </c>
      <c r="E22" s="13"/>
      <c r="F22" s="15">
        <v>0.75</v>
      </c>
      <c r="G22" s="13">
        <f t="shared" ref="G22:G38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_220534</v>
      </c>
      <c r="L22" s="10" t="s">
        <v>6</v>
      </c>
      <c r="M22" s="10">
        <f t="shared" ref="M22:M28" si="5">COUNTIF(I$22:I$94,L22)</f>
        <v>2</v>
      </c>
      <c r="P22" s="30"/>
    </row>
    <row r="23" spans="1:16">
      <c r="A23" s="13" t="e">
        <f t="shared" ref="A23:A38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_220534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8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_220534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_220534</v>
      </c>
      <c r="L25" s="10" t="s">
        <v>11</v>
      </c>
      <c r="M25" s="10">
        <f t="shared" si="5"/>
        <v>5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_220534</v>
      </c>
      <c r="L26" s="10" t="s">
        <v>9</v>
      </c>
      <c r="M26" s="10">
        <f t="shared" si="5"/>
        <v>3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_220534</v>
      </c>
      <c r="L27" s="10" t="s">
        <v>12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6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60</v>
      </c>
      <c r="H28" s="13" t="s">
        <v>14</v>
      </c>
      <c r="I28" s="13" t="s">
        <v>12</v>
      </c>
      <c r="J28" s="13" t="str" cm="1">
        <f t="array" aca="1" ref="J28" ca="1">MID(CELL("filename",A7),FIND("]",CELL("filename",A7))+1,255)</f>
        <v>_220534</v>
      </c>
      <c r="L28" s="10" t="s">
        <v>13</v>
      </c>
      <c r="M28" s="10">
        <f t="shared" si="5"/>
        <v>1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7</v>
      </c>
      <c r="D29" s="13" t="str">
        <f t="shared" si="3"/>
        <v>6,7</v>
      </c>
      <c r="E29" s="13"/>
      <c r="F29" s="15">
        <f t="shared" si="7"/>
        <v>0.79166666666666663</v>
      </c>
      <c r="G29" s="13">
        <f t="shared" si="4"/>
        <v>60</v>
      </c>
      <c r="H29" s="13" t="s">
        <v>14</v>
      </c>
      <c r="I29" s="13" t="s">
        <v>13</v>
      </c>
      <c r="J29" s="13" t="str" cm="1">
        <f t="array" aca="1" ref="J29" ca="1">MID(CELL("filename",A8),FIND("]",CELL("filename",A8))+1,255)</f>
        <v>_220534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6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60</v>
      </c>
      <c r="H30" s="13" t="s">
        <v>15</v>
      </c>
      <c r="I30" s="13" t="s">
        <v>12</v>
      </c>
      <c r="J30" s="13" t="str" cm="1">
        <f t="array" aca="1" ref="J30" ca="1">MID(CELL("filename",A9),FIND("]",CELL("filename",A9))+1,255)</f>
        <v>_220534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6</v>
      </c>
      <c r="D31" s="13">
        <f t="shared" si="3"/>
        <v>5</v>
      </c>
      <c r="E31" s="13"/>
      <c r="F31" s="15">
        <f t="shared" si="7"/>
        <v>0.79166666666666663</v>
      </c>
      <c r="G31" s="13">
        <f t="shared" si="4"/>
        <v>60</v>
      </c>
      <c r="H31" s="13" t="s">
        <v>15</v>
      </c>
      <c r="I31" s="13" t="s">
        <v>12</v>
      </c>
      <c r="J31" s="13" t="str" cm="1">
        <f t="array" aca="1" ref="J31" ca="1">MID(CELL("filename",A10),FIND("]",CELL("filename",A10))+1,255)</f>
        <v>_220534</v>
      </c>
    </row>
    <row r="32" spans="1:16">
      <c r="A32" s="13" t="e">
        <f t="shared" si="6"/>
        <v>#VALUE!</v>
      </c>
      <c r="B32" s="13" t="str">
        <f t="shared" si="1"/>
        <v>5</v>
      </c>
      <c r="C32" s="13">
        <f t="shared" si="2"/>
        <v>4</v>
      </c>
      <c r="D32" s="13">
        <f t="shared" si="3"/>
        <v>5</v>
      </c>
      <c r="E32" s="13"/>
      <c r="F32" s="15">
        <f t="shared" si="7"/>
        <v>0.83333333333333326</v>
      </c>
      <c r="G32" s="13">
        <f t="shared" si="4"/>
        <v>105</v>
      </c>
      <c r="H32" s="13" t="s">
        <v>15</v>
      </c>
      <c r="I32" s="13" t="s">
        <v>11</v>
      </c>
      <c r="J32" s="13" t="str" cm="1">
        <f t="array" aca="1" ref="J32" ca="1">MID(CELL("filename",A11),FIND("]",CELL("filename",A11))+1,255)</f>
        <v>_220534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6</v>
      </c>
      <c r="D33" s="13" t="str">
        <f t="shared" si="3"/>
        <v>4,5,6,1</v>
      </c>
      <c r="E33" s="13"/>
      <c r="F33" s="15">
        <f t="shared" si="7"/>
        <v>0.75</v>
      </c>
      <c r="G33" s="13">
        <f t="shared" si="4"/>
        <v>60</v>
      </c>
      <c r="H33" s="13" t="s">
        <v>16</v>
      </c>
      <c r="I33" s="13" t="s">
        <v>12</v>
      </c>
      <c r="J33" s="13" t="str" cm="1">
        <f t="array" aca="1" ref="J33" ca="1">MID(CELL("filename",A12),FIND("]",CELL("filename",A12))+1,255)</f>
        <v>_220534</v>
      </c>
    </row>
    <row r="34" spans="1:10">
      <c r="A34" s="13" t="e">
        <f t="shared" si="6"/>
        <v>#VALUE!</v>
      </c>
      <c r="B34" s="13" t="str">
        <f t="shared" si="1"/>
        <v>6</v>
      </c>
      <c r="C34" s="13">
        <f t="shared" si="2"/>
        <v>5</v>
      </c>
      <c r="D34" s="13" t="str">
        <f t="shared" si="3"/>
        <v>4,5,6,1</v>
      </c>
      <c r="E34" s="13"/>
      <c r="F34" s="15">
        <f t="shared" si="7"/>
        <v>0.79166666666666663</v>
      </c>
      <c r="G34" s="13">
        <f t="shared" si="4"/>
        <v>90</v>
      </c>
      <c r="H34" s="13" t="s">
        <v>16</v>
      </c>
      <c r="I34" s="13" t="s">
        <v>9</v>
      </c>
      <c r="J34" s="13" t="str" cm="1">
        <f t="array" aca="1" ref="J34" ca="1">MID(CELL("filename",A13),FIND("]",CELL("filename",A13))+1,255)</f>
        <v>_220534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4</v>
      </c>
      <c r="D35" s="13" t="str">
        <f t="shared" si="3"/>
        <v>2,3,4,5,6</v>
      </c>
      <c r="E35" s="13"/>
      <c r="F35" s="15">
        <f t="shared" si="7"/>
        <v>0.75</v>
      </c>
      <c r="G35" s="13">
        <f t="shared" si="4"/>
        <v>105</v>
      </c>
      <c r="H35" s="13" t="s">
        <v>17</v>
      </c>
      <c r="I35" s="13" t="s">
        <v>11</v>
      </c>
      <c r="J35" s="13" t="str" cm="1">
        <f t="array" aca="1" ref="J35" ca="1">MID(CELL("filename",A14),FIND("]",CELL("filename",A14))+1,255)</f>
        <v>_220534</v>
      </c>
    </row>
    <row r="36" spans="1:10">
      <c r="A36" s="13" t="e">
        <f t="shared" si="6"/>
        <v>#VALUE!</v>
      </c>
      <c r="B36" s="13" t="str">
        <f t="shared" si="1"/>
        <v>7</v>
      </c>
      <c r="C36" s="13">
        <f t="shared" si="2"/>
        <v>4</v>
      </c>
      <c r="D36" s="13" t="str">
        <f t="shared" si="3"/>
        <v>2,3,4,5,6</v>
      </c>
      <c r="E36" s="13"/>
      <c r="F36" s="15">
        <f t="shared" si="7"/>
        <v>0.82291666666666663</v>
      </c>
      <c r="G36" s="13">
        <f t="shared" si="4"/>
        <v>105</v>
      </c>
      <c r="H36" s="13" t="s">
        <v>17</v>
      </c>
      <c r="I36" s="13" t="s">
        <v>11</v>
      </c>
      <c r="J36" s="13" t="str" cm="1">
        <f t="array" aca="1" ref="J36" ca="1">MID(CELL("filename",A15),FIND("]",CELL("filename",A15))+1,255)</f>
        <v>_220534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5</v>
      </c>
      <c r="D37" s="13" t="str">
        <f t="shared" si="3"/>
        <v>2,3,4,5,6</v>
      </c>
      <c r="E37" s="13"/>
      <c r="F37" s="15">
        <f t="shared" si="7"/>
        <v>0.75</v>
      </c>
      <c r="G37" s="13">
        <f t="shared" si="4"/>
        <v>90</v>
      </c>
      <c r="H37" s="13" t="s">
        <v>18</v>
      </c>
      <c r="I37" s="13" t="s">
        <v>9</v>
      </c>
      <c r="J37" s="13" t="str" cm="1">
        <f t="array" aca="1" ref="J37" ca="1">MID(CELL("filename",A16),FIND("]",CELL("filename",A16))+1,255)</f>
        <v>_220534</v>
      </c>
    </row>
    <row r="38" spans="1:10">
      <c r="A38" s="13" t="e">
        <f t="shared" si="6"/>
        <v>#VALUE!</v>
      </c>
      <c r="B38" s="13" t="str">
        <f t="shared" si="1"/>
        <v>8</v>
      </c>
      <c r="C38" s="13">
        <f t="shared" si="2"/>
        <v>5</v>
      </c>
      <c r="D38" s="13" t="str">
        <f t="shared" si="3"/>
        <v>2,3,4,5,6</v>
      </c>
      <c r="E38" s="13"/>
      <c r="F38" s="15">
        <f t="shared" si="7"/>
        <v>0.8125</v>
      </c>
      <c r="G38" s="13">
        <f t="shared" si="4"/>
        <v>90</v>
      </c>
      <c r="H38" s="13" t="s">
        <v>18</v>
      </c>
      <c r="I38" s="13" t="s">
        <v>9</v>
      </c>
      <c r="J38" s="13" t="str" cm="1">
        <f t="array" aca="1" ref="J38" ca="1">MID(CELL("filename",A17),FIND("]",CELL("filename",A17))+1,255)</f>
        <v>_220534</v>
      </c>
    </row>
  </sheetData>
  <mergeCells count="24">
    <mergeCell ref="B17:G17"/>
    <mergeCell ref="B18:E18"/>
    <mergeCell ref="B19:E19"/>
    <mergeCell ref="B13:I13"/>
    <mergeCell ref="B7:E7"/>
    <mergeCell ref="B9:G9"/>
    <mergeCell ref="H9:M9"/>
    <mergeCell ref="B14:I14"/>
    <mergeCell ref="B15:H15"/>
    <mergeCell ref="B16:H16"/>
    <mergeCell ref="F7:K7"/>
    <mergeCell ref="B8:H8"/>
    <mergeCell ref="I8:O8"/>
    <mergeCell ref="B5:E5"/>
    <mergeCell ref="F5:I5"/>
    <mergeCell ref="B6:E6"/>
    <mergeCell ref="B2:I2"/>
    <mergeCell ref="J2:Q2"/>
    <mergeCell ref="B3:I3"/>
    <mergeCell ref="J3:Q3"/>
    <mergeCell ref="B4:H4"/>
    <mergeCell ref="I4:O4"/>
    <mergeCell ref="F6:I6"/>
    <mergeCell ref="J6:P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224B-24A6-47C3-8BBF-15BDB5632904}">
  <sheetPr codeName="Sheet30"/>
  <dimension ref="A1:Q39"/>
  <sheetViews>
    <sheetView zoomScale="70" zoomScaleNormal="70" workbookViewId="0">
      <pane ySplit="19" topLeftCell="A20" activePane="bottomLeft" state="frozen"/>
      <selection activeCell="J22" sqref="J22:J38"/>
      <selection pane="bottomLeft" activeCell="I45" sqref="I4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  <c r="I6" s="56" t="s">
        <v>11</v>
      </c>
      <c r="J6" s="57"/>
      <c r="K6" s="57"/>
      <c r="L6" s="57"/>
      <c r="M6" s="57"/>
      <c r="N6" s="57"/>
      <c r="O6" s="58"/>
    </row>
    <row r="7" spans="1:17" ht="15" thickBot="1">
      <c r="A7" s="10" t="s">
        <v>98</v>
      </c>
      <c r="B7" s="41" t="s">
        <v>12</v>
      </c>
      <c r="C7" s="42"/>
      <c r="D7" s="42"/>
      <c r="E7" s="43"/>
      <c r="F7" s="41" t="s">
        <v>12</v>
      </c>
      <c r="G7" s="42"/>
      <c r="H7" s="42"/>
      <c r="I7" s="43"/>
      <c r="J7" s="56" t="s">
        <v>11</v>
      </c>
      <c r="K7" s="57"/>
      <c r="L7" s="57"/>
      <c r="M7" s="57"/>
      <c r="N7" s="57"/>
      <c r="O7" s="57"/>
      <c r="P7" s="58"/>
    </row>
    <row r="8" spans="1:17" ht="15" thickBot="1">
      <c r="A8" s="10" t="s">
        <v>17</v>
      </c>
      <c r="B8" s="38" t="s">
        <v>9</v>
      </c>
      <c r="C8" s="39"/>
      <c r="D8" s="39"/>
      <c r="E8" s="39"/>
      <c r="F8" s="39"/>
      <c r="G8" s="40"/>
      <c r="H8" s="38" t="s">
        <v>9</v>
      </c>
      <c r="I8" s="39"/>
      <c r="J8" s="39"/>
      <c r="K8" s="39"/>
      <c r="L8" s="39"/>
      <c r="M8" s="40"/>
    </row>
    <row r="9" spans="1:17" ht="15" thickBot="1">
      <c r="A9" s="10" t="s">
        <v>18</v>
      </c>
      <c r="B9" s="41" t="s">
        <v>12</v>
      </c>
      <c r="C9" s="42"/>
      <c r="D9" s="42"/>
      <c r="E9" s="43"/>
      <c r="F9" s="41" t="s">
        <v>12</v>
      </c>
      <c r="G9" s="42"/>
      <c r="H9" s="42"/>
      <c r="I9" s="43"/>
      <c r="J9" s="56" t="s">
        <v>11</v>
      </c>
      <c r="K9" s="57"/>
      <c r="L9" s="57"/>
      <c r="M9" s="57"/>
      <c r="N9" s="57"/>
      <c r="O9" s="57"/>
      <c r="P9" s="58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0</v>
      </c>
      <c r="L15" s="10">
        <f t="shared" si="0"/>
        <v>0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6</v>
      </c>
      <c r="L16" s="10">
        <f t="shared" si="0"/>
        <v>6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4</v>
      </c>
      <c r="L18" s="10">
        <f t="shared" si="0"/>
        <v>4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6" si="2">VLOOKUP(I22,league_id,2,FALSE)</f>
        <v>1</v>
      </c>
      <c r="D22" s="13" t="str">
        <f t="shared" ref="D22:D36" si="3">VLOOKUP(H22,slot_compat,3,FALSE)</f>
        <v>2,3</v>
      </c>
      <c r="E22" s="13"/>
      <c r="F22" s="15">
        <v>0.75</v>
      </c>
      <c r="G22" s="13">
        <f t="shared" ref="G22:G36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_220644</v>
      </c>
      <c r="L22" s="10" t="s">
        <v>6</v>
      </c>
      <c r="M22" s="10">
        <f t="shared" ref="M22:M28" si="5">COUNTIF(I$22:I$95,L22)</f>
        <v>2</v>
      </c>
      <c r="P22" s="30"/>
    </row>
    <row r="23" spans="1:16">
      <c r="A23" s="13" t="e">
        <f t="shared" ref="A23:A39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_220644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_220644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_220644</v>
      </c>
      <c r="L25" s="10" t="s">
        <v>11</v>
      </c>
      <c r="M25" s="10">
        <f t="shared" si="5"/>
        <v>6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_220644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_220644</v>
      </c>
      <c r="L27" s="10" t="s">
        <v>12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_220644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_220644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_220644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_220644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6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60</v>
      </c>
      <c r="H32" s="13" t="s">
        <v>16</v>
      </c>
      <c r="I32" s="13" t="s">
        <v>12</v>
      </c>
      <c r="J32" s="13" t="str" cm="1">
        <f t="array" aca="1" ref="J32" ca="1">MID(CELL("filename",A11),FIND("]",CELL("filename",A11))+1,255)</f>
        <v>_220644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6</v>
      </c>
      <c r="D33" s="13" t="str">
        <f t="shared" si="3"/>
        <v>4,5,6,1</v>
      </c>
      <c r="E33" s="13"/>
      <c r="F33" s="15">
        <f t="shared" si="7"/>
        <v>0.79166666666666663</v>
      </c>
      <c r="G33" s="13">
        <f t="shared" si="4"/>
        <v>60</v>
      </c>
      <c r="H33" s="13" t="s">
        <v>16</v>
      </c>
      <c r="I33" s="13" t="s">
        <v>12</v>
      </c>
      <c r="J33" s="13" t="str" cm="1">
        <f t="array" aca="1" ref="J33" ca="1">MID(CELL("filename",A12),FIND("]",CELL("filename",A12))+1,255)</f>
        <v>_220644</v>
      </c>
    </row>
    <row r="34" spans="1:10">
      <c r="A34" s="13" t="e">
        <f t="shared" si="6"/>
        <v>#VALUE!</v>
      </c>
      <c r="B34" s="13" t="str">
        <f t="shared" si="1"/>
        <v>6</v>
      </c>
      <c r="C34" s="13">
        <f t="shared" si="2"/>
        <v>4</v>
      </c>
      <c r="D34" s="13" t="str">
        <f t="shared" si="3"/>
        <v>4,5,6,1</v>
      </c>
      <c r="E34" s="13"/>
      <c r="F34" s="15">
        <f t="shared" si="7"/>
        <v>0.83333333333333326</v>
      </c>
      <c r="G34" s="13">
        <f t="shared" si="4"/>
        <v>105</v>
      </c>
      <c r="H34" s="13" t="s">
        <v>16</v>
      </c>
      <c r="I34" s="13" t="s">
        <v>11</v>
      </c>
      <c r="J34" s="13" t="str" cm="1">
        <f t="array" aca="1" ref="J34" ca="1">MID(CELL("filename",A13),FIND("]",CELL("filename",A13))+1,255)</f>
        <v>_220644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5</v>
      </c>
      <c r="D35" s="13" t="str">
        <f t="shared" si="3"/>
        <v>2,3,4,5,6</v>
      </c>
      <c r="E35" s="13"/>
      <c r="F35" s="15">
        <f t="shared" si="7"/>
        <v>0.75</v>
      </c>
      <c r="G35" s="13">
        <f t="shared" si="4"/>
        <v>90</v>
      </c>
      <c r="H35" s="13" t="s">
        <v>17</v>
      </c>
      <c r="I35" s="13" t="s">
        <v>9</v>
      </c>
      <c r="J35" s="13" t="str" cm="1">
        <f t="array" aca="1" ref="J35" ca="1">MID(CELL("filename",A14),FIND("]",CELL("filename",A14))+1,255)</f>
        <v>_220644</v>
      </c>
    </row>
    <row r="36" spans="1:10">
      <c r="A36" s="13" t="e">
        <f t="shared" si="6"/>
        <v>#VALUE!</v>
      </c>
      <c r="B36" s="13" t="str">
        <f t="shared" si="1"/>
        <v>7</v>
      </c>
      <c r="C36" s="13">
        <f t="shared" si="2"/>
        <v>5</v>
      </c>
      <c r="D36" s="13" t="str">
        <f t="shared" si="3"/>
        <v>2,3,4,5,6</v>
      </c>
      <c r="E36" s="13"/>
      <c r="F36" s="15">
        <f t="shared" si="7"/>
        <v>0.8125</v>
      </c>
      <c r="G36" s="13">
        <f t="shared" si="4"/>
        <v>90</v>
      </c>
      <c r="H36" s="13" t="s">
        <v>17</v>
      </c>
      <c r="I36" s="13" t="s">
        <v>9</v>
      </c>
      <c r="J36" s="13" t="str" cm="1">
        <f t="array" aca="1" ref="J36" ca="1">MID(CELL("filename",A15),FIND("]",CELL("filename",A15))+1,255)</f>
        <v>_220644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ref="C37:C39" si="8">VLOOKUP(I37,league_id,2,FALSE)</f>
        <v>6</v>
      </c>
      <c r="D37" s="13" t="str">
        <f t="shared" ref="D37:D39" si="9">VLOOKUP(H37,slot_compat,3,FALSE)</f>
        <v>2,3,4,5,6</v>
      </c>
      <c r="E37" s="13"/>
      <c r="F37" s="15">
        <f t="shared" si="7"/>
        <v>0.75</v>
      </c>
      <c r="G37" s="13">
        <f t="shared" ref="G37:G39" si="10">VLOOKUP(I37,GameDuration,2,FALSE)</f>
        <v>60</v>
      </c>
      <c r="H37" s="13" t="s">
        <v>18</v>
      </c>
      <c r="I37" s="13" t="s">
        <v>12</v>
      </c>
      <c r="J37" s="13" t="str" cm="1">
        <f t="array" aca="1" ref="J37" ca="1">MID(CELL("filename",A16),FIND("]",CELL("filename",A16))+1,255)</f>
        <v>_220644</v>
      </c>
    </row>
    <row r="38" spans="1:10">
      <c r="A38" s="13" t="e">
        <f t="shared" si="6"/>
        <v>#VALUE!</v>
      </c>
      <c r="B38" s="13" t="str">
        <f t="shared" si="1"/>
        <v>8</v>
      </c>
      <c r="C38" s="13">
        <f t="shared" si="8"/>
        <v>6</v>
      </c>
      <c r="D38" s="13" t="str">
        <f t="shared" si="9"/>
        <v>2,3,4,5,6</v>
      </c>
      <c r="E38" s="13"/>
      <c r="F38" s="15">
        <f t="shared" si="7"/>
        <v>0.79166666666666663</v>
      </c>
      <c r="G38" s="13">
        <f t="shared" si="10"/>
        <v>60</v>
      </c>
      <c r="H38" s="13" t="s">
        <v>18</v>
      </c>
      <c r="I38" s="13" t="s">
        <v>12</v>
      </c>
      <c r="J38" s="13" t="str" cm="1">
        <f t="array" aca="1" ref="J38" ca="1">MID(CELL("filename",A17),FIND("]",CELL("filename",A17))+1,255)</f>
        <v>_220644</v>
      </c>
    </row>
    <row r="39" spans="1:10">
      <c r="A39" s="13" t="e">
        <f t="shared" si="6"/>
        <v>#VALUE!</v>
      </c>
      <c r="B39" s="13" t="str">
        <f t="shared" si="1"/>
        <v>8</v>
      </c>
      <c r="C39" s="13">
        <f t="shared" si="8"/>
        <v>4</v>
      </c>
      <c r="D39" s="13" t="str">
        <f t="shared" si="9"/>
        <v>2,3,4,5,6</v>
      </c>
      <c r="E39" s="13"/>
      <c r="F39" s="15">
        <f t="shared" si="7"/>
        <v>0.83333333333333326</v>
      </c>
      <c r="G39" s="13">
        <f t="shared" si="10"/>
        <v>105</v>
      </c>
      <c r="H39" s="13" t="s">
        <v>18</v>
      </c>
      <c r="I39" s="13" t="s">
        <v>11</v>
      </c>
      <c r="J39" s="13" t="str" cm="1">
        <f t="array" aca="1" ref="J39" ca="1">MID(CELL("filename",A18),FIND("]",CELL("filename",A18))+1,255)</f>
        <v>_220644</v>
      </c>
    </row>
  </sheetData>
  <mergeCells count="25">
    <mergeCell ref="J9:P9"/>
    <mergeCell ref="B5:G5"/>
    <mergeCell ref="H8:M8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H5:M5"/>
    <mergeCell ref="B6:H6"/>
    <mergeCell ref="I6:O6"/>
    <mergeCell ref="B7:E7"/>
    <mergeCell ref="F7:I7"/>
    <mergeCell ref="J7:P7"/>
    <mergeCell ref="B8:G8"/>
    <mergeCell ref="B13:I13"/>
    <mergeCell ref="B14:I14"/>
    <mergeCell ref="B15:H15"/>
    <mergeCell ref="B16:H16"/>
    <mergeCell ref="B9:E9"/>
    <mergeCell ref="F9:I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591C5-1202-47EA-9757-52AD79E18844}">
  <sheetPr codeName="Sheet49"/>
  <dimension ref="A1:Q39"/>
  <sheetViews>
    <sheetView zoomScale="70" zoomScaleNormal="70" workbookViewId="0">
      <pane ySplit="19" topLeftCell="A20" activePane="bottomLeft" state="frozen"/>
      <selection activeCell="J22" sqref="J22:J38"/>
      <selection pane="bottomLeft" activeCell="J37" sqref="A22:J3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62"/>
      <c r="K4" s="62"/>
      <c r="L4" s="62"/>
      <c r="M4" s="62"/>
      <c r="N4" s="62"/>
      <c r="O4" s="63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56" t="s">
        <v>11</v>
      </c>
      <c r="I6" s="57"/>
      <c r="J6" s="57"/>
      <c r="K6" s="57"/>
      <c r="L6" s="57"/>
      <c r="M6" s="57"/>
      <c r="N6" s="58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35" t="s">
        <v>10</v>
      </c>
      <c r="C8" s="36"/>
      <c r="D8" s="36"/>
      <c r="E8" s="36"/>
      <c r="F8" s="36"/>
      <c r="G8" s="36"/>
      <c r="H8" s="37"/>
      <c r="I8" s="35" t="s">
        <v>10</v>
      </c>
      <c r="J8" s="36"/>
      <c r="K8" s="36"/>
      <c r="L8" s="36"/>
      <c r="M8" s="36"/>
      <c r="N8" s="36"/>
      <c r="O8" s="37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6</v>
      </c>
      <c r="L15" s="10">
        <f t="shared" si="0"/>
        <v>6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3</v>
      </c>
      <c r="L16" s="10">
        <f t="shared" si="0"/>
        <v>3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3</v>
      </c>
      <c r="L17" s="10">
        <f t="shared" si="0"/>
        <v>3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_226330</v>
      </c>
      <c r="L22" s="10" t="s">
        <v>6</v>
      </c>
      <c r="M22" s="10">
        <f t="shared" ref="M22:M28" si="5">COUNTIF(I$22:I$95,L22)</f>
        <v>2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_226330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_226330</v>
      </c>
      <c r="L24" s="10" t="s">
        <v>10</v>
      </c>
      <c r="M24" s="10">
        <f t="shared" si="5"/>
        <v>6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_226330</v>
      </c>
      <c r="L25" s="10" t="s">
        <v>11</v>
      </c>
      <c r="M25" s="10">
        <f t="shared" si="5"/>
        <v>3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_226330</v>
      </c>
      <c r="L26" s="10" t="s">
        <v>9</v>
      </c>
      <c r="M26" s="10">
        <f t="shared" si="5"/>
        <v>3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_226330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_226330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_226330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_226330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_226330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_226330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_226330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17</v>
      </c>
      <c r="I34" s="13" t="s">
        <v>10</v>
      </c>
      <c r="J34" s="13" t="str" cm="1">
        <f t="array" aca="1" ref="J34" ca="1">MID(CELL("filename",A13),FIND("]",CELL("filename",A13))+1,255)</f>
        <v>_226330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3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105</v>
      </c>
      <c r="H35" s="13" t="s">
        <v>17</v>
      </c>
      <c r="I35" s="13" t="s">
        <v>10</v>
      </c>
      <c r="J35" s="13" t="str" cm="1">
        <f t="array" aca="1" ref="J35" ca="1">MID(CELL("filename",A14),FIND("]",CELL("filename",A14))+1,255)</f>
        <v>_226330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3" t="s">
        <v>10</v>
      </c>
      <c r="J36" s="13" t="str" cm="1">
        <f t="array" aca="1" ref="J36" ca="1">MID(CELL("filename",A15),FIND("]",CELL("filename",A15))+1,255)</f>
        <v>_226330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3" t="s">
        <v>10</v>
      </c>
      <c r="J37" s="13" t="str" cm="1">
        <f t="array" aca="1" ref="J37" ca="1">MID(CELL("filename",A16),FIND("]",CELL("filename",A16))+1,255)</f>
        <v>_226330</v>
      </c>
    </row>
    <row r="38" spans="1:10">
      <c r="A38" s="13"/>
      <c r="B38" s="13"/>
      <c r="C38" s="13"/>
      <c r="D38" s="13"/>
      <c r="E38" s="13"/>
      <c r="F38" s="15"/>
      <c r="G38" s="13"/>
      <c r="H38" s="13"/>
      <c r="I38" s="13"/>
      <c r="J38" s="13"/>
    </row>
    <row r="39" spans="1:10">
      <c r="A39" s="13"/>
      <c r="B39" s="13"/>
      <c r="C39" s="13"/>
      <c r="D39" s="13"/>
      <c r="E39" s="13"/>
      <c r="F39" s="15"/>
      <c r="G39" s="13"/>
      <c r="H39" s="13"/>
      <c r="I39" s="13"/>
      <c r="J39" s="13"/>
    </row>
  </sheetData>
  <mergeCells count="23">
    <mergeCell ref="I9:O9"/>
    <mergeCell ref="B19:E19"/>
    <mergeCell ref="B13:I13"/>
    <mergeCell ref="B5:G5"/>
    <mergeCell ref="H5:M5"/>
    <mergeCell ref="B6:G6"/>
    <mergeCell ref="H6:N6"/>
    <mergeCell ref="B7:H7"/>
    <mergeCell ref="B14:I14"/>
    <mergeCell ref="B15:H15"/>
    <mergeCell ref="B16:H16"/>
    <mergeCell ref="B17:G17"/>
    <mergeCell ref="B18:E18"/>
    <mergeCell ref="I7:O7"/>
    <mergeCell ref="B8:H8"/>
    <mergeCell ref="I8:O8"/>
    <mergeCell ref="B9:H9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75BA-75D2-4903-8F82-8C364F5CC3F3}">
  <sheetPr codeName="Sheet42"/>
  <dimension ref="A1:Q38"/>
  <sheetViews>
    <sheetView zoomScale="85" zoomScaleNormal="85" workbookViewId="0">
      <pane ySplit="19" topLeftCell="A21" activePane="bottomLeft" state="frozen"/>
      <selection activeCell="J22" sqref="J22:J38"/>
      <selection pane="bottomLeft" activeCell="J32" sqref="J32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>
      <c r="A6" s="10" t="s">
        <v>15</v>
      </c>
      <c r="F6" s="10"/>
    </row>
    <row r="7" spans="1:17" ht="15" thickBot="1">
      <c r="A7" s="10" t="s">
        <v>98</v>
      </c>
      <c r="B7" s="27"/>
      <c r="C7" s="28"/>
      <c r="D7" s="28"/>
      <c r="E7" s="28"/>
      <c r="F7" s="28"/>
      <c r="G7" s="28"/>
      <c r="H7" s="29"/>
      <c r="I7" s="27"/>
      <c r="J7" s="28"/>
      <c r="K7" s="28"/>
      <c r="L7" s="28"/>
      <c r="M7" s="28"/>
      <c r="N7" s="28"/>
      <c r="O7" s="29"/>
    </row>
    <row r="8" spans="1:17" ht="15" thickBot="1">
      <c r="A8" s="10" t="s">
        <v>17</v>
      </c>
      <c r="B8" s="35" t="s">
        <v>10</v>
      </c>
      <c r="C8" s="36"/>
      <c r="D8" s="36"/>
      <c r="E8" s="36"/>
      <c r="F8" s="36"/>
      <c r="G8" s="36"/>
      <c r="H8" s="37"/>
      <c r="I8" s="35" t="s">
        <v>10</v>
      </c>
      <c r="J8" s="36"/>
      <c r="K8" s="36"/>
      <c r="L8" s="36"/>
      <c r="M8" s="36"/>
      <c r="N8" s="36"/>
      <c r="O8" s="37"/>
      <c r="P8" s="24"/>
      <c r="Q8" s="24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  <c r="P9" s="24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0</v>
      </c>
      <c r="L17" s="10">
        <f t="shared" si="0"/>
        <v>0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 t="str">
        <f t="shared" ref="D22:D31" si="3">VLOOKUP(H22,slot_compat,3,FALSE)</f>
        <v>2,3</v>
      </c>
      <c r="E22" s="13"/>
      <c r="F22" s="15">
        <v>0.75</v>
      </c>
      <c r="G22" s="13">
        <f t="shared" ref="G22:G31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_224200</v>
      </c>
      <c r="L22" s="10" t="s">
        <v>6</v>
      </c>
      <c r="M22" s="10">
        <f t="shared" ref="M22:M28" si="5">COUNTIF(I$22:I$92,L22)</f>
        <v>2</v>
      </c>
      <c r="P22" s="30"/>
    </row>
    <row r="23" spans="1:16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_224200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1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_224200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_224200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_224200</v>
      </c>
      <c r="L26" s="10" t="s">
        <v>9</v>
      </c>
      <c r="M26" s="10">
        <f t="shared" si="5"/>
        <v>0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_224200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7</v>
      </c>
      <c r="C28" s="13">
        <f t="shared" si="2"/>
        <v>3</v>
      </c>
      <c r="D28" s="13" t="str">
        <f t="shared" si="3"/>
        <v>2,3,4,5,6</v>
      </c>
      <c r="E28" s="13"/>
      <c r="F28" s="15">
        <f t="shared" si="7"/>
        <v>0.75</v>
      </c>
      <c r="G28" s="13">
        <f t="shared" si="4"/>
        <v>105</v>
      </c>
      <c r="H28" s="13" t="s">
        <v>17</v>
      </c>
      <c r="I28" s="13" t="s">
        <v>10</v>
      </c>
      <c r="J28" s="13" t="str" cm="1">
        <f t="array" aca="1" ref="J28" ca="1">MID(CELL("filename",A7),FIND("]",CELL("filename",A7))+1,255)</f>
        <v>_224200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7</v>
      </c>
      <c r="C29" s="13">
        <f t="shared" si="2"/>
        <v>3</v>
      </c>
      <c r="D29" s="13" t="str">
        <f t="shared" si="3"/>
        <v>2,3,4,5,6</v>
      </c>
      <c r="E29" s="13"/>
      <c r="F29" s="15">
        <f t="shared" si="7"/>
        <v>0.82291666666666663</v>
      </c>
      <c r="G29" s="13">
        <f t="shared" si="4"/>
        <v>105</v>
      </c>
      <c r="H29" s="13" t="s">
        <v>17</v>
      </c>
      <c r="I29" s="13" t="s">
        <v>10</v>
      </c>
      <c r="J29" s="13" t="str" cm="1">
        <f t="array" aca="1" ref="J29" ca="1">MID(CELL("filename",A8),FIND("]",CELL("filename",A8))+1,255)</f>
        <v>_224200</v>
      </c>
    </row>
    <row r="30" spans="1:16">
      <c r="A30" s="13" t="e">
        <f t="shared" si="6"/>
        <v>#VALUE!</v>
      </c>
      <c r="B30" s="13" t="str">
        <f t="shared" si="1"/>
        <v>8</v>
      </c>
      <c r="C30" s="13">
        <f t="shared" si="2"/>
        <v>3</v>
      </c>
      <c r="D30" s="13" t="str">
        <f t="shared" si="3"/>
        <v>2,3,4,5,6</v>
      </c>
      <c r="E30" s="13"/>
      <c r="F30" s="15">
        <f t="shared" si="7"/>
        <v>0.75</v>
      </c>
      <c r="G30" s="13">
        <f t="shared" si="4"/>
        <v>105</v>
      </c>
      <c r="H30" s="13" t="s">
        <v>18</v>
      </c>
      <c r="I30" s="13" t="s">
        <v>10</v>
      </c>
      <c r="J30" s="13" t="str" cm="1">
        <f t="array" aca="1" ref="J30" ca="1">MID(CELL("filename",A9),FIND("]",CELL("filename",A9))+1,255)</f>
        <v>_224200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0.75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_224200</v>
      </c>
    </row>
    <row r="32" spans="1:16">
      <c r="J32" s="13"/>
    </row>
    <row r="33" spans="10:10">
      <c r="J33" s="13"/>
    </row>
    <row r="34" spans="10:10">
      <c r="J34" s="13"/>
    </row>
    <row r="35" spans="10:10">
      <c r="J35" s="13"/>
    </row>
    <row r="36" spans="10:10">
      <c r="J36" s="13"/>
    </row>
    <row r="37" spans="10:10">
      <c r="J37" s="13"/>
    </row>
    <row r="38" spans="10:10">
      <c r="J38" s="13"/>
    </row>
  </sheetData>
  <mergeCells count="17">
    <mergeCell ref="B15:H15"/>
    <mergeCell ref="B16:H16"/>
    <mergeCell ref="B17:G17"/>
    <mergeCell ref="B18:E18"/>
    <mergeCell ref="B19:E19"/>
    <mergeCell ref="B14:I14"/>
    <mergeCell ref="B2:I2"/>
    <mergeCell ref="J2:Q2"/>
    <mergeCell ref="B3:I3"/>
    <mergeCell ref="J3:Q3"/>
    <mergeCell ref="B4:H4"/>
    <mergeCell ref="I4:O4"/>
    <mergeCell ref="B8:H8"/>
    <mergeCell ref="I8:O8"/>
    <mergeCell ref="B9:H9"/>
    <mergeCell ref="I9:O9"/>
    <mergeCell ref="B13:I1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F6BB2-182A-4C9F-A9AE-1BEB7B957B33}">
  <sheetPr codeName="Sheet38"/>
  <dimension ref="A1:Q38"/>
  <sheetViews>
    <sheetView zoomScale="85" zoomScaleNormal="85" workbookViewId="0">
      <pane ySplit="19" topLeftCell="A21" activePane="bottomLeft" state="frozen"/>
      <selection activeCell="J22" sqref="J22:J38"/>
      <selection pane="bottomLeft" activeCell="J33" sqref="J33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9" t="s">
        <v>7</v>
      </c>
      <c r="K3" s="60"/>
      <c r="L3" s="60"/>
      <c r="M3" s="60"/>
      <c r="N3" s="60"/>
      <c r="O3" s="60"/>
      <c r="P3" s="60"/>
      <c r="Q3" s="61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35" t="s">
        <v>10</v>
      </c>
      <c r="C8" s="36"/>
      <c r="D8" s="36"/>
      <c r="E8" s="36"/>
      <c r="F8" s="36"/>
      <c r="G8" s="36"/>
      <c r="H8" s="37"/>
      <c r="I8" s="35" t="s">
        <v>10</v>
      </c>
      <c r="J8" s="36"/>
      <c r="K8" s="36"/>
      <c r="L8" s="36"/>
      <c r="M8" s="36"/>
      <c r="N8" s="36"/>
      <c r="O8" s="37"/>
    </row>
    <row r="9" spans="1:17">
      <c r="A9" s="10" t="s">
        <v>18</v>
      </c>
      <c r="F9" s="10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1</v>
      </c>
      <c r="L17" s="10">
        <f t="shared" si="0"/>
        <v>1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2" si="1">VLOOKUP(H22,field_id,2,FALSE)</f>
        <v>4</v>
      </c>
      <c r="C22" s="13">
        <f t="shared" ref="C22:C32" si="2">VLOOKUP(I22,league_id,2,FALSE)</f>
        <v>1</v>
      </c>
      <c r="D22" s="13" t="str">
        <f t="shared" ref="D22:D32" si="3">VLOOKUP(H22,slot_compat,3,FALSE)</f>
        <v>2,3</v>
      </c>
      <c r="E22" s="13"/>
      <c r="F22" s="15">
        <v>0.75</v>
      </c>
      <c r="G22" s="13">
        <f t="shared" ref="G22:G3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_224210</v>
      </c>
      <c r="L22" s="10" t="s">
        <v>6</v>
      </c>
      <c r="M22" s="10">
        <f t="shared" ref="M22:M28" si="5">COUNTIF(I$22:I$93,L22)</f>
        <v>2</v>
      </c>
      <c r="P22" s="30"/>
    </row>
    <row r="23" spans="1:16">
      <c r="A23" s="13" t="e">
        <f t="shared" ref="A23:A32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_224210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2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_224210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_224210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_224210</v>
      </c>
      <c r="L26" s="10" t="s">
        <v>9</v>
      </c>
      <c r="M26" s="10">
        <f t="shared" si="5"/>
        <v>1</v>
      </c>
    </row>
    <row r="27" spans="1:16">
      <c r="A27" s="13" t="e">
        <f t="shared" si="6"/>
        <v>#VALUE!</v>
      </c>
      <c r="B27" s="13" t="str">
        <f t="shared" si="1"/>
        <v>1</v>
      </c>
      <c r="C27" s="13">
        <f t="shared" si="2"/>
        <v>5</v>
      </c>
      <c r="D27" s="13" t="str">
        <f t="shared" si="3"/>
        <v>6,7</v>
      </c>
      <c r="E27" s="13"/>
      <c r="F27" s="15">
        <f t="shared" si="7"/>
        <v>0.75</v>
      </c>
      <c r="G27" s="13">
        <f t="shared" si="4"/>
        <v>90</v>
      </c>
      <c r="H27" s="13" t="s">
        <v>14</v>
      </c>
      <c r="I27" s="13" t="s">
        <v>9</v>
      </c>
      <c r="J27" s="13" t="str" cm="1">
        <f t="array" aca="1" ref="J27" ca="1">MID(CELL("filename",A6),FIND("]",CELL("filename",A6))+1,255)</f>
        <v>_224210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5</v>
      </c>
      <c r="C28" s="13">
        <f t="shared" si="2"/>
        <v>4</v>
      </c>
      <c r="D28" s="13">
        <f t="shared" si="3"/>
        <v>5</v>
      </c>
      <c r="E28" s="13"/>
      <c r="F28" s="15">
        <f t="shared" si="7"/>
        <v>0.75</v>
      </c>
      <c r="G28" s="13">
        <f t="shared" si="4"/>
        <v>105</v>
      </c>
      <c r="H28" s="13" t="s">
        <v>15</v>
      </c>
      <c r="I28" s="13" t="s">
        <v>11</v>
      </c>
      <c r="J28" s="13" t="str" cm="1">
        <f t="array" aca="1" ref="J28" ca="1">MID(CELL("filename",A7),FIND("]",CELL("filename",A7))+1,255)</f>
        <v>_224210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7"/>
        <v>0.75</v>
      </c>
      <c r="G29" s="13">
        <f t="shared" si="4"/>
        <v>105</v>
      </c>
      <c r="H29" s="13" t="s">
        <v>16</v>
      </c>
      <c r="I29" s="13" t="s">
        <v>10</v>
      </c>
      <c r="J29" s="13" t="str" cm="1">
        <f t="array" aca="1" ref="J29" ca="1">MID(CELL("filename",A8),FIND("]",CELL("filename",A8))+1,255)</f>
        <v>_224210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0.82291666666666663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_224210</v>
      </c>
    </row>
    <row r="31" spans="1:16">
      <c r="A31" s="13" t="e">
        <f t="shared" si="6"/>
        <v>#VALUE!</v>
      </c>
      <c r="B31" s="13" t="str">
        <f t="shared" si="1"/>
        <v>7</v>
      </c>
      <c r="C31" s="13">
        <f t="shared" si="2"/>
        <v>3</v>
      </c>
      <c r="D31" s="13" t="str">
        <f t="shared" si="3"/>
        <v>2,3,4,5,6</v>
      </c>
      <c r="E31" s="13"/>
      <c r="F31" s="15">
        <f t="shared" si="7"/>
        <v>0.75</v>
      </c>
      <c r="G31" s="13">
        <f t="shared" si="4"/>
        <v>105</v>
      </c>
      <c r="H31" s="13" t="s">
        <v>17</v>
      </c>
      <c r="I31" s="13" t="s">
        <v>10</v>
      </c>
      <c r="J31" s="13" t="str" cm="1">
        <f t="array" aca="1" ref="J31" ca="1">MID(CELL("filename",A10),FIND("]",CELL("filename",A10))+1,255)</f>
        <v>_224210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7"/>
        <v>0.82291666666666663</v>
      </c>
      <c r="G32" s="13">
        <f t="shared" si="4"/>
        <v>105</v>
      </c>
      <c r="H32" s="13" t="s">
        <v>17</v>
      </c>
      <c r="I32" s="13" t="s">
        <v>10</v>
      </c>
      <c r="J32" s="13" t="str" cm="1">
        <f t="array" aca="1" ref="J32" ca="1">MID(CELL("filename",A11),FIND("]",CELL("filename",A11))+1,255)</f>
        <v>_224210</v>
      </c>
    </row>
    <row r="33" spans="10:10">
      <c r="J33" s="13"/>
    </row>
    <row r="34" spans="10:10">
      <c r="J34" s="13"/>
    </row>
    <row r="35" spans="10:10">
      <c r="J35" s="13"/>
    </row>
    <row r="36" spans="10:10">
      <c r="J36" s="13"/>
    </row>
    <row r="37" spans="10:10">
      <c r="J37" s="13"/>
    </row>
    <row r="38" spans="10:10">
      <c r="J38" s="13"/>
    </row>
  </sheetData>
  <mergeCells count="18">
    <mergeCell ref="B5:G5"/>
    <mergeCell ref="B7:H7"/>
    <mergeCell ref="I7:O7"/>
    <mergeCell ref="B2:I2"/>
    <mergeCell ref="J2:Q2"/>
    <mergeCell ref="B3:I3"/>
    <mergeCell ref="J3:Q3"/>
    <mergeCell ref="B4:H4"/>
    <mergeCell ref="I8:O8"/>
    <mergeCell ref="B13:I13"/>
    <mergeCell ref="B14:I14"/>
    <mergeCell ref="B15:H15"/>
    <mergeCell ref="B16:H16"/>
    <mergeCell ref="B17:G17"/>
    <mergeCell ref="B18:E18"/>
    <mergeCell ref="B19:E19"/>
    <mergeCell ref="B6:H6"/>
    <mergeCell ref="B8:H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0EC2-6835-4959-A5C4-5D25B33CB9F4}">
  <sheetPr codeName="Sheet6"/>
  <dimension ref="A1:Q38"/>
  <sheetViews>
    <sheetView zoomScale="70" zoomScaleNormal="70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  <c r="I6" s="56" t="s">
        <v>11</v>
      </c>
      <c r="J6" s="57"/>
      <c r="K6" s="57"/>
      <c r="L6" s="57"/>
      <c r="M6" s="57"/>
      <c r="N6" s="57"/>
      <c r="O6" s="58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35" t="s">
        <v>10</v>
      </c>
      <c r="C8" s="36"/>
      <c r="D8" s="36"/>
      <c r="E8" s="36"/>
      <c r="F8" s="36"/>
      <c r="G8" s="36"/>
      <c r="H8" s="37"/>
      <c r="I8" s="35" t="s">
        <v>10</v>
      </c>
      <c r="J8" s="36"/>
      <c r="K8" s="36"/>
      <c r="L8" s="36"/>
      <c r="M8" s="36"/>
      <c r="N8" s="36"/>
      <c r="O8" s="37"/>
    </row>
    <row r="9" spans="1:17" ht="15" thickBot="1">
      <c r="A9" s="10" t="s">
        <v>18</v>
      </c>
      <c r="B9" s="38" t="s">
        <v>9</v>
      </c>
      <c r="C9" s="39"/>
      <c r="D9" s="39"/>
      <c r="E9" s="39"/>
      <c r="F9" s="39"/>
      <c r="G9" s="40"/>
      <c r="H9" s="38" t="s">
        <v>9</v>
      </c>
      <c r="I9" s="39"/>
      <c r="J9" s="39"/>
      <c r="K9" s="39"/>
      <c r="L9" s="39"/>
      <c r="M9" s="40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4</v>
      </c>
      <c r="L16" s="10">
        <f t="shared" si="0"/>
        <v>4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_224440</v>
      </c>
      <c r="L22" s="10" t="s">
        <v>6</v>
      </c>
      <c r="M22" s="10">
        <f>COUNTIF(I$22:I$100,L22)</f>
        <v>2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_224440</v>
      </c>
      <c r="L23" s="10" t="s">
        <v>7</v>
      </c>
      <c r="M23" s="10">
        <f t="shared" ref="M23:M28" si="6">COUNTIF(I$22:I$100,L23)</f>
        <v>2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_224440</v>
      </c>
      <c r="L24" s="10" t="s">
        <v>10</v>
      </c>
      <c r="M24" s="10">
        <f t="shared" si="6"/>
        <v>4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_224440</v>
      </c>
      <c r="L25" s="10" t="s">
        <v>11</v>
      </c>
      <c r="M25" s="10">
        <f t="shared" si="6"/>
        <v>4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_224440</v>
      </c>
      <c r="L26" s="10" t="s">
        <v>9</v>
      </c>
      <c r="M26" s="10">
        <f t="shared" si="6"/>
        <v>4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_224440</v>
      </c>
      <c r="L27" s="10" t="s">
        <v>12</v>
      </c>
      <c r="M27" s="10">
        <f t="shared" si="6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_224440</v>
      </c>
      <c r="L28" s="10" t="s">
        <v>13</v>
      </c>
      <c r="M28" s="10">
        <f t="shared" si="6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_224440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_224440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_224440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_224440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_224440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17</v>
      </c>
      <c r="I34" s="13" t="s">
        <v>10</v>
      </c>
      <c r="J34" s="13" t="str" cm="1">
        <f t="array" aca="1" ref="J34" ca="1">MID(CELL("filename",A13),FIND("]",CELL("filename",A13))+1,255)</f>
        <v>_224440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3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105</v>
      </c>
      <c r="H35" s="13" t="s">
        <v>17</v>
      </c>
      <c r="I35" s="13" t="s">
        <v>10</v>
      </c>
      <c r="J35" s="13" t="str" cm="1">
        <f t="array" aca="1" ref="J35" ca="1">MID(CELL("filename",A14),FIND("]",CELL("filename",A14))+1,255)</f>
        <v>_224440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5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90</v>
      </c>
      <c r="H36" s="13" t="s">
        <v>18</v>
      </c>
      <c r="I36" s="13" t="s">
        <v>9</v>
      </c>
      <c r="J36" s="13" t="str" cm="1">
        <f t="array" aca="1" ref="J36" ca="1">MID(CELL("filename",A15),FIND("]",CELL("filename",A15))+1,255)</f>
        <v>_224440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5</v>
      </c>
      <c r="D37" s="13" t="str">
        <f t="shared" si="3"/>
        <v>2,3,4,5,6</v>
      </c>
      <c r="E37" s="13"/>
      <c r="F37" s="15">
        <f t="shared" si="7"/>
        <v>0.8125</v>
      </c>
      <c r="G37" s="13">
        <f t="shared" si="4"/>
        <v>90</v>
      </c>
      <c r="H37" s="13" t="s">
        <v>18</v>
      </c>
      <c r="I37" s="13" t="s">
        <v>9</v>
      </c>
      <c r="J37" s="13" t="str" cm="1">
        <f t="array" aca="1" ref="J37" ca="1">MID(CELL("filename",A16),FIND("]",CELL("filename",A16))+1,255)</f>
        <v>_224440</v>
      </c>
    </row>
    <row r="38" spans="1:10">
      <c r="J38" s="13"/>
    </row>
  </sheetData>
  <mergeCells count="23">
    <mergeCell ref="B15:H15"/>
    <mergeCell ref="B16:H16"/>
    <mergeCell ref="B17:G17"/>
    <mergeCell ref="B18:E18"/>
    <mergeCell ref="B19:E19"/>
    <mergeCell ref="B8:H8"/>
    <mergeCell ref="B9:G9"/>
    <mergeCell ref="H9:M9"/>
    <mergeCell ref="B13:I13"/>
    <mergeCell ref="B14:I14"/>
    <mergeCell ref="I8:O8"/>
    <mergeCell ref="B5:G5"/>
    <mergeCell ref="H5:M5"/>
    <mergeCell ref="B6:H6"/>
    <mergeCell ref="I6:O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10A3D-8F99-41AF-83AC-0E551B791D59}">
  <sheetPr codeName="Sheet36"/>
  <dimension ref="A1:Q38"/>
  <sheetViews>
    <sheetView zoomScale="85" zoomScaleNormal="85" workbookViewId="0">
      <pane ySplit="19" topLeftCell="A21" activePane="bottomLeft" state="frozen"/>
      <selection activeCell="J22" sqref="J22:J38"/>
      <selection pane="bottomLeft" activeCell="J34" sqref="J34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35" t="s">
        <v>10</v>
      </c>
      <c r="C8" s="36"/>
      <c r="D8" s="36"/>
      <c r="E8" s="36"/>
      <c r="F8" s="36"/>
      <c r="G8" s="36"/>
      <c r="H8" s="37"/>
      <c r="I8" s="53" t="s">
        <v>7</v>
      </c>
      <c r="J8" s="54"/>
      <c r="K8" s="54"/>
      <c r="L8" s="54"/>
      <c r="M8" s="54"/>
      <c r="N8" s="54"/>
      <c r="O8" s="54"/>
      <c r="P8" s="55"/>
      <c r="Q8" s="24"/>
    </row>
    <row r="9" spans="1:17">
      <c r="A9" s="10" t="s">
        <v>18</v>
      </c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3</v>
      </c>
      <c r="L14" s="10">
        <f t="shared" si="0"/>
        <v>3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3</v>
      </c>
      <c r="L15" s="10">
        <f t="shared" si="0"/>
        <v>3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3" si="1">VLOOKUP(H22,field_id,2,FALSE)</f>
        <v>4</v>
      </c>
      <c r="C22" s="13">
        <f t="shared" ref="C22:C33" si="2">VLOOKUP(I22,league_id,2,FALSE)</f>
        <v>1</v>
      </c>
      <c r="D22" s="13" t="str">
        <f t="shared" ref="D22:D33" si="3">VLOOKUP(H22,slot_compat,3,FALSE)</f>
        <v>2,3</v>
      </c>
      <c r="E22" s="13"/>
      <c r="F22" s="15">
        <v>0.75</v>
      </c>
      <c r="G22" s="13">
        <f t="shared" ref="G22:G33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_233220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_233220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_233220</v>
      </c>
      <c r="L24" s="10" t="s">
        <v>10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_233220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_233220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_233220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_233220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_233220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_233220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_233220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105</v>
      </c>
      <c r="H32" s="13" t="s">
        <v>17</v>
      </c>
      <c r="I32" s="13" t="s">
        <v>10</v>
      </c>
      <c r="J32" s="13" t="str" cm="1">
        <f t="array" aca="1" ref="J32" ca="1">MID(CELL("filename",A11),FIND("]",CELL("filename",A11))+1,255)</f>
        <v>_233220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7"/>
        <v>0.82291666666666663</v>
      </c>
      <c r="G33" s="13">
        <f t="shared" si="4"/>
        <v>120</v>
      </c>
      <c r="H33" s="13" t="s">
        <v>17</v>
      </c>
      <c r="I33" s="13" t="s">
        <v>7</v>
      </c>
      <c r="J33" s="13" t="str" cm="1">
        <f t="array" aca="1" ref="J33" ca="1">MID(CELL("filename",A12),FIND("]",CELL("filename",A12))+1,255)</f>
        <v>_233220</v>
      </c>
    </row>
    <row r="34" spans="1:10">
      <c r="A34" s="13"/>
      <c r="B34" s="13"/>
      <c r="C34" s="13"/>
      <c r="D34" s="13"/>
      <c r="E34" s="13"/>
      <c r="F34" s="15"/>
      <c r="G34" s="13"/>
      <c r="H34" s="13"/>
      <c r="I34" s="13"/>
      <c r="J34" s="13"/>
    </row>
    <row r="35" spans="1:10">
      <c r="A35" s="13"/>
      <c r="B35" s="13"/>
      <c r="C35" s="13"/>
      <c r="D35" s="13"/>
      <c r="E35" s="13"/>
      <c r="F35" s="15"/>
      <c r="G35" s="13"/>
      <c r="H35" s="13"/>
      <c r="I35" s="13"/>
      <c r="J35" s="13"/>
    </row>
    <row r="36" spans="1:10">
      <c r="J36" s="13"/>
    </row>
    <row r="37" spans="1:10">
      <c r="J37" s="13"/>
    </row>
    <row r="38" spans="1:10">
      <c r="J38" s="13"/>
    </row>
  </sheetData>
  <mergeCells count="19">
    <mergeCell ref="B5:G5"/>
    <mergeCell ref="B6:G6"/>
    <mergeCell ref="B7:H7"/>
    <mergeCell ref="B2:I2"/>
    <mergeCell ref="J2:Q2"/>
    <mergeCell ref="B3:I3"/>
    <mergeCell ref="J3:Q3"/>
    <mergeCell ref="B4:H4"/>
    <mergeCell ref="I4:O4"/>
    <mergeCell ref="I7:O7"/>
    <mergeCell ref="B17:G17"/>
    <mergeCell ref="B18:E18"/>
    <mergeCell ref="B19:E19"/>
    <mergeCell ref="B8:H8"/>
    <mergeCell ref="I8:P8"/>
    <mergeCell ref="B13:I13"/>
    <mergeCell ref="B14:I14"/>
    <mergeCell ref="B15:H15"/>
    <mergeCell ref="B16:H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A1FBC-B202-4D1D-9507-90904A0175FE}">
  <sheetPr codeName="Sheet5"/>
  <dimension ref="A1:Q39"/>
  <sheetViews>
    <sheetView zoomScale="70" zoomScaleNormal="70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62"/>
      <c r="K4" s="62"/>
      <c r="L4" s="62"/>
      <c r="M4" s="62"/>
      <c r="N4" s="62"/>
      <c r="O4" s="63"/>
    </row>
    <row r="5" spans="1:17" ht="15" thickBot="1">
      <c r="A5" s="10" t="s">
        <v>14</v>
      </c>
      <c r="B5" s="66" t="s">
        <v>9</v>
      </c>
      <c r="C5" s="64"/>
      <c r="D5" s="64"/>
      <c r="E5" s="64"/>
      <c r="F5" s="64"/>
      <c r="G5" s="65"/>
      <c r="H5" s="66" t="s">
        <v>9</v>
      </c>
      <c r="I5" s="64"/>
      <c r="J5" s="64"/>
      <c r="K5" s="64"/>
      <c r="L5" s="64"/>
      <c r="M5" s="65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38" t="s">
        <v>9</v>
      </c>
      <c r="I6" s="64"/>
      <c r="J6" s="64"/>
      <c r="K6" s="64"/>
      <c r="L6" s="64"/>
      <c r="M6" s="65"/>
    </row>
    <row r="7" spans="1:17" ht="15" thickBot="1">
      <c r="A7" s="10" t="s">
        <v>98</v>
      </c>
      <c r="B7" s="67" t="s">
        <v>10</v>
      </c>
      <c r="C7" s="68"/>
      <c r="D7" s="68"/>
      <c r="E7" s="68"/>
      <c r="F7" s="68"/>
      <c r="G7" s="68"/>
      <c r="H7" s="69"/>
      <c r="I7" s="70" t="s">
        <v>10</v>
      </c>
      <c r="J7" s="71"/>
      <c r="K7" s="71"/>
      <c r="L7" s="71"/>
      <c r="M7" s="71"/>
      <c r="N7" s="71"/>
      <c r="O7" s="72"/>
    </row>
    <row r="8" spans="1:17" ht="15" thickBot="1">
      <c r="A8" s="10" t="s">
        <v>17</v>
      </c>
      <c r="B8" s="70" t="s">
        <v>10</v>
      </c>
      <c r="C8" s="71"/>
      <c r="D8" s="71"/>
      <c r="E8" s="71"/>
      <c r="F8" s="71"/>
      <c r="G8" s="71"/>
      <c r="H8" s="72"/>
      <c r="I8" s="53" t="s">
        <v>7</v>
      </c>
      <c r="J8" s="54"/>
      <c r="K8" s="54"/>
      <c r="L8" s="54"/>
      <c r="M8" s="54"/>
      <c r="N8" s="54"/>
      <c r="O8" s="54"/>
      <c r="P8" s="55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3</v>
      </c>
      <c r="L14" s="10">
        <f t="shared" si="0"/>
        <v>3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5</v>
      </c>
      <c r="L15" s="10">
        <f t="shared" si="0"/>
        <v>5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3" si="1">VLOOKUP(H22,field_id,2,FALSE)</f>
        <v>4</v>
      </c>
      <c r="C22" s="13">
        <f t="shared" ref="C22:C33" si="2">VLOOKUP(I22,league_id,2,FALSE)</f>
        <v>1</v>
      </c>
      <c r="D22" s="13" t="str">
        <f t="shared" ref="D22:D33" si="3">VLOOKUP(H22,slot_compat,3,FALSE)</f>
        <v>2,3</v>
      </c>
      <c r="E22" s="13"/>
      <c r="F22" s="15">
        <v>0.75</v>
      </c>
      <c r="G22" s="13">
        <f t="shared" ref="G22:G33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_235240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_235240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_235240</v>
      </c>
      <c r="L24" s="10" t="s">
        <v>10</v>
      </c>
      <c r="M24" s="10">
        <f t="shared" si="5"/>
        <v>5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_235240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_235240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_235240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_235240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_235240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_235240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_235240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_235240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_235240</v>
      </c>
    </row>
    <row r="34" spans="1:10">
      <c r="A34" s="13" t="e">
        <f t="shared" si="6"/>
        <v>#VALUE!</v>
      </c>
      <c r="B34" s="13" t="str">
        <f t="shared" ref="B34:B37" si="8">VLOOKUP(H34,field_id,2,FALSE)</f>
        <v>7</v>
      </c>
      <c r="C34" s="13">
        <f t="shared" ref="C34:C37" si="9">VLOOKUP(I34,league_id,2,FALSE)</f>
        <v>3</v>
      </c>
      <c r="D34" s="13" t="str">
        <f t="shared" ref="D34:D37" si="10">VLOOKUP(H34,slot_compat,3,FALSE)</f>
        <v>2,3,4,5,6</v>
      </c>
      <c r="E34" s="13"/>
      <c r="F34" s="15">
        <f t="shared" ref="F34:F37" si="11">IF(B34&lt;&gt;B33,F$22,F33+G33/60/24)</f>
        <v>0.75</v>
      </c>
      <c r="G34" s="13">
        <f t="shared" ref="G34:G37" si="12">VLOOKUP(I34,GameDuration,2,FALSE)</f>
        <v>105</v>
      </c>
      <c r="H34" s="13" t="s">
        <v>17</v>
      </c>
      <c r="I34" s="13" t="s">
        <v>10</v>
      </c>
      <c r="J34" s="13" t="str" cm="1">
        <f t="array" aca="1" ref="J34" ca="1">MID(CELL("filename",A13),FIND("]",CELL("filename",A13))+1,255)</f>
        <v>_235240</v>
      </c>
    </row>
    <row r="35" spans="1:10">
      <c r="A35" s="13" t="e">
        <f t="shared" si="6"/>
        <v>#VALUE!</v>
      </c>
      <c r="B35" s="13" t="str">
        <f t="shared" si="8"/>
        <v>7</v>
      </c>
      <c r="C35" s="13">
        <f t="shared" si="9"/>
        <v>2</v>
      </c>
      <c r="D35" s="13" t="str">
        <f t="shared" si="10"/>
        <v>2,3,4,5,6</v>
      </c>
      <c r="E35" s="13"/>
      <c r="F35" s="15">
        <f t="shared" si="11"/>
        <v>0.82291666666666663</v>
      </c>
      <c r="G35" s="13">
        <f t="shared" si="12"/>
        <v>120</v>
      </c>
      <c r="H35" s="13" t="s">
        <v>17</v>
      </c>
      <c r="I35" s="12" t="s">
        <v>7</v>
      </c>
      <c r="J35" s="13" t="str" cm="1">
        <f t="array" aca="1" ref="J35" ca="1">MID(CELL("filename",A14),FIND("]",CELL("filename",A14))+1,255)</f>
        <v>_235240</v>
      </c>
    </row>
    <row r="36" spans="1:10">
      <c r="A36" s="13" t="e">
        <f t="shared" si="6"/>
        <v>#VALUE!</v>
      </c>
      <c r="B36" s="13" t="str">
        <f t="shared" si="8"/>
        <v>8</v>
      </c>
      <c r="C36" s="13">
        <f t="shared" si="9"/>
        <v>3</v>
      </c>
      <c r="D36" s="13" t="str">
        <f t="shared" si="10"/>
        <v>2,3,4,5,6</v>
      </c>
      <c r="E36" s="13"/>
      <c r="F36" s="15">
        <f t="shared" si="11"/>
        <v>0.75</v>
      </c>
      <c r="G36" s="13">
        <f t="shared" si="12"/>
        <v>105</v>
      </c>
      <c r="H36" s="13" t="s">
        <v>18</v>
      </c>
      <c r="I36" s="13" t="s">
        <v>10</v>
      </c>
      <c r="J36" s="13" t="str" cm="1">
        <f t="array" aca="1" ref="J36" ca="1">MID(CELL("filename",A15),FIND("]",CELL("filename",A15))+1,255)</f>
        <v>_235240</v>
      </c>
    </row>
    <row r="37" spans="1:10">
      <c r="A37" s="13" t="e">
        <f t="shared" si="6"/>
        <v>#VALUE!</v>
      </c>
      <c r="B37" s="13" t="str">
        <f t="shared" si="8"/>
        <v>8</v>
      </c>
      <c r="C37" s="13">
        <f t="shared" si="9"/>
        <v>3</v>
      </c>
      <c r="D37" s="13" t="str">
        <f t="shared" si="10"/>
        <v>2,3,4,5,6</v>
      </c>
      <c r="E37" s="13"/>
      <c r="F37" s="15">
        <f t="shared" si="11"/>
        <v>0.82291666666666663</v>
      </c>
      <c r="G37" s="13">
        <f t="shared" si="12"/>
        <v>105</v>
      </c>
      <c r="H37" s="13" t="s">
        <v>18</v>
      </c>
      <c r="I37" s="13" t="s">
        <v>10</v>
      </c>
      <c r="J37" s="13" t="str" cm="1">
        <f t="array" aca="1" ref="J37" ca="1">MID(CELL("filename",A16),FIND("]",CELL("filename",A16))+1,255)</f>
        <v>_235240</v>
      </c>
    </row>
    <row r="38" spans="1:10">
      <c r="A38" s="13"/>
      <c r="B38" s="13"/>
      <c r="C38" s="13"/>
      <c r="D38" s="13"/>
      <c r="E38" s="13"/>
      <c r="F38" s="15"/>
      <c r="G38" s="13"/>
      <c r="H38" s="13"/>
      <c r="I38" s="12"/>
      <c r="J38" s="13"/>
    </row>
    <row r="39" spans="1:10">
      <c r="A39" s="13"/>
      <c r="B39" s="13"/>
      <c r="C39" s="13"/>
      <c r="D39" s="13"/>
      <c r="E39" s="13"/>
      <c r="F39" s="15"/>
      <c r="G39" s="13"/>
      <c r="H39" s="13"/>
      <c r="I39" s="12"/>
    </row>
  </sheetData>
  <mergeCells count="23">
    <mergeCell ref="B9:H9"/>
    <mergeCell ref="I9:O9"/>
    <mergeCell ref="B19:E19"/>
    <mergeCell ref="H5:M5"/>
    <mergeCell ref="B13:I13"/>
    <mergeCell ref="B14:I14"/>
    <mergeCell ref="B15:H15"/>
    <mergeCell ref="B16:H16"/>
    <mergeCell ref="B17:G17"/>
    <mergeCell ref="B18:E18"/>
    <mergeCell ref="B5:G5"/>
    <mergeCell ref="B6:G6"/>
    <mergeCell ref="B7:H7"/>
    <mergeCell ref="I7:O7"/>
    <mergeCell ref="B8:H8"/>
    <mergeCell ref="I8:P8"/>
    <mergeCell ref="H6:M6"/>
    <mergeCell ref="B2:I2"/>
    <mergeCell ref="J2:Q2"/>
    <mergeCell ref="B3:I3"/>
    <mergeCell ref="J3:Q3"/>
    <mergeCell ref="B4:H4"/>
    <mergeCell ref="I4:O4"/>
  </mergeCells>
  <phoneticPr fontId="5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4E0C4-F1EF-42F1-BD82-9A545CB3F601}">
  <sheetPr codeName="Sheet40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J34" sqref="J34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>
      <c r="A6" s="10" t="s">
        <v>15</v>
      </c>
      <c r="F6" s="1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35" t="s">
        <v>10</v>
      </c>
      <c r="C8" s="36"/>
      <c r="D8" s="36"/>
      <c r="E8" s="36"/>
      <c r="F8" s="36"/>
      <c r="G8" s="36"/>
      <c r="H8" s="37"/>
      <c r="I8" s="53" t="s">
        <v>7</v>
      </c>
      <c r="J8" s="54"/>
      <c r="K8" s="54"/>
      <c r="L8" s="54"/>
      <c r="M8" s="54"/>
      <c r="N8" s="54"/>
      <c r="O8" s="54"/>
      <c r="P8" s="55"/>
      <c r="Q8" s="24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53" t="s">
        <v>7</v>
      </c>
      <c r="J9" s="54"/>
      <c r="K9" s="54"/>
      <c r="L9" s="54"/>
      <c r="M9" s="54"/>
      <c r="N9" s="54"/>
      <c r="O9" s="54"/>
      <c r="P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0</v>
      </c>
      <c r="L17" s="10">
        <f t="shared" si="0"/>
        <v>0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 t="str">
        <f t="shared" ref="D22:D31" si="3">VLOOKUP(H22,slot_compat,3,FALSE)</f>
        <v>2,3</v>
      </c>
      <c r="E22" s="13"/>
      <c r="F22" s="15">
        <v>0.75</v>
      </c>
      <c r="G22" s="13">
        <f t="shared" ref="G22:G31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_244200</v>
      </c>
      <c r="L22" s="10" t="s">
        <v>6</v>
      </c>
      <c r="M22" s="10">
        <f t="shared" ref="M22:M28" si="5">COUNTIF(I$22:I$92,L22)</f>
        <v>2</v>
      </c>
      <c r="P22" s="30"/>
    </row>
    <row r="23" spans="1:16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_244200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_244200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_244200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_244200</v>
      </c>
      <c r="L26" s="10" t="s">
        <v>9</v>
      </c>
      <c r="M26" s="10">
        <f t="shared" si="5"/>
        <v>0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_244200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6</v>
      </c>
      <c r="C28" s="13">
        <f t="shared" si="2"/>
        <v>3</v>
      </c>
      <c r="D28" s="13" t="str">
        <f t="shared" si="3"/>
        <v>4,5,6,1</v>
      </c>
      <c r="E28" s="13"/>
      <c r="F28" s="15">
        <f t="shared" si="7"/>
        <v>0.75</v>
      </c>
      <c r="G28" s="13">
        <f t="shared" si="4"/>
        <v>105</v>
      </c>
      <c r="H28" s="13" t="s">
        <v>16</v>
      </c>
      <c r="I28" s="13" t="s">
        <v>10</v>
      </c>
      <c r="J28" s="13" t="str" cm="1">
        <f t="array" aca="1" ref="J28" ca="1">MID(CELL("filename",A7),FIND("]",CELL("filename",A7))+1,255)</f>
        <v>_244200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7"/>
        <v>0.82291666666666663</v>
      </c>
      <c r="G29" s="13">
        <f t="shared" si="4"/>
        <v>105</v>
      </c>
      <c r="H29" s="13" t="s">
        <v>16</v>
      </c>
      <c r="I29" s="13" t="s">
        <v>10</v>
      </c>
      <c r="J29" s="13" t="str" cm="1">
        <f t="array" aca="1" ref="J29" ca="1">MID(CELL("filename",A8),FIND("]",CELL("filename",A8))+1,255)</f>
        <v>_244200</v>
      </c>
    </row>
    <row r="30" spans="1:16">
      <c r="A30" s="13" t="e">
        <f t="shared" si="6"/>
        <v>#VALUE!</v>
      </c>
      <c r="B30" s="13" t="str">
        <f t="shared" si="1"/>
        <v>7</v>
      </c>
      <c r="C30" s="13">
        <f t="shared" si="2"/>
        <v>3</v>
      </c>
      <c r="D30" s="13" t="str">
        <f t="shared" si="3"/>
        <v>2,3,4,5,6</v>
      </c>
      <c r="E30" s="13"/>
      <c r="F30" s="15">
        <f t="shared" si="7"/>
        <v>0.75</v>
      </c>
      <c r="G30" s="13">
        <f t="shared" si="4"/>
        <v>105</v>
      </c>
      <c r="H30" s="13" t="s">
        <v>17</v>
      </c>
      <c r="I30" s="13" t="s">
        <v>10</v>
      </c>
      <c r="J30" s="13" t="str" cm="1">
        <f t="array" aca="1" ref="J30" ca="1">MID(CELL("filename",A9),FIND("]",CELL("filename",A9))+1,255)</f>
        <v>_244200</v>
      </c>
    </row>
    <row r="31" spans="1:16">
      <c r="A31" s="13" t="e">
        <f t="shared" si="6"/>
        <v>#VALUE!</v>
      </c>
      <c r="B31" s="13" t="str">
        <f t="shared" si="1"/>
        <v>7</v>
      </c>
      <c r="C31" s="13">
        <f t="shared" si="2"/>
        <v>2</v>
      </c>
      <c r="D31" s="13" t="str">
        <f t="shared" si="3"/>
        <v>2,3,4,5,6</v>
      </c>
      <c r="E31" s="13"/>
      <c r="F31" s="15">
        <f t="shared" si="7"/>
        <v>0.82291666666666663</v>
      </c>
      <c r="G31" s="13">
        <f t="shared" si="4"/>
        <v>120</v>
      </c>
      <c r="H31" s="13" t="s">
        <v>17</v>
      </c>
      <c r="I31" s="13" t="s">
        <v>7</v>
      </c>
      <c r="J31" s="13" t="str" cm="1">
        <f t="array" aca="1" ref="J31" ca="1">MID(CELL("filename",A10),FIND("]",CELL("filename",A10))+1,255)</f>
        <v>_244200</v>
      </c>
    </row>
    <row r="32" spans="1:16">
      <c r="A32" s="13" t="e">
        <f>A31+1</f>
        <v>#VALUE!</v>
      </c>
      <c r="B32" s="13" t="str">
        <f t="shared" ref="B32:B33" si="8">VLOOKUP(H32,field_id,2,FALSE)</f>
        <v>8</v>
      </c>
      <c r="C32" s="13">
        <f t="shared" ref="C32:C33" si="9">VLOOKUP(I32,league_id,2,FALSE)</f>
        <v>3</v>
      </c>
      <c r="D32" s="13" t="str">
        <f t="shared" ref="D32:D33" si="10">VLOOKUP(H32,slot_compat,3,FALSE)</f>
        <v>2,3,4,5,6</v>
      </c>
      <c r="E32" s="13"/>
      <c r="F32" s="15">
        <f t="shared" si="7"/>
        <v>0.75</v>
      </c>
      <c r="G32" s="13">
        <f t="shared" ref="G32:G33" si="11">VLOOKUP(I32,GameDuration,2,FALSE)</f>
        <v>105</v>
      </c>
      <c r="H32" s="13" t="s">
        <v>18</v>
      </c>
      <c r="I32" s="13" t="s">
        <v>10</v>
      </c>
      <c r="J32" s="13" t="str" cm="1">
        <f t="array" aca="1" ref="J32" ca="1">MID(CELL("filename",A11),FIND("]",CELL("filename",A11))+1,255)</f>
        <v>_244200</v>
      </c>
    </row>
    <row r="33" spans="1:10">
      <c r="A33" s="13" t="e">
        <f t="shared" si="6"/>
        <v>#VALUE!</v>
      </c>
      <c r="B33" s="13" t="str">
        <f t="shared" si="8"/>
        <v>8</v>
      </c>
      <c r="C33" s="13">
        <f t="shared" si="9"/>
        <v>2</v>
      </c>
      <c r="D33" s="13" t="str">
        <f t="shared" si="10"/>
        <v>2,3,4,5,6</v>
      </c>
      <c r="E33" s="13"/>
      <c r="F33" s="15">
        <f t="shared" si="7"/>
        <v>0.82291666666666663</v>
      </c>
      <c r="G33" s="13">
        <f t="shared" si="11"/>
        <v>120</v>
      </c>
      <c r="H33" s="13" t="s">
        <v>18</v>
      </c>
      <c r="I33" s="13" t="s">
        <v>7</v>
      </c>
      <c r="J33" s="13" t="str" cm="1">
        <f t="array" aca="1" ref="J33" ca="1">MID(CELL("filename",A12),FIND("]",CELL("filename",A12))+1,255)</f>
        <v>_244200</v>
      </c>
    </row>
    <row r="34" spans="1:10">
      <c r="J34" s="13"/>
    </row>
    <row r="35" spans="1:10">
      <c r="J35" s="13"/>
    </row>
    <row r="36" spans="1:10">
      <c r="J36" s="13"/>
    </row>
    <row r="37" spans="1:10">
      <c r="J37" s="13"/>
    </row>
    <row r="38" spans="1:10">
      <c r="J38" s="13"/>
    </row>
  </sheetData>
  <mergeCells count="19">
    <mergeCell ref="B7:H7"/>
    <mergeCell ref="I7:O7"/>
    <mergeCell ref="B4:H4"/>
    <mergeCell ref="I4:O4"/>
    <mergeCell ref="B2:I2"/>
    <mergeCell ref="J2:Q2"/>
    <mergeCell ref="B3:I3"/>
    <mergeCell ref="J3:Q3"/>
    <mergeCell ref="B19:E19"/>
    <mergeCell ref="B9:H9"/>
    <mergeCell ref="B13:I13"/>
    <mergeCell ref="B8:H8"/>
    <mergeCell ref="B14:I14"/>
    <mergeCell ref="B15:H15"/>
    <mergeCell ref="B16:H16"/>
    <mergeCell ref="B17:G17"/>
    <mergeCell ref="B18:E18"/>
    <mergeCell ref="I8:P8"/>
    <mergeCell ref="I9:P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D62F-74ED-4AC7-BC29-1D167E8FA8D6}">
  <sheetPr codeName="Sheet32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J36" sqref="J36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F6" s="10"/>
    </row>
    <row r="7" spans="1:17" ht="15" thickBot="1">
      <c r="A7" s="10" t="s">
        <v>98</v>
      </c>
      <c r="B7" s="70" t="s">
        <v>10</v>
      </c>
      <c r="C7" s="71"/>
      <c r="D7" s="71"/>
      <c r="E7" s="71"/>
      <c r="F7" s="71"/>
      <c r="G7" s="71"/>
      <c r="H7" s="72"/>
      <c r="I7" s="70" t="s">
        <v>10</v>
      </c>
      <c r="J7" s="71"/>
      <c r="K7" s="71"/>
      <c r="L7" s="71"/>
      <c r="M7" s="71"/>
      <c r="N7" s="71"/>
      <c r="O7" s="72"/>
    </row>
    <row r="8" spans="1:17" ht="15" thickBot="1">
      <c r="A8" s="10" t="s">
        <v>17</v>
      </c>
      <c r="B8" s="73" t="s">
        <v>7</v>
      </c>
      <c r="C8" s="74"/>
      <c r="D8" s="74"/>
      <c r="E8" s="74"/>
      <c r="F8" s="74"/>
      <c r="G8" s="74"/>
      <c r="H8" s="74"/>
      <c r="I8" s="55"/>
      <c r="J8" s="53" t="s">
        <v>7</v>
      </c>
      <c r="K8" s="54"/>
      <c r="L8" s="54"/>
      <c r="M8" s="54"/>
      <c r="N8" s="54"/>
      <c r="O8" s="54"/>
      <c r="P8" s="54"/>
      <c r="Q8" s="55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_244220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_244220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_244220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_244220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_244220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_244220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_244220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_244220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_244220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7</v>
      </c>
      <c r="J32" s="13" t="str" cm="1">
        <f t="array" aca="1" ref="J32" ca="1">MID(CELL("filename",A11),FIND("]",CELL("filename",A11))+1,255)</f>
        <v>_244220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7</v>
      </c>
      <c r="J33" s="13" t="str" cm="1">
        <f t="array" aca="1" ref="J33" ca="1">MID(CELL("filename",A12),FIND("]",CELL("filename",A12))+1,255)</f>
        <v>_244220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18</v>
      </c>
      <c r="I34" s="13" t="s">
        <v>10</v>
      </c>
      <c r="J34" s="13" t="str" cm="1">
        <f t="array" aca="1" ref="J34" ca="1">MID(CELL("filename",A13),FIND("]",CELL("filename",A13))+1,255)</f>
        <v>_244220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105</v>
      </c>
      <c r="H35" s="13" t="s">
        <v>18</v>
      </c>
      <c r="I35" s="13" t="s">
        <v>10</v>
      </c>
      <c r="J35" s="13" t="str" cm="1">
        <f t="array" aca="1" ref="J35" ca="1">MID(CELL("filename",A14),FIND("]",CELL("filename",A14))+1,255)</f>
        <v>_244220</v>
      </c>
    </row>
    <row r="36" spans="1:10">
      <c r="J36" s="13"/>
    </row>
    <row r="37" spans="1:10">
      <c r="J37" s="13"/>
    </row>
    <row r="38" spans="1:10">
      <c r="J38" s="13"/>
    </row>
  </sheetData>
  <mergeCells count="21"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H5:M5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69F3A-9F6D-4EE5-8120-01B19F8E0D25}">
  <sheetPr codeName="Sheet41"/>
  <dimension ref="A1:Q39"/>
  <sheetViews>
    <sheetView zoomScale="70" zoomScaleNormal="70" workbookViewId="0">
      <pane ySplit="19" topLeftCell="A20" activePane="bottomLeft" state="frozen"/>
      <selection activeCell="J22" sqref="J22:J38"/>
      <selection pane="bottomLeft" activeCell="N39" sqref="N39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41" t="s">
        <v>12</v>
      </c>
      <c r="C4" s="42"/>
      <c r="D4" s="42"/>
      <c r="E4" s="43"/>
      <c r="F4" s="41" t="s">
        <v>12</v>
      </c>
      <c r="G4" s="42"/>
      <c r="H4" s="42"/>
      <c r="I4" s="43"/>
      <c r="J4" s="56" t="s">
        <v>11</v>
      </c>
      <c r="K4" s="57"/>
      <c r="L4" s="57"/>
      <c r="M4" s="57"/>
      <c r="N4" s="57"/>
      <c r="O4" s="57"/>
      <c r="P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41" t="s">
        <v>12</v>
      </c>
      <c r="C6" s="42"/>
      <c r="D6" s="42"/>
      <c r="E6" s="43"/>
      <c r="F6" s="41" t="s">
        <v>12</v>
      </c>
      <c r="G6" s="42"/>
      <c r="H6" s="42"/>
      <c r="I6" s="43"/>
      <c r="J6" s="56" t="s">
        <v>11</v>
      </c>
      <c r="K6" s="57"/>
      <c r="L6" s="57"/>
      <c r="M6" s="57"/>
      <c r="N6" s="57"/>
      <c r="O6" s="57"/>
      <c r="P6" s="58"/>
    </row>
    <row r="7" spans="1:17" ht="15" thickBot="1">
      <c r="A7" s="10" t="s">
        <v>98</v>
      </c>
      <c r="B7" s="70" t="s">
        <v>10</v>
      </c>
      <c r="C7" s="71"/>
      <c r="D7" s="71"/>
      <c r="E7" s="71"/>
      <c r="F7" s="71"/>
      <c r="G7" s="71"/>
      <c r="H7" s="72"/>
      <c r="I7" s="70" t="s">
        <v>10</v>
      </c>
      <c r="J7" s="71"/>
      <c r="K7" s="71"/>
      <c r="L7" s="71"/>
      <c r="M7" s="71"/>
      <c r="N7" s="71"/>
      <c r="O7" s="72"/>
    </row>
    <row r="8" spans="1:17" ht="15" thickBot="1">
      <c r="A8" s="10" t="s">
        <v>17</v>
      </c>
      <c r="B8" s="73" t="s">
        <v>7</v>
      </c>
      <c r="C8" s="74"/>
      <c r="D8" s="74"/>
      <c r="E8" s="74"/>
      <c r="F8" s="74"/>
      <c r="G8" s="74"/>
      <c r="H8" s="74"/>
      <c r="I8" s="55"/>
      <c r="J8" s="53" t="s">
        <v>7</v>
      </c>
      <c r="K8" s="54"/>
      <c r="L8" s="54"/>
      <c r="M8" s="54"/>
      <c r="N8" s="54"/>
      <c r="O8" s="54"/>
      <c r="P8" s="54"/>
      <c r="Q8" s="55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9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4</v>
      </c>
      <c r="L18" s="10">
        <f t="shared" si="0"/>
        <v>4</v>
      </c>
    </row>
    <row r="19" spans="1:16">
      <c r="B19" s="44" t="s">
        <v>100</v>
      </c>
      <c r="C19" s="45"/>
      <c r="D19" s="45"/>
      <c r="E19" s="46"/>
      <c r="K19" s="10">
        <v>0</v>
      </c>
      <c r="L19" s="10">
        <f t="shared" si="0"/>
        <v>0</v>
      </c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1" si="2">VLOOKUP(I22,league_id,2,FALSE)</f>
        <v>1</v>
      </c>
      <c r="D22" s="13" t="str">
        <f t="shared" ref="D22:D31" si="3">VLOOKUP(H22,slot_compat,3,FALSE)</f>
        <v>2,3</v>
      </c>
      <c r="E22" s="13"/>
      <c r="F22" s="15">
        <v>0.75</v>
      </c>
      <c r="G22" s="13">
        <f t="shared" ref="G22:G31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_244224</v>
      </c>
      <c r="L22" s="10" t="s">
        <v>6</v>
      </c>
      <c r="M22" s="10">
        <f t="shared" ref="M22:M28" si="5">COUNTIF(I$22:I$93,L22)</f>
        <v>2</v>
      </c>
      <c r="P22" s="30"/>
    </row>
    <row r="23" spans="1:16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_244224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_244224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_244224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6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60</v>
      </c>
      <c r="H26" s="13" t="s">
        <v>8</v>
      </c>
      <c r="I26" s="13" t="s">
        <v>12</v>
      </c>
      <c r="J26" s="13" t="str" cm="1">
        <f t="array" aca="1" ref="J26" ca="1">MID(CELL("filename",A5),FIND("]",CELL("filename",A5))+1,255)</f>
        <v>_244224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6</v>
      </c>
      <c r="D27" s="13" t="str">
        <f t="shared" si="3"/>
        <v>5,6</v>
      </c>
      <c r="E27" s="13"/>
      <c r="F27" s="15">
        <f t="shared" si="7"/>
        <v>0.79166666666666663</v>
      </c>
      <c r="G27" s="13">
        <f t="shared" si="4"/>
        <v>60</v>
      </c>
      <c r="H27" s="13" t="s">
        <v>8</v>
      </c>
      <c r="I27" s="13" t="s">
        <v>12</v>
      </c>
      <c r="J27" s="13" t="str" cm="1">
        <f t="array" aca="1" ref="J27" ca="1">MID(CELL("filename",A6),FIND("]",CELL("filename",A6))+1,255)</f>
        <v>_244224</v>
      </c>
      <c r="L27" s="10" t="s">
        <v>12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2</v>
      </c>
      <c r="C28" s="13">
        <f t="shared" si="2"/>
        <v>4</v>
      </c>
      <c r="D28" s="13" t="str">
        <f t="shared" si="3"/>
        <v>5,6</v>
      </c>
      <c r="E28" s="13"/>
      <c r="F28" s="15">
        <f t="shared" si="7"/>
        <v>0.83333333333333326</v>
      </c>
      <c r="G28" s="13">
        <f t="shared" si="4"/>
        <v>105</v>
      </c>
      <c r="H28" s="13" t="s">
        <v>8</v>
      </c>
      <c r="I28" s="13" t="s">
        <v>11</v>
      </c>
      <c r="J28" s="13" t="str" cm="1">
        <f t="array" aca="1" ref="J28" ca="1">MID(CELL("filename",A7),FIND("]",CELL("filename",A7))+1,255)</f>
        <v>_244224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0.75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_244224</v>
      </c>
    </row>
    <row r="30" spans="1:16">
      <c r="A30" s="13" t="e">
        <f t="shared" si="6"/>
        <v>#VALUE!</v>
      </c>
      <c r="B30" s="13" t="str">
        <f t="shared" si="1"/>
        <v>1</v>
      </c>
      <c r="C30" s="13">
        <f t="shared" si="2"/>
        <v>5</v>
      </c>
      <c r="D30" s="13" t="str">
        <f t="shared" si="3"/>
        <v>6,7</v>
      </c>
      <c r="E30" s="13"/>
      <c r="F30" s="15">
        <f t="shared" si="7"/>
        <v>0.8125</v>
      </c>
      <c r="G30" s="13">
        <f t="shared" si="4"/>
        <v>90</v>
      </c>
      <c r="H30" s="13" t="s">
        <v>14</v>
      </c>
      <c r="I30" s="13" t="s">
        <v>9</v>
      </c>
      <c r="J30" s="13" t="str" cm="1">
        <f t="array" aca="1" ref="J30" ca="1">MID(CELL("filename",A9),FIND("]",CELL("filename",A9))+1,255)</f>
        <v>_244224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6</v>
      </c>
      <c r="D31" s="13">
        <f t="shared" si="3"/>
        <v>5</v>
      </c>
      <c r="E31" s="13"/>
      <c r="F31" s="15">
        <f t="shared" si="7"/>
        <v>0.75</v>
      </c>
      <c r="G31" s="13">
        <f t="shared" si="4"/>
        <v>60</v>
      </c>
      <c r="H31" s="13" t="s">
        <v>15</v>
      </c>
      <c r="I31" s="13" t="s">
        <v>12</v>
      </c>
      <c r="J31" s="13" t="str" cm="1">
        <f t="array" aca="1" ref="J31" ca="1">MID(CELL("filename",A10),FIND("]",CELL("filename",A10))+1,255)</f>
        <v>_244224</v>
      </c>
    </row>
    <row r="32" spans="1:16">
      <c r="A32" s="13" t="e">
        <f t="shared" ref="A32:A37" si="8">A31+1</f>
        <v>#VALUE!</v>
      </c>
      <c r="B32" s="13" t="str">
        <f t="shared" si="1"/>
        <v>5</v>
      </c>
      <c r="C32" s="13">
        <f t="shared" ref="C32:C37" si="9">VLOOKUP(I32,league_id,2,FALSE)</f>
        <v>6</v>
      </c>
      <c r="D32" s="13">
        <f t="shared" ref="D32:D37" si="10">VLOOKUP(H32,slot_compat,3,FALSE)</f>
        <v>5</v>
      </c>
      <c r="E32" s="13"/>
      <c r="F32" s="15">
        <f t="shared" si="7"/>
        <v>0.79166666666666663</v>
      </c>
      <c r="G32" s="13">
        <f t="shared" ref="G32:G37" si="11">VLOOKUP(I32,GameDuration,2,FALSE)</f>
        <v>60</v>
      </c>
      <c r="H32" s="13" t="s">
        <v>15</v>
      </c>
      <c r="I32" s="13" t="s">
        <v>12</v>
      </c>
      <c r="J32" s="13" t="str" cm="1">
        <f t="array" aca="1" ref="J32" ca="1">MID(CELL("filename",A11),FIND("]",CELL("filename",A11))+1,255)</f>
        <v>_244224</v>
      </c>
    </row>
    <row r="33" spans="1:10">
      <c r="A33" s="13" t="e">
        <f t="shared" si="8"/>
        <v>#VALUE!</v>
      </c>
      <c r="B33" s="13" t="str">
        <f t="shared" si="1"/>
        <v>5</v>
      </c>
      <c r="C33" s="13">
        <f t="shared" si="9"/>
        <v>4</v>
      </c>
      <c r="D33" s="13">
        <f t="shared" si="10"/>
        <v>5</v>
      </c>
      <c r="E33" s="13"/>
      <c r="F33" s="15">
        <f t="shared" si="7"/>
        <v>0.83333333333333326</v>
      </c>
      <c r="G33" s="13">
        <f t="shared" si="11"/>
        <v>105</v>
      </c>
      <c r="H33" s="13" t="s">
        <v>15</v>
      </c>
      <c r="I33" s="13" t="s">
        <v>11</v>
      </c>
      <c r="J33" s="13" t="str" cm="1">
        <f t="array" aca="1" ref="J33" ca="1">MID(CELL("filename",A12),FIND("]",CELL("filename",A12))+1,255)</f>
        <v>_244224</v>
      </c>
    </row>
    <row r="34" spans="1:10">
      <c r="A34" s="13" t="e">
        <f t="shared" si="8"/>
        <v>#VALUE!</v>
      </c>
      <c r="B34" s="13" t="str">
        <f t="shared" si="1"/>
        <v>6</v>
      </c>
      <c r="C34" s="13">
        <f t="shared" si="9"/>
        <v>3</v>
      </c>
      <c r="D34" s="13" t="str">
        <f t="shared" si="10"/>
        <v>4,5,6,1</v>
      </c>
      <c r="E34" s="13"/>
      <c r="F34" s="15">
        <f t="shared" si="7"/>
        <v>0.75</v>
      </c>
      <c r="G34" s="13">
        <f t="shared" si="11"/>
        <v>105</v>
      </c>
      <c r="H34" s="13" t="s">
        <v>16</v>
      </c>
      <c r="I34" s="13" t="s">
        <v>10</v>
      </c>
      <c r="J34" s="13" t="str" cm="1">
        <f t="array" aca="1" ref="J34" ca="1">MID(CELL("filename",A13),FIND("]",CELL("filename",A13))+1,255)</f>
        <v>_244224</v>
      </c>
    </row>
    <row r="35" spans="1:10">
      <c r="A35" s="13" t="e">
        <f t="shared" si="8"/>
        <v>#VALUE!</v>
      </c>
      <c r="B35" s="13" t="str">
        <f t="shared" si="1"/>
        <v>6</v>
      </c>
      <c r="C35" s="13">
        <f t="shared" si="9"/>
        <v>3</v>
      </c>
      <c r="D35" s="13" t="str">
        <f t="shared" si="10"/>
        <v>4,5,6,1</v>
      </c>
      <c r="E35" s="13"/>
      <c r="F35" s="15">
        <f t="shared" si="7"/>
        <v>0.82291666666666663</v>
      </c>
      <c r="G35" s="13">
        <f t="shared" si="11"/>
        <v>105</v>
      </c>
      <c r="H35" s="13" t="s">
        <v>16</v>
      </c>
      <c r="I35" s="13" t="s">
        <v>10</v>
      </c>
      <c r="J35" s="13" t="str" cm="1">
        <f t="array" aca="1" ref="J35" ca="1">MID(CELL("filename",A14),FIND("]",CELL("filename",A14))+1,255)</f>
        <v>_244224</v>
      </c>
    </row>
    <row r="36" spans="1:10">
      <c r="A36" s="13" t="e">
        <f t="shared" si="8"/>
        <v>#VALUE!</v>
      </c>
      <c r="B36" s="13" t="str">
        <f t="shared" si="1"/>
        <v>7</v>
      </c>
      <c r="C36" s="13">
        <f t="shared" si="9"/>
        <v>2</v>
      </c>
      <c r="D36" s="13" t="str">
        <f t="shared" si="10"/>
        <v>2,3,4,5,6</v>
      </c>
      <c r="E36" s="13"/>
      <c r="F36" s="15">
        <f t="shared" si="7"/>
        <v>0.75</v>
      </c>
      <c r="G36" s="13">
        <f t="shared" si="11"/>
        <v>120</v>
      </c>
      <c r="H36" s="13" t="s">
        <v>17</v>
      </c>
      <c r="I36" s="13" t="s">
        <v>7</v>
      </c>
      <c r="J36" s="13" t="str" cm="1">
        <f t="array" aca="1" ref="J36" ca="1">MID(CELL("filename",A15),FIND("]",CELL("filename",A15))+1,255)</f>
        <v>_244224</v>
      </c>
    </row>
    <row r="37" spans="1:10">
      <c r="A37" s="13" t="e">
        <f t="shared" si="8"/>
        <v>#VALUE!</v>
      </c>
      <c r="B37" s="13" t="str">
        <f t="shared" si="1"/>
        <v>7</v>
      </c>
      <c r="C37" s="13">
        <f t="shared" si="9"/>
        <v>2</v>
      </c>
      <c r="D37" s="13" t="str">
        <f t="shared" si="10"/>
        <v>2,3,4,5,6</v>
      </c>
      <c r="E37" s="13"/>
      <c r="F37" s="15">
        <f t="shared" si="7"/>
        <v>0.83333333333333337</v>
      </c>
      <c r="G37" s="13">
        <f t="shared" si="11"/>
        <v>120</v>
      </c>
      <c r="H37" s="13" t="s">
        <v>17</v>
      </c>
      <c r="I37" s="13" t="s">
        <v>7</v>
      </c>
      <c r="J37" s="13" t="str" cm="1">
        <f t="array" aca="1" ref="J37" ca="1">MID(CELL("filename",A16),FIND("]",CELL("filename",A16))+1,255)</f>
        <v>_244224</v>
      </c>
    </row>
    <row r="38" spans="1:10">
      <c r="A38" s="13" t="e">
        <f t="shared" ref="A38:A39" si="12">A37+1</f>
        <v>#VALUE!</v>
      </c>
      <c r="B38" s="13" t="str">
        <f t="shared" si="1"/>
        <v>8</v>
      </c>
      <c r="C38" s="13">
        <f t="shared" ref="C38:C39" si="13">VLOOKUP(I38,league_id,2,FALSE)</f>
        <v>3</v>
      </c>
      <c r="D38" s="13" t="str">
        <f t="shared" ref="D38:D39" si="14">VLOOKUP(H38,slot_compat,3,FALSE)</f>
        <v>2,3,4,5,6</v>
      </c>
      <c r="E38" s="13"/>
      <c r="F38" s="15">
        <f t="shared" si="7"/>
        <v>0.75</v>
      </c>
      <c r="G38" s="13">
        <f t="shared" ref="G38:G39" si="15">VLOOKUP(I38,GameDuration,2,FALSE)</f>
        <v>105</v>
      </c>
      <c r="H38" s="13" t="s">
        <v>18</v>
      </c>
      <c r="I38" s="13" t="s">
        <v>10</v>
      </c>
      <c r="J38" s="13" t="str" cm="1">
        <f t="array" aca="1" ref="J38" ca="1">MID(CELL("filename",A17),FIND("]",CELL("filename",A17))+1,255)</f>
        <v>_244224</v>
      </c>
    </row>
    <row r="39" spans="1:10">
      <c r="A39" s="13" t="e">
        <f t="shared" si="12"/>
        <v>#VALUE!</v>
      </c>
      <c r="B39" s="13" t="str">
        <f t="shared" si="1"/>
        <v>8</v>
      </c>
      <c r="C39" s="13">
        <f t="shared" si="13"/>
        <v>3</v>
      </c>
      <c r="D39" s="13" t="str">
        <f t="shared" si="14"/>
        <v>2,3,4,5,6</v>
      </c>
      <c r="E39" s="13"/>
      <c r="F39" s="15">
        <f t="shared" si="7"/>
        <v>0.82291666666666663</v>
      </c>
      <c r="G39" s="13">
        <f t="shared" si="15"/>
        <v>105</v>
      </c>
      <c r="H39" s="13" t="s">
        <v>18</v>
      </c>
      <c r="I39" s="13" t="s">
        <v>10</v>
      </c>
      <c r="J39" s="13" t="str" cm="1">
        <f t="array" aca="1" ref="J39" ca="1">MID(CELL("filename",A18),FIND("]",CELL("filename",A18))+1,255)</f>
        <v>_244224</v>
      </c>
    </row>
  </sheetData>
  <mergeCells count="25">
    <mergeCell ref="B5:G5"/>
    <mergeCell ref="H5:M5"/>
    <mergeCell ref="B6:E6"/>
    <mergeCell ref="F6:I6"/>
    <mergeCell ref="J6:P6"/>
    <mergeCell ref="B2:I2"/>
    <mergeCell ref="J2:Q2"/>
    <mergeCell ref="B3:I3"/>
    <mergeCell ref="J3:Q3"/>
    <mergeCell ref="J4:P4"/>
    <mergeCell ref="B4:E4"/>
    <mergeCell ref="F4:I4"/>
    <mergeCell ref="B16:H16"/>
    <mergeCell ref="B17:G17"/>
    <mergeCell ref="B18:E18"/>
    <mergeCell ref="B19:E19"/>
    <mergeCell ref="B9:H9"/>
    <mergeCell ref="B13:I13"/>
    <mergeCell ref="B14:I14"/>
    <mergeCell ref="B7:H7"/>
    <mergeCell ref="I7:O7"/>
    <mergeCell ref="B8:I8"/>
    <mergeCell ref="J8:Q8"/>
    <mergeCell ref="B15:H15"/>
    <mergeCell ref="I9:O9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AAE05-99D8-487B-AABD-5C68246A6B8F}">
  <sheetPr codeName="Sheet43"/>
  <dimension ref="A1:Q38"/>
  <sheetViews>
    <sheetView zoomScale="85" zoomScaleNormal="85" workbookViewId="0">
      <pane ySplit="19" topLeftCell="A22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9" t="s">
        <v>7</v>
      </c>
      <c r="K3" s="60"/>
      <c r="L3" s="60"/>
      <c r="M3" s="60"/>
      <c r="N3" s="60"/>
      <c r="O3" s="60"/>
      <c r="P3" s="60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38" t="s">
        <v>9</v>
      </c>
      <c r="I6" s="39"/>
      <c r="J6" s="39"/>
      <c r="K6" s="39"/>
      <c r="L6" s="39"/>
      <c r="M6" s="4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3" t="s">
        <v>7</v>
      </c>
      <c r="K8" s="54"/>
      <c r="L8" s="54"/>
      <c r="M8" s="54"/>
      <c r="N8" s="54"/>
      <c r="O8" s="54"/>
      <c r="P8" s="54"/>
      <c r="Q8" s="55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_244240</v>
      </c>
      <c r="L22" s="10" t="s">
        <v>6</v>
      </c>
      <c r="M22" s="10">
        <f>COUNTIF(I$22:I$100,L22)</f>
        <v>2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_244240</v>
      </c>
      <c r="L23" s="10" t="s">
        <v>7</v>
      </c>
      <c r="M23" s="10">
        <f t="shared" ref="M23:M28" si="6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_244240</v>
      </c>
      <c r="L24" s="10" t="s">
        <v>10</v>
      </c>
      <c r="M24" s="10">
        <f t="shared" si="6"/>
        <v>4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_244240</v>
      </c>
      <c r="L25" s="10" t="s">
        <v>11</v>
      </c>
      <c r="M25" s="10">
        <f t="shared" si="6"/>
        <v>2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_244240</v>
      </c>
      <c r="L26" s="10" t="s">
        <v>9</v>
      </c>
      <c r="M26" s="10">
        <f t="shared" si="6"/>
        <v>4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_244240</v>
      </c>
      <c r="L27" s="10" t="s">
        <v>12</v>
      </c>
      <c r="M27" s="10">
        <f t="shared" si="6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_244240</v>
      </c>
      <c r="L28" s="10" t="s">
        <v>13</v>
      </c>
      <c r="M28" s="10">
        <f t="shared" si="6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_244240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_244240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_244240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_244240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_244240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_244240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7</v>
      </c>
      <c r="J35" s="13" t="str" cm="1">
        <f t="array" aca="1" ref="J35" ca="1">MID(CELL("filename",A14),FIND("]",CELL("filename",A14))+1,255)</f>
        <v>_244240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3" t="s">
        <v>10</v>
      </c>
      <c r="J36" s="13" t="str" cm="1">
        <f t="array" aca="1" ref="J36" ca="1">MID(CELL("filename",A15),FIND("]",CELL("filename",A15))+1,255)</f>
        <v>_244240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3" t="s">
        <v>10</v>
      </c>
      <c r="J37" s="13" t="str" cm="1">
        <f t="array" aca="1" ref="J37" ca="1">MID(CELL("filename",A16),FIND("]",CELL("filename",A16))+1,255)</f>
        <v>_244240</v>
      </c>
    </row>
    <row r="38" spans="1:10">
      <c r="J38" s="13"/>
    </row>
  </sheetData>
  <mergeCells count="23">
    <mergeCell ref="B15:H15"/>
    <mergeCell ref="B16:H16"/>
    <mergeCell ref="B17:G17"/>
    <mergeCell ref="B18:E18"/>
    <mergeCell ref="B19:E19"/>
    <mergeCell ref="B13:I13"/>
    <mergeCell ref="B14:I14"/>
    <mergeCell ref="B5:G5"/>
    <mergeCell ref="H5:M5"/>
    <mergeCell ref="B7:H7"/>
    <mergeCell ref="I7:O7"/>
    <mergeCell ref="B6:G6"/>
    <mergeCell ref="H6:M6"/>
    <mergeCell ref="B8:I8"/>
    <mergeCell ref="J8:Q8"/>
    <mergeCell ref="B9:H9"/>
    <mergeCell ref="I9:O9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3BE47-87EA-499E-AEB7-AD0735DD3756}">
  <sheetPr codeName="Sheet22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A22" sqref="A22:J3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  <c r="I6" s="56" t="s">
        <v>11</v>
      </c>
      <c r="J6" s="57"/>
      <c r="K6" s="57"/>
      <c r="L6" s="57"/>
      <c r="M6" s="57"/>
      <c r="N6" s="57"/>
      <c r="O6" s="58"/>
    </row>
    <row r="7" spans="1:17" ht="15" thickBot="1">
      <c r="A7" s="10" t="s">
        <v>98</v>
      </c>
      <c r="B7" s="67" t="s">
        <v>10</v>
      </c>
      <c r="C7" s="68"/>
      <c r="D7" s="68"/>
      <c r="E7" s="68"/>
      <c r="F7" s="68"/>
      <c r="G7" s="68"/>
      <c r="H7" s="69"/>
      <c r="I7" s="67" t="s">
        <v>10</v>
      </c>
      <c r="J7" s="68"/>
      <c r="K7" s="68"/>
      <c r="L7" s="68"/>
      <c r="M7" s="68"/>
      <c r="N7" s="68"/>
      <c r="O7" s="69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3" t="s">
        <v>7</v>
      </c>
      <c r="K8" s="54"/>
      <c r="L8" s="54"/>
      <c r="M8" s="54"/>
      <c r="N8" s="54"/>
      <c r="O8" s="54"/>
      <c r="P8" s="54"/>
      <c r="Q8" s="55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4</v>
      </c>
      <c r="L16" s="10">
        <f t="shared" si="0"/>
        <v>4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_244420</v>
      </c>
      <c r="L22" s="10" t="s">
        <v>6</v>
      </c>
      <c r="M22" s="10">
        <f>COUNTIF(I$22:I$100,L22)</f>
        <v>2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_244420</v>
      </c>
      <c r="L23" s="10" t="s">
        <v>7</v>
      </c>
      <c r="M23" s="10">
        <f t="shared" ref="M23:M28" si="6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_244420</v>
      </c>
      <c r="L24" s="10" t="s">
        <v>10</v>
      </c>
      <c r="M24" s="10">
        <f t="shared" si="6"/>
        <v>4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_244420</v>
      </c>
      <c r="L25" s="10" t="s">
        <v>11</v>
      </c>
      <c r="M25" s="10">
        <f t="shared" si="6"/>
        <v>4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_244420</v>
      </c>
      <c r="L26" s="10" t="s">
        <v>9</v>
      </c>
      <c r="M26" s="10">
        <f t="shared" si="6"/>
        <v>2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_244420</v>
      </c>
      <c r="L27" s="10" t="s">
        <v>12</v>
      </c>
      <c r="M27" s="10">
        <f t="shared" si="6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_244420</v>
      </c>
      <c r="L28" s="10" t="s">
        <v>13</v>
      </c>
      <c r="M28" s="10">
        <f t="shared" si="6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_244420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_244420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_244420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_244420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_244420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_244420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7</v>
      </c>
      <c r="J35" s="13" t="str" cm="1">
        <f t="array" aca="1" ref="J35" ca="1">MID(CELL("filename",A14),FIND("]",CELL("filename",A14))+1,255)</f>
        <v>_244420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3" t="s">
        <v>10</v>
      </c>
      <c r="J36" s="13" t="str" cm="1">
        <f t="array" aca="1" ref="J36" ca="1">MID(CELL("filename",A15),FIND("]",CELL("filename",A15))+1,255)</f>
        <v>_244420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3" t="s">
        <v>10</v>
      </c>
      <c r="J37" s="13" t="str" cm="1">
        <f t="array" aca="1" ref="J37" ca="1">MID(CELL("filename",A16),FIND("]",CELL("filename",A16))+1,255)</f>
        <v>_244420</v>
      </c>
    </row>
    <row r="38" spans="1:10">
      <c r="J38" s="13"/>
    </row>
  </sheetData>
  <mergeCells count="23">
    <mergeCell ref="B2:I2"/>
    <mergeCell ref="J2:Q2"/>
    <mergeCell ref="B3:I3"/>
    <mergeCell ref="J3:Q3"/>
    <mergeCell ref="B4:H4"/>
    <mergeCell ref="I4:O4"/>
    <mergeCell ref="B5:G5"/>
    <mergeCell ref="H5:M5"/>
    <mergeCell ref="B6:H6"/>
    <mergeCell ref="I6:O6"/>
    <mergeCell ref="B7:H7"/>
    <mergeCell ref="I7:O7"/>
    <mergeCell ref="B9:H9"/>
    <mergeCell ref="B8:I8"/>
    <mergeCell ref="J8:Q8"/>
    <mergeCell ref="B13:I13"/>
    <mergeCell ref="B14:I14"/>
    <mergeCell ref="I9:O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14654-678A-4EC9-A9FC-283D6F60D487}">
  <sheetPr codeName="Sheet44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M26" sqref="M26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66" t="s">
        <v>9</v>
      </c>
      <c r="C5" s="64"/>
      <c r="D5" s="64"/>
      <c r="E5" s="64"/>
      <c r="F5" s="64"/>
      <c r="G5" s="65"/>
      <c r="H5" s="66" t="s">
        <v>9</v>
      </c>
      <c r="I5" s="64"/>
      <c r="J5" s="64"/>
      <c r="K5" s="64"/>
      <c r="L5" s="64"/>
      <c r="M5" s="65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56" t="s">
        <v>11</v>
      </c>
      <c r="I6" s="75"/>
      <c r="J6" s="75"/>
      <c r="K6" s="75"/>
      <c r="L6" s="75"/>
      <c r="M6" s="75"/>
      <c r="N6" s="76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70" t="s">
        <v>10</v>
      </c>
      <c r="J7" s="71"/>
      <c r="K7" s="71"/>
      <c r="L7" s="71"/>
      <c r="M7" s="71"/>
      <c r="N7" s="71"/>
      <c r="O7" s="72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3" t="s">
        <v>7</v>
      </c>
      <c r="K8" s="54"/>
      <c r="L8" s="54"/>
      <c r="M8" s="54"/>
      <c r="N8" s="54"/>
      <c r="O8" s="54"/>
      <c r="P8" s="54"/>
      <c r="Q8" s="55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3</v>
      </c>
      <c r="L16" s="10">
        <f t="shared" si="0"/>
        <v>3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3</v>
      </c>
      <c r="L17" s="10">
        <f t="shared" si="0"/>
        <v>3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_244330</v>
      </c>
      <c r="L22" s="10" t="s">
        <v>6</v>
      </c>
      <c r="M22" s="10">
        <f>COUNTIF(I$22:I$100,L22)</f>
        <v>2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_244330</v>
      </c>
      <c r="L23" s="10" t="s">
        <v>7</v>
      </c>
      <c r="M23" s="10">
        <f t="shared" ref="M23:M28" si="6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_244330</v>
      </c>
      <c r="L24" s="10" t="s">
        <v>10</v>
      </c>
      <c r="M24" s="10">
        <f t="shared" si="6"/>
        <v>4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_244330</v>
      </c>
      <c r="L25" s="10" t="s">
        <v>11</v>
      </c>
      <c r="M25" s="10">
        <f t="shared" si="6"/>
        <v>3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_244330</v>
      </c>
      <c r="L26" s="10" t="s">
        <v>9</v>
      </c>
      <c r="M26" s="10">
        <f t="shared" si="6"/>
        <v>3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_244330</v>
      </c>
      <c r="L27" s="10" t="s">
        <v>12</v>
      </c>
      <c r="M27" s="10">
        <f t="shared" si="6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_244330</v>
      </c>
      <c r="L28" s="10" t="s">
        <v>13</v>
      </c>
      <c r="M28" s="10">
        <f t="shared" si="6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_244330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_244330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_244330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_244330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_244330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_244330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7</v>
      </c>
      <c r="J35" s="13" t="str" cm="1">
        <f t="array" aca="1" ref="J35" ca="1">MID(CELL("filename",A14),FIND("]",CELL("filename",A14))+1,255)</f>
        <v>_244330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3" t="s">
        <v>10</v>
      </c>
      <c r="J36" s="13" t="str" cm="1">
        <f t="array" aca="1" ref="J36" ca="1">MID(CELL("filename",A15),FIND("]",CELL("filename",A15))+1,255)</f>
        <v>_244330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3" t="s">
        <v>10</v>
      </c>
      <c r="J37" s="13" t="str" cm="1">
        <f t="array" aca="1" ref="J37" ca="1">MID(CELL("filename",A16),FIND("]",CELL("filename",A16))+1,255)</f>
        <v>_244330</v>
      </c>
    </row>
    <row r="38" spans="1:10">
      <c r="J38" s="13"/>
    </row>
  </sheetData>
  <mergeCells count="23">
    <mergeCell ref="B15:H15"/>
    <mergeCell ref="B16:H16"/>
    <mergeCell ref="B17:G17"/>
    <mergeCell ref="B18:E18"/>
    <mergeCell ref="B19:E19"/>
    <mergeCell ref="B13:I13"/>
    <mergeCell ref="B14:I14"/>
    <mergeCell ref="B5:G5"/>
    <mergeCell ref="H5:M5"/>
    <mergeCell ref="B7:H7"/>
    <mergeCell ref="I7:O7"/>
    <mergeCell ref="B6:G6"/>
    <mergeCell ref="H6:N6"/>
    <mergeCell ref="B8:I8"/>
    <mergeCell ref="J8:Q8"/>
    <mergeCell ref="B9:H9"/>
    <mergeCell ref="I9:O9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3231E-6B4B-452D-B598-A2F9F76FBEBD}">
  <sheetPr codeName="Sheet25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J36" sqref="J36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77"/>
      <c r="I5" s="78"/>
      <c r="J5" s="78"/>
      <c r="K5" s="78"/>
      <c r="L5" s="78"/>
      <c r="M5" s="79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24"/>
      <c r="I6" s="25"/>
      <c r="J6" s="26"/>
      <c r="K6" s="26"/>
      <c r="L6" s="26"/>
      <c r="M6" s="26"/>
      <c r="N6" s="26"/>
      <c r="O6" s="24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3" t="s">
        <v>7</v>
      </c>
      <c r="K8" s="54"/>
      <c r="L8" s="54"/>
      <c r="M8" s="54"/>
      <c r="N8" s="54"/>
      <c r="O8" s="54"/>
      <c r="P8" s="54"/>
      <c r="Q8" s="55"/>
    </row>
    <row r="9" spans="1:17" ht="15" thickBot="1">
      <c r="A9" s="10" t="s">
        <v>18</v>
      </c>
      <c r="B9" s="53" t="s">
        <v>7</v>
      </c>
      <c r="C9" s="54"/>
      <c r="D9" s="54"/>
      <c r="E9" s="54"/>
      <c r="F9" s="54"/>
      <c r="G9" s="54"/>
      <c r="H9" s="54"/>
      <c r="I9" s="55"/>
      <c r="J9" s="53" t="s">
        <v>7</v>
      </c>
      <c r="K9" s="54"/>
      <c r="L9" s="54"/>
      <c r="M9" s="54"/>
      <c r="N9" s="54"/>
      <c r="O9" s="54"/>
      <c r="P9" s="54"/>
      <c r="Q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6</v>
      </c>
      <c r="L14" s="10">
        <f t="shared" si="0"/>
        <v>6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2</v>
      </c>
      <c r="L15" s="10">
        <f t="shared" si="0"/>
        <v>2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28" si="2">VLOOKUP(I22,league_id,2,FALSE)</f>
        <v>1</v>
      </c>
      <c r="D22" s="13" t="str">
        <f t="shared" ref="D22:D28" si="3">VLOOKUP(H22,slot_compat,3,FALSE)</f>
        <v>2,3</v>
      </c>
      <c r="E22" s="13"/>
      <c r="F22" s="15">
        <v>0.75</v>
      </c>
      <c r="G22" s="13">
        <f t="shared" ref="G22:G28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_262220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28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_262220</v>
      </c>
      <c r="L23" s="10" t="s">
        <v>7</v>
      </c>
      <c r="M23" s="10">
        <f t="shared" si="5"/>
        <v>6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_262220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_262220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_262220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_262220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_262220</v>
      </c>
      <c r="L28" s="10" t="s">
        <v>13</v>
      </c>
      <c r="M28" s="10">
        <f t="shared" si="5"/>
        <v>0</v>
      </c>
    </row>
    <row r="29" spans="1:16">
      <c r="A29" s="13" t="e">
        <f t="shared" ref="A29:A35" si="8">A28+1</f>
        <v>#VALUE!</v>
      </c>
      <c r="B29" s="13" t="str">
        <f t="shared" si="1"/>
        <v>5</v>
      </c>
      <c r="C29" s="13">
        <f t="shared" ref="C29:C35" si="9">VLOOKUP(I29,league_id,2,FALSE)</f>
        <v>5</v>
      </c>
      <c r="D29" s="13">
        <f t="shared" ref="D29:D35" si="10">VLOOKUP(H29,slot_compat,3,FALSE)</f>
        <v>5</v>
      </c>
      <c r="E29" s="13"/>
      <c r="F29" s="15">
        <f t="shared" si="7"/>
        <v>0.75</v>
      </c>
      <c r="G29" s="13">
        <f t="shared" ref="G29:G35" si="11">VLOOKUP(I29,GameDuration,2,FALSE)</f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_262220</v>
      </c>
    </row>
    <row r="30" spans="1:16">
      <c r="A30" s="13" t="e">
        <f t="shared" si="8"/>
        <v>#VALUE!</v>
      </c>
      <c r="B30" s="13" t="str">
        <f t="shared" si="1"/>
        <v>6</v>
      </c>
      <c r="C30" s="13">
        <f t="shared" si="9"/>
        <v>3</v>
      </c>
      <c r="D30" s="13" t="str">
        <f t="shared" si="10"/>
        <v>4,5,6,1</v>
      </c>
      <c r="E30" s="13"/>
      <c r="F30" s="15">
        <f t="shared" si="7"/>
        <v>0.75</v>
      </c>
      <c r="G30" s="13">
        <f t="shared" si="11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_262220</v>
      </c>
    </row>
    <row r="31" spans="1:16">
      <c r="A31" s="13" t="e">
        <f t="shared" si="8"/>
        <v>#VALUE!</v>
      </c>
      <c r="B31" s="13" t="str">
        <f t="shared" si="1"/>
        <v>6</v>
      </c>
      <c r="C31" s="13">
        <f t="shared" si="9"/>
        <v>3</v>
      </c>
      <c r="D31" s="13" t="str">
        <f t="shared" si="10"/>
        <v>4,5,6,1</v>
      </c>
      <c r="E31" s="13"/>
      <c r="F31" s="15">
        <f t="shared" si="7"/>
        <v>0.82291666666666663</v>
      </c>
      <c r="G31" s="13">
        <f t="shared" si="11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_262220</v>
      </c>
    </row>
    <row r="32" spans="1:16">
      <c r="A32" s="13" t="e">
        <f t="shared" si="8"/>
        <v>#VALUE!</v>
      </c>
      <c r="B32" s="13" t="str">
        <f t="shared" si="1"/>
        <v>7</v>
      </c>
      <c r="C32" s="13">
        <f t="shared" si="9"/>
        <v>2</v>
      </c>
      <c r="D32" s="13" t="str">
        <f t="shared" si="10"/>
        <v>2,3,4,5,6</v>
      </c>
      <c r="E32" s="13"/>
      <c r="F32" s="15">
        <f t="shared" si="7"/>
        <v>0.75</v>
      </c>
      <c r="G32" s="13">
        <f t="shared" si="11"/>
        <v>120</v>
      </c>
      <c r="H32" s="13" t="s">
        <v>17</v>
      </c>
      <c r="I32" s="13" t="s">
        <v>7</v>
      </c>
      <c r="J32" s="13" t="str" cm="1">
        <f t="array" aca="1" ref="J32" ca="1">MID(CELL("filename",A11),FIND("]",CELL("filename",A11))+1,255)</f>
        <v>_262220</v>
      </c>
    </row>
    <row r="33" spans="1:10">
      <c r="A33" s="13" t="e">
        <f t="shared" si="8"/>
        <v>#VALUE!</v>
      </c>
      <c r="B33" s="13" t="str">
        <f t="shared" si="1"/>
        <v>7</v>
      </c>
      <c r="C33" s="13">
        <f t="shared" si="9"/>
        <v>2</v>
      </c>
      <c r="D33" s="13" t="str">
        <f t="shared" si="10"/>
        <v>2,3,4,5,6</v>
      </c>
      <c r="E33" s="13"/>
      <c r="F33" s="15">
        <f t="shared" si="7"/>
        <v>0.83333333333333337</v>
      </c>
      <c r="G33" s="13">
        <f t="shared" si="11"/>
        <v>120</v>
      </c>
      <c r="H33" s="13" t="s">
        <v>17</v>
      </c>
      <c r="I33" s="13" t="s">
        <v>7</v>
      </c>
      <c r="J33" s="13" t="str" cm="1">
        <f t="array" aca="1" ref="J33" ca="1">MID(CELL("filename",A12),FIND("]",CELL("filename",A12))+1,255)</f>
        <v>_262220</v>
      </c>
    </row>
    <row r="34" spans="1:10">
      <c r="A34" s="13" t="e">
        <f t="shared" si="8"/>
        <v>#VALUE!</v>
      </c>
      <c r="B34" s="13" t="str">
        <f t="shared" si="1"/>
        <v>8</v>
      </c>
      <c r="C34" s="13">
        <f t="shared" si="9"/>
        <v>2</v>
      </c>
      <c r="D34" s="13" t="str">
        <f t="shared" si="10"/>
        <v>2,3,4,5,6</v>
      </c>
      <c r="E34" s="13"/>
      <c r="F34" s="15">
        <f t="shared" si="7"/>
        <v>0.75</v>
      </c>
      <c r="G34" s="13">
        <f t="shared" si="11"/>
        <v>120</v>
      </c>
      <c r="H34" s="13" t="s">
        <v>18</v>
      </c>
      <c r="I34" s="13" t="s">
        <v>7</v>
      </c>
      <c r="J34" s="13" t="str" cm="1">
        <f t="array" aca="1" ref="J34" ca="1">MID(CELL("filename",A13),FIND("]",CELL("filename",A13))+1,255)</f>
        <v>_262220</v>
      </c>
    </row>
    <row r="35" spans="1:10">
      <c r="A35" s="13" t="e">
        <f t="shared" si="8"/>
        <v>#VALUE!</v>
      </c>
      <c r="B35" s="13" t="str">
        <f t="shared" si="1"/>
        <v>8</v>
      </c>
      <c r="C35" s="13">
        <f t="shared" si="9"/>
        <v>2</v>
      </c>
      <c r="D35" s="13" t="str">
        <f t="shared" si="10"/>
        <v>2,3,4,5,6</v>
      </c>
      <c r="E35" s="13"/>
      <c r="F35" s="15">
        <f t="shared" si="7"/>
        <v>0.83333333333333337</v>
      </c>
      <c r="G35" s="13">
        <f t="shared" si="11"/>
        <v>120</v>
      </c>
      <c r="H35" s="13" t="s">
        <v>18</v>
      </c>
      <c r="I35" s="13" t="s">
        <v>7</v>
      </c>
      <c r="J35" s="13" t="str" cm="1">
        <f t="array" aca="1" ref="J35" ca="1">MID(CELL("filename",A14),FIND("]",CELL("filename",A14))+1,255)</f>
        <v>_262220</v>
      </c>
    </row>
    <row r="36" spans="1:10">
      <c r="J36" s="13"/>
    </row>
    <row r="37" spans="1:10">
      <c r="J37" s="13"/>
    </row>
    <row r="38" spans="1:10">
      <c r="J38" s="13"/>
    </row>
  </sheetData>
  <mergeCells count="22">
    <mergeCell ref="B2:I2"/>
    <mergeCell ref="J2:Q2"/>
    <mergeCell ref="B3:I3"/>
    <mergeCell ref="J3:Q3"/>
    <mergeCell ref="B4:H4"/>
    <mergeCell ref="I4:O4"/>
    <mergeCell ref="B14:I14"/>
    <mergeCell ref="B5:G5"/>
    <mergeCell ref="H5:M5"/>
    <mergeCell ref="B6:G6"/>
    <mergeCell ref="B7:H7"/>
    <mergeCell ref="I7:O7"/>
    <mergeCell ref="B8:I8"/>
    <mergeCell ref="J8:Q8"/>
    <mergeCell ref="B9:I9"/>
    <mergeCell ref="J9:Q9"/>
    <mergeCell ref="B13:I13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3CB4-B942-44C6-BE3C-F0DD5626936C}">
  <sheetPr codeName="Sheet26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38" t="s">
        <v>9</v>
      </c>
      <c r="I6" s="39"/>
      <c r="J6" s="39"/>
      <c r="K6" s="39"/>
      <c r="L6" s="39"/>
      <c r="M6" s="40"/>
      <c r="N6" s="26"/>
      <c r="O6" s="24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3" t="s">
        <v>7</v>
      </c>
      <c r="K8" s="54"/>
      <c r="L8" s="54"/>
      <c r="M8" s="54"/>
      <c r="N8" s="54"/>
      <c r="O8" s="54"/>
      <c r="P8" s="54"/>
      <c r="Q8" s="55"/>
    </row>
    <row r="9" spans="1:17" ht="15" thickBot="1">
      <c r="A9" s="10" t="s">
        <v>18</v>
      </c>
      <c r="B9" s="53" t="s">
        <v>7</v>
      </c>
      <c r="C9" s="54"/>
      <c r="D9" s="54"/>
      <c r="E9" s="54"/>
      <c r="F9" s="54"/>
      <c r="G9" s="54"/>
      <c r="H9" s="54"/>
      <c r="I9" s="55"/>
      <c r="J9" s="53" t="s">
        <v>7</v>
      </c>
      <c r="K9" s="54"/>
      <c r="L9" s="54"/>
      <c r="M9" s="54"/>
      <c r="N9" s="54"/>
      <c r="O9" s="54"/>
      <c r="P9" s="54"/>
      <c r="Q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2</v>
      </c>
      <c r="L13" s="10">
        <f t="shared" ref="L13:L18" si="0">COUNTIF($B$2:$CS$9,B13)</f>
        <v>2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6</v>
      </c>
      <c r="L14" s="10">
        <f t="shared" si="0"/>
        <v>6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2</v>
      </c>
      <c r="L15" s="10">
        <f t="shared" si="0"/>
        <v>2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0.75</v>
      </c>
      <c r="G22" s="13">
        <f t="shared" ref="G2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_262240</v>
      </c>
      <c r="L22" s="10" t="s">
        <v>6</v>
      </c>
      <c r="M22" s="10">
        <f t="shared" ref="M22:M28" si="5">COUNTIF(I$22:I$96,L22)</f>
        <v>2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ref="C23:C37" si="7">VLOOKUP(I23,league_id,2,FALSE)</f>
        <v>1</v>
      </c>
      <c r="D23" s="13" t="str">
        <f t="shared" ref="D23:D37" si="8">VLOOKUP(H23,slot_compat,3,FALSE)</f>
        <v>2,3</v>
      </c>
      <c r="E23" s="13"/>
      <c r="F23" s="15">
        <f>IF(B23&lt;&gt;B22,F$22,F22+G22/60/24)</f>
        <v>0.83333333333333337</v>
      </c>
      <c r="G23" s="13">
        <f t="shared" ref="G23:G37" si="9">VLOOKUP(I23,GameDuration,2,FALSE)</f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_262240</v>
      </c>
      <c r="L23" s="10" t="s">
        <v>7</v>
      </c>
      <c r="M23" s="10">
        <f t="shared" si="5"/>
        <v>6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7"/>
        <v>2</v>
      </c>
      <c r="D24" s="13" t="str">
        <f t="shared" si="8"/>
        <v>1,3</v>
      </c>
      <c r="E24" s="13"/>
      <c r="F24" s="15">
        <f t="shared" ref="F24:F37" si="10">IF(B24&lt;&gt;B23,F$22,F23+G23/60/24)</f>
        <v>0.75</v>
      </c>
      <c r="G24" s="13">
        <f t="shared" si="9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_262240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7"/>
        <v>2</v>
      </c>
      <c r="D25" s="13" t="str">
        <f t="shared" si="8"/>
        <v>1,3</v>
      </c>
      <c r="E25" s="13"/>
      <c r="F25" s="15">
        <f t="shared" si="10"/>
        <v>0.83333333333333337</v>
      </c>
      <c r="G25" s="13">
        <f t="shared" si="9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_262240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7"/>
        <v>4</v>
      </c>
      <c r="D26" s="13" t="str">
        <f t="shared" si="8"/>
        <v>5,6</v>
      </c>
      <c r="E26" s="13"/>
      <c r="F26" s="15">
        <f t="shared" si="10"/>
        <v>0.75</v>
      </c>
      <c r="G26" s="13">
        <f t="shared" si="9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_262240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7"/>
        <v>4</v>
      </c>
      <c r="D27" s="13" t="str">
        <f t="shared" si="8"/>
        <v>5,6</v>
      </c>
      <c r="E27" s="13"/>
      <c r="F27" s="15">
        <f t="shared" si="10"/>
        <v>0.82291666666666663</v>
      </c>
      <c r="G27" s="13">
        <f t="shared" si="9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_262240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7"/>
        <v>5</v>
      </c>
      <c r="D28" s="13" t="str">
        <f t="shared" si="8"/>
        <v>6,7</v>
      </c>
      <c r="E28" s="13"/>
      <c r="F28" s="15">
        <f t="shared" si="10"/>
        <v>0.75</v>
      </c>
      <c r="G28" s="13">
        <f t="shared" si="9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_262240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7"/>
        <v>5</v>
      </c>
      <c r="D29" s="13" t="str">
        <f t="shared" si="8"/>
        <v>6,7</v>
      </c>
      <c r="E29" s="13"/>
      <c r="F29" s="15">
        <f t="shared" si="10"/>
        <v>0.8125</v>
      </c>
      <c r="G29" s="13">
        <f t="shared" si="9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_262240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7"/>
        <v>5</v>
      </c>
      <c r="D30" s="13">
        <f t="shared" si="8"/>
        <v>5</v>
      </c>
      <c r="E30" s="13"/>
      <c r="F30" s="15">
        <f t="shared" si="10"/>
        <v>0.75</v>
      </c>
      <c r="G30" s="13">
        <f t="shared" si="9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_262240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7"/>
        <v>5</v>
      </c>
      <c r="D31" s="13">
        <f t="shared" si="8"/>
        <v>5</v>
      </c>
      <c r="E31" s="13"/>
      <c r="F31" s="15">
        <f t="shared" si="10"/>
        <v>0.8125</v>
      </c>
      <c r="G31" s="13">
        <f t="shared" si="9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_262240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7"/>
        <v>3</v>
      </c>
      <c r="D32" s="13" t="str">
        <f t="shared" si="8"/>
        <v>4,5,6,1</v>
      </c>
      <c r="E32" s="13"/>
      <c r="F32" s="15">
        <f t="shared" si="10"/>
        <v>0.75</v>
      </c>
      <c r="G32" s="13">
        <f t="shared" si="9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_262240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7"/>
        <v>3</v>
      </c>
      <c r="D33" s="13" t="str">
        <f t="shared" si="8"/>
        <v>4,5,6,1</v>
      </c>
      <c r="E33" s="13"/>
      <c r="F33" s="15">
        <f t="shared" si="10"/>
        <v>0.82291666666666663</v>
      </c>
      <c r="G33" s="13">
        <f t="shared" si="9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_262240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7"/>
        <v>2</v>
      </c>
      <c r="D34" s="13" t="str">
        <f t="shared" si="8"/>
        <v>2,3,4,5,6</v>
      </c>
      <c r="E34" s="13"/>
      <c r="F34" s="15">
        <f t="shared" si="10"/>
        <v>0.75</v>
      </c>
      <c r="G34" s="13">
        <f t="shared" si="9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_262240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7"/>
        <v>2</v>
      </c>
      <c r="D35" s="13" t="str">
        <f t="shared" si="8"/>
        <v>2,3,4,5,6</v>
      </c>
      <c r="E35" s="13"/>
      <c r="F35" s="15">
        <f t="shared" si="10"/>
        <v>0.83333333333333337</v>
      </c>
      <c r="G35" s="13">
        <f t="shared" si="9"/>
        <v>120</v>
      </c>
      <c r="H35" s="13" t="s">
        <v>17</v>
      </c>
      <c r="I35" s="13" t="s">
        <v>7</v>
      </c>
      <c r="J35" s="13" t="str" cm="1">
        <f t="array" aca="1" ref="J35" ca="1">MID(CELL("filename",A14),FIND("]",CELL("filename",A14))+1,255)</f>
        <v>_262240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7"/>
        <v>2</v>
      </c>
      <c r="D36" s="13" t="str">
        <f t="shared" si="8"/>
        <v>2,3,4,5,6</v>
      </c>
      <c r="E36" s="13"/>
      <c r="F36" s="15">
        <f t="shared" si="10"/>
        <v>0.75</v>
      </c>
      <c r="G36" s="13">
        <f t="shared" si="9"/>
        <v>120</v>
      </c>
      <c r="H36" s="13" t="s">
        <v>18</v>
      </c>
      <c r="I36" s="13" t="s">
        <v>7</v>
      </c>
      <c r="J36" s="13" t="str" cm="1">
        <f t="array" aca="1" ref="J36" ca="1">MID(CELL("filename",A15),FIND("]",CELL("filename",A15))+1,255)</f>
        <v>_262240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7"/>
        <v>2</v>
      </c>
      <c r="D37" s="13" t="str">
        <f t="shared" si="8"/>
        <v>2,3,4,5,6</v>
      </c>
      <c r="E37" s="13"/>
      <c r="F37" s="15">
        <f t="shared" si="10"/>
        <v>0.83333333333333337</v>
      </c>
      <c r="G37" s="13">
        <f t="shared" si="9"/>
        <v>120</v>
      </c>
      <c r="H37" s="13" t="s">
        <v>18</v>
      </c>
      <c r="I37" s="13" t="s">
        <v>7</v>
      </c>
      <c r="J37" s="13" t="str" cm="1">
        <f t="array" aca="1" ref="J37" ca="1">MID(CELL("filename",A16),FIND("]",CELL("filename",A16))+1,255)</f>
        <v>_262240</v>
      </c>
    </row>
    <row r="38" spans="1:10">
      <c r="J38" s="13"/>
    </row>
  </sheetData>
  <mergeCells count="23">
    <mergeCell ref="B2:I2"/>
    <mergeCell ref="J2:Q2"/>
    <mergeCell ref="B3:I3"/>
    <mergeCell ref="J3:Q3"/>
    <mergeCell ref="B4:H4"/>
    <mergeCell ref="I4:O4"/>
    <mergeCell ref="B5:G5"/>
    <mergeCell ref="H5:M5"/>
    <mergeCell ref="B6:G6"/>
    <mergeCell ref="B7:H7"/>
    <mergeCell ref="I7:O7"/>
    <mergeCell ref="B17:G17"/>
    <mergeCell ref="B18:E18"/>
    <mergeCell ref="B19:E19"/>
    <mergeCell ref="H6:M6"/>
    <mergeCell ref="B9:I9"/>
    <mergeCell ref="J9:Q9"/>
    <mergeCell ref="B13:I13"/>
    <mergeCell ref="B14:I14"/>
    <mergeCell ref="B15:H15"/>
    <mergeCell ref="B16:H16"/>
    <mergeCell ref="B8:I8"/>
    <mergeCell ref="J8:Q8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00989-54CB-4885-A4B5-B3900F741572}">
  <sheetPr codeName="Sheet46"/>
  <dimension ref="A1:Q39"/>
  <sheetViews>
    <sheetView zoomScale="85" zoomScaleNormal="85" workbookViewId="0">
      <pane ySplit="19" topLeftCell="A21" activePane="bottomLeft" state="frozen"/>
      <selection activeCell="J22" sqref="J22:J38"/>
      <selection pane="bottomLeft" activeCell="O27" sqref="O2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62"/>
      <c r="K4" s="62"/>
      <c r="L4" s="62"/>
      <c r="M4" s="62"/>
      <c r="N4" s="62"/>
      <c r="O4" s="63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41" t="s">
        <v>12</v>
      </c>
      <c r="C6" s="42"/>
      <c r="D6" s="42"/>
      <c r="E6" s="43"/>
      <c r="F6" s="41" t="s">
        <v>12</v>
      </c>
      <c r="G6" s="42"/>
      <c r="H6" s="42"/>
      <c r="I6" s="43"/>
      <c r="J6" s="56" t="s">
        <v>11</v>
      </c>
      <c r="K6" s="57"/>
      <c r="L6" s="57"/>
      <c r="M6" s="57"/>
      <c r="N6" s="57"/>
      <c r="O6" s="57"/>
      <c r="P6" s="58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41" t="s">
        <v>12</v>
      </c>
      <c r="C9" s="42"/>
      <c r="D9" s="42"/>
      <c r="E9" s="43"/>
      <c r="F9" s="41" t="s">
        <v>12</v>
      </c>
      <c r="G9" s="42"/>
      <c r="H9" s="42"/>
      <c r="I9" s="43"/>
      <c r="J9" s="56" t="s">
        <v>11</v>
      </c>
      <c r="K9" s="57"/>
      <c r="L9" s="57"/>
      <c r="M9" s="57"/>
      <c r="N9" s="57"/>
      <c r="O9" s="57"/>
      <c r="P9" s="58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3</v>
      </c>
      <c r="L13" s="10">
        <f t="shared" ref="L13:L18" si="0">COUNTIF($B$2:$CS$9,B13)</f>
        <v>3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3</v>
      </c>
      <c r="L14" s="10">
        <f t="shared" si="0"/>
        <v>3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2</v>
      </c>
      <c r="L15" s="10">
        <f t="shared" si="0"/>
        <v>2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4</v>
      </c>
      <c r="L16" s="10">
        <f t="shared" si="0"/>
        <v>4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4</v>
      </c>
      <c r="L18" s="10">
        <f t="shared" si="0"/>
        <v>4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_332424</v>
      </c>
      <c r="L22" s="10" t="s">
        <v>6</v>
      </c>
      <c r="M22" s="10">
        <f t="shared" ref="M22:M28" si="5">COUNTIF(I$22:I$96,L22)</f>
        <v>3</v>
      </c>
      <c r="P22" s="30"/>
    </row>
    <row r="23" spans="1:16">
      <c r="A23" s="13" t="e">
        <f t="shared" ref="A23:A39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_332424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_332424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_332424</v>
      </c>
      <c r="L25" s="10" t="s">
        <v>11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_332424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_332424</v>
      </c>
      <c r="L27" s="10" t="s">
        <v>12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_332424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_332424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6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60</v>
      </c>
      <c r="H30" s="13" t="s">
        <v>15</v>
      </c>
      <c r="I30" s="13" t="s">
        <v>12</v>
      </c>
      <c r="J30" s="13" t="str" cm="1">
        <f t="array" aca="1" ref="J30" ca="1">MID(CELL("filename",A9),FIND("]",CELL("filename",A9))+1,255)</f>
        <v>_332424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6</v>
      </c>
      <c r="D31" s="13">
        <f t="shared" si="3"/>
        <v>5</v>
      </c>
      <c r="E31" s="13"/>
      <c r="F31" s="15">
        <f t="shared" si="7"/>
        <v>0.79166666666666663</v>
      </c>
      <c r="G31" s="13">
        <f t="shared" si="4"/>
        <v>60</v>
      </c>
      <c r="H31" s="13" t="s">
        <v>15</v>
      </c>
      <c r="I31" s="13" t="s">
        <v>12</v>
      </c>
      <c r="J31" s="13" t="str" cm="1">
        <f t="array" aca="1" ref="J31" ca="1">MID(CELL("filename",A10),FIND("]",CELL("filename",A10))+1,255)</f>
        <v>_332424</v>
      </c>
    </row>
    <row r="32" spans="1:16">
      <c r="A32" s="13" t="e">
        <f t="shared" si="6"/>
        <v>#VALUE!</v>
      </c>
      <c r="B32" s="13" t="str">
        <f t="shared" si="1"/>
        <v>5</v>
      </c>
      <c r="C32" s="13">
        <f t="shared" si="2"/>
        <v>4</v>
      </c>
      <c r="D32" s="13">
        <f t="shared" si="3"/>
        <v>5</v>
      </c>
      <c r="E32" s="13"/>
      <c r="F32" s="15">
        <f t="shared" si="7"/>
        <v>0.83333333333333326</v>
      </c>
      <c r="G32" s="13">
        <f t="shared" si="4"/>
        <v>105</v>
      </c>
      <c r="H32" s="13" t="s">
        <v>15</v>
      </c>
      <c r="I32" s="13" t="s">
        <v>11</v>
      </c>
      <c r="J32" s="13" t="str" cm="1">
        <f t="array" aca="1" ref="J32" ca="1">MID(CELL("filename",A11),FIND("]",CELL("filename",A11))+1,255)</f>
        <v>_332424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0.75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_332424</v>
      </c>
    </row>
    <row r="34" spans="1:10">
      <c r="A34" s="13" t="e">
        <f t="shared" si="6"/>
        <v>#VALUE!</v>
      </c>
      <c r="B34" s="13" t="str">
        <f t="shared" si="1"/>
        <v>6</v>
      </c>
      <c r="C34" s="13">
        <f t="shared" si="2"/>
        <v>3</v>
      </c>
      <c r="D34" s="13" t="str">
        <f t="shared" si="3"/>
        <v>4,5,6,1</v>
      </c>
      <c r="E34" s="13"/>
      <c r="F34" s="15">
        <f t="shared" si="7"/>
        <v>0.82291666666666663</v>
      </c>
      <c r="G34" s="13">
        <f t="shared" si="4"/>
        <v>105</v>
      </c>
      <c r="H34" s="13" t="s">
        <v>16</v>
      </c>
      <c r="I34" s="13" t="s">
        <v>10</v>
      </c>
      <c r="J34" s="13" t="str" cm="1">
        <f t="array" aca="1" ref="J34" ca="1">MID(CELL("filename",A13),FIND("]",CELL("filename",A13))+1,255)</f>
        <v>_332424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0.75</v>
      </c>
      <c r="G35" s="13">
        <f t="shared" si="4"/>
        <v>120</v>
      </c>
      <c r="H35" s="13" t="s">
        <v>17</v>
      </c>
      <c r="I35" s="13" t="s">
        <v>7</v>
      </c>
      <c r="J35" s="13" t="str" cm="1">
        <f t="array" aca="1" ref="J35" ca="1">MID(CELL("filename",A14),FIND("]",CELL("filename",A14))+1,255)</f>
        <v>_332424</v>
      </c>
    </row>
    <row r="36" spans="1:10">
      <c r="A36" s="13" t="e">
        <f t="shared" si="6"/>
        <v>#VALUE!</v>
      </c>
      <c r="B36" s="13" t="str">
        <f t="shared" ref="B36:B39" si="8">VLOOKUP(H36,field_id,2,FALSE)</f>
        <v>7</v>
      </c>
      <c r="C36" s="13">
        <f t="shared" ref="C36:C39" si="9">VLOOKUP(I36,league_id,2,FALSE)</f>
        <v>1</v>
      </c>
      <c r="D36" s="13" t="str">
        <f t="shared" ref="D36:D39" si="10">VLOOKUP(H36,slot_compat,3,FALSE)</f>
        <v>2,3,4,5,6</v>
      </c>
      <c r="E36" s="13"/>
      <c r="F36" s="15">
        <f t="shared" ref="F36:F39" si="11">IF(B36&lt;&gt;B35,F$22,F35+G35/60/24)</f>
        <v>0.83333333333333337</v>
      </c>
      <c r="G36" s="13">
        <f t="shared" ref="G36:G39" si="12">VLOOKUP(I36,GameDuration,2,FALSE)</f>
        <v>120</v>
      </c>
      <c r="H36" s="13" t="s">
        <v>17</v>
      </c>
      <c r="I36" s="12" t="s">
        <v>6</v>
      </c>
      <c r="J36" s="13" t="str" cm="1">
        <f t="array" aca="1" ref="J36" ca="1">MID(CELL("filename",A15),FIND("]",CELL("filename",A15))+1,255)</f>
        <v>_332424</v>
      </c>
    </row>
    <row r="37" spans="1:10">
      <c r="A37" s="13" t="e">
        <f t="shared" si="6"/>
        <v>#VALUE!</v>
      </c>
      <c r="B37" s="13" t="str">
        <f t="shared" si="8"/>
        <v>8</v>
      </c>
      <c r="C37" s="13">
        <f t="shared" si="9"/>
        <v>6</v>
      </c>
      <c r="D37" s="13" t="str">
        <f t="shared" si="10"/>
        <v>2,3,4,5,6</v>
      </c>
      <c r="E37" s="13"/>
      <c r="F37" s="15">
        <f t="shared" si="11"/>
        <v>0.75</v>
      </c>
      <c r="G37" s="13">
        <f t="shared" si="12"/>
        <v>60</v>
      </c>
      <c r="H37" s="12" t="s">
        <v>18</v>
      </c>
      <c r="I37" s="12" t="s">
        <v>12</v>
      </c>
      <c r="J37" s="13" t="str" cm="1">
        <f t="array" aca="1" ref="J37" ca="1">MID(CELL("filename",A16),FIND("]",CELL("filename",A16))+1,255)</f>
        <v>_332424</v>
      </c>
    </row>
    <row r="38" spans="1:10">
      <c r="A38" s="13" t="e">
        <f t="shared" si="6"/>
        <v>#VALUE!</v>
      </c>
      <c r="B38" s="13" t="str">
        <f t="shared" si="8"/>
        <v>8</v>
      </c>
      <c r="C38" s="13">
        <f t="shared" si="9"/>
        <v>6</v>
      </c>
      <c r="D38" s="13" t="str">
        <f t="shared" si="10"/>
        <v>2,3,4,5,6</v>
      </c>
      <c r="E38" s="13"/>
      <c r="F38" s="15">
        <f t="shared" si="11"/>
        <v>0.79166666666666663</v>
      </c>
      <c r="G38" s="13">
        <f t="shared" si="12"/>
        <v>60</v>
      </c>
      <c r="H38" s="12" t="s">
        <v>18</v>
      </c>
      <c r="I38" s="12" t="s">
        <v>12</v>
      </c>
      <c r="J38" s="13" t="str" cm="1">
        <f t="array" aca="1" ref="J38" ca="1">MID(CELL("filename",A17),FIND("]",CELL("filename",A17))+1,255)</f>
        <v>_332424</v>
      </c>
    </row>
    <row r="39" spans="1:10">
      <c r="A39" s="13" t="e">
        <f t="shared" si="6"/>
        <v>#VALUE!</v>
      </c>
      <c r="B39" s="13" t="str">
        <f t="shared" si="8"/>
        <v>8</v>
      </c>
      <c r="C39" s="13">
        <f t="shared" si="9"/>
        <v>4</v>
      </c>
      <c r="D39" s="13" t="str">
        <f t="shared" si="10"/>
        <v>2,3,4,5,6</v>
      </c>
      <c r="E39" s="13"/>
      <c r="F39" s="15">
        <f t="shared" si="11"/>
        <v>0.83333333333333326</v>
      </c>
      <c r="G39" s="13">
        <f t="shared" si="12"/>
        <v>105</v>
      </c>
      <c r="H39" s="12" t="s">
        <v>18</v>
      </c>
      <c r="I39" s="12" t="s">
        <v>11</v>
      </c>
      <c r="J39" s="13" t="str" cm="1">
        <f t="array" aca="1" ref="J39" ca="1">MID(CELL("filename",A18),FIND("]",CELL("filename",A18))+1,255)</f>
        <v>_332424</v>
      </c>
    </row>
  </sheetData>
  <mergeCells count="25">
    <mergeCell ref="B17:G17"/>
    <mergeCell ref="B18:E18"/>
    <mergeCell ref="B19:E19"/>
    <mergeCell ref="H5:M5"/>
    <mergeCell ref="B6:E6"/>
    <mergeCell ref="F6:I6"/>
    <mergeCell ref="J6:P6"/>
    <mergeCell ref="B9:E9"/>
    <mergeCell ref="F9:I9"/>
    <mergeCell ref="J9:P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495B5-0D2F-4614-A508-600219ACE3C9}">
  <sheetPr codeName="Sheet27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J36" sqref="J36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25"/>
      <c r="I5" s="26"/>
      <c r="J5" s="26"/>
      <c r="K5" s="26"/>
      <c r="L5" s="26"/>
      <c r="M5" s="24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3</v>
      </c>
      <c r="L13" s="10">
        <f t="shared" ref="L13:L18" si="0">COUNTIF($B$2:$CS$9,B13)</f>
        <v>3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3</v>
      </c>
      <c r="L14" s="10">
        <f t="shared" si="0"/>
        <v>3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_334220</v>
      </c>
      <c r="L22" s="10" t="s">
        <v>6</v>
      </c>
      <c r="M22" s="10">
        <f t="shared" ref="M22:M28" si="5">COUNTIF(I$22:I$96,L22)</f>
        <v>3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_334220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_334220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_334220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_334220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_334220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_334220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_334220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_334220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_334220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7</v>
      </c>
      <c r="J32" s="13" t="str" cm="1">
        <f t="array" aca="1" ref="J32" ca="1">MID(CELL("filename",A11),FIND("]",CELL("filename",A11))+1,255)</f>
        <v>_334220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_334220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18</v>
      </c>
      <c r="I34" s="13" t="s">
        <v>10</v>
      </c>
      <c r="J34" s="13" t="str" cm="1">
        <f t="array" aca="1" ref="J34" ca="1">MID(CELL("filename",A13),FIND("]",CELL("filename",A13))+1,255)</f>
        <v>_334220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105</v>
      </c>
      <c r="H35" s="13" t="s">
        <v>18</v>
      </c>
      <c r="I35" s="13" t="s">
        <v>10</v>
      </c>
      <c r="J35" s="13" t="str" cm="1">
        <f t="array" aca="1" ref="J35" ca="1">MID(CELL("filename",A14),FIND("]",CELL("filename",A14))+1,255)</f>
        <v>_334220</v>
      </c>
    </row>
    <row r="36" spans="1:10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>
      <c r="A37" s="13"/>
      <c r="B37" s="13"/>
      <c r="C37" s="13"/>
      <c r="D37" s="13"/>
      <c r="E37" s="13"/>
      <c r="F37" s="15"/>
      <c r="G37" s="13"/>
      <c r="H37" s="13"/>
      <c r="I37" s="13"/>
      <c r="J37" s="13"/>
    </row>
    <row r="38" spans="1:10">
      <c r="J38" s="13"/>
    </row>
  </sheetData>
  <mergeCells count="21">
    <mergeCell ref="B5:G5"/>
    <mergeCell ref="B6:G6"/>
    <mergeCell ref="B7:H7"/>
    <mergeCell ref="I7:O7"/>
    <mergeCell ref="B2:I2"/>
    <mergeCell ref="J2:Q2"/>
    <mergeCell ref="B3:I3"/>
    <mergeCell ref="J3:Q3"/>
    <mergeCell ref="B4:H4"/>
    <mergeCell ref="I4:O4"/>
    <mergeCell ref="B9:H9"/>
    <mergeCell ref="B8:I8"/>
    <mergeCell ref="J8:Q8"/>
    <mergeCell ref="B13:I13"/>
    <mergeCell ref="B14:I14"/>
    <mergeCell ref="I9:O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4E7AB-20B6-42E6-B099-2DCAC5631D0D}">
  <sheetPr codeName="Sheet7"/>
  <dimension ref="A1:Q38"/>
  <sheetViews>
    <sheetView topLeftCell="A2" zoomScale="85" zoomScaleNormal="85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9" t="s">
        <v>7</v>
      </c>
      <c r="K3" s="60"/>
      <c r="L3" s="60"/>
      <c r="M3" s="60"/>
      <c r="N3" s="60"/>
      <c r="O3" s="60"/>
      <c r="P3" s="60"/>
      <c r="Q3" s="61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66" t="s">
        <v>9</v>
      </c>
      <c r="C5" s="64"/>
      <c r="D5" s="64"/>
      <c r="E5" s="64"/>
      <c r="F5" s="64"/>
      <c r="G5" s="65"/>
      <c r="H5" s="66" t="s">
        <v>9</v>
      </c>
      <c r="I5" s="64"/>
      <c r="J5" s="64"/>
      <c r="K5" s="64"/>
      <c r="L5" s="64"/>
      <c r="M5" s="65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38" t="s">
        <v>9</v>
      </c>
      <c r="I6" s="39"/>
      <c r="J6" s="39"/>
      <c r="K6" s="39"/>
      <c r="L6" s="39"/>
      <c r="M6" s="4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3</v>
      </c>
      <c r="L13" s="10">
        <f t="shared" ref="L13:L18" si="0">COUNTIF($B$2:$CS$9,B13)</f>
        <v>3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3</v>
      </c>
      <c r="L14" s="10">
        <f t="shared" si="0"/>
        <v>3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_334240</v>
      </c>
      <c r="L22" s="10" t="s">
        <v>6</v>
      </c>
      <c r="M22" s="10">
        <f t="shared" ref="M22:M28" si="5">COUNTIF(I$22:I$96,L22)</f>
        <v>3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_334240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_334240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_334240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_334240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_334240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_334240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_334240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_334240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_334240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_334240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_334240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_334240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_334240</v>
      </c>
    </row>
    <row r="36" spans="1:10">
      <c r="A36" s="13" t="e">
        <f t="shared" si="6"/>
        <v>#VALUE!</v>
      </c>
      <c r="B36" s="13" t="str">
        <f t="shared" ref="B36:B37" si="8">VLOOKUP(H36,field_id,2,FALSE)</f>
        <v>8</v>
      </c>
      <c r="C36" s="13">
        <f t="shared" ref="C36:C37" si="9">VLOOKUP(I36,league_id,2,FALSE)</f>
        <v>3</v>
      </c>
      <c r="D36" s="13" t="str">
        <f t="shared" ref="D36:D37" si="10">VLOOKUP(H36,slot_compat,3,FALSE)</f>
        <v>2,3,4,5,6</v>
      </c>
      <c r="E36" s="13"/>
      <c r="F36" s="15">
        <f t="shared" ref="F36:F37" si="11">IF(B36&lt;&gt;B35,F$22,F35+G35/60/24)</f>
        <v>0.75</v>
      </c>
      <c r="G36" s="13">
        <f t="shared" ref="G36:G37" si="12">VLOOKUP(I36,GameDuration,2,FALSE)</f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_334240</v>
      </c>
    </row>
    <row r="37" spans="1:10">
      <c r="A37" s="13" t="e">
        <f t="shared" si="6"/>
        <v>#VALUE!</v>
      </c>
      <c r="B37" s="13" t="str">
        <f t="shared" si="8"/>
        <v>8</v>
      </c>
      <c r="C37" s="13">
        <f t="shared" si="9"/>
        <v>3</v>
      </c>
      <c r="D37" s="13" t="str">
        <f t="shared" si="10"/>
        <v>2,3,4,5,6</v>
      </c>
      <c r="E37" s="13"/>
      <c r="F37" s="15">
        <f t="shared" si="11"/>
        <v>0.82291666666666663</v>
      </c>
      <c r="G37" s="13">
        <f t="shared" si="12"/>
        <v>105</v>
      </c>
      <c r="H37" s="13" t="s">
        <v>18</v>
      </c>
      <c r="I37" s="12" t="s">
        <v>10</v>
      </c>
      <c r="J37" s="13" t="str" cm="1">
        <f t="array" aca="1" ref="J37" ca="1">MID(CELL("filename",A16),FIND("]",CELL("filename",A16))+1,255)</f>
        <v>_334240</v>
      </c>
    </row>
    <row r="38" spans="1:10">
      <c r="J38" s="13"/>
    </row>
  </sheetData>
  <mergeCells count="23">
    <mergeCell ref="B17:G17"/>
    <mergeCell ref="B18:E18"/>
    <mergeCell ref="B19:E19"/>
    <mergeCell ref="H5:M5"/>
    <mergeCell ref="H6:M6"/>
    <mergeCell ref="B9:H9"/>
    <mergeCell ref="I9:O9"/>
    <mergeCell ref="B13:I13"/>
    <mergeCell ref="B14:I14"/>
    <mergeCell ref="B15:H15"/>
    <mergeCell ref="B16:H16"/>
    <mergeCell ref="B5:G5"/>
    <mergeCell ref="B6:G6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honeticPr fontId="5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D827-75A8-4A32-919B-FFE48366AEB1}">
  <sheetPr codeName="Sheet8"/>
  <dimension ref="A1:Q38"/>
  <sheetViews>
    <sheetView workbookViewId="0">
      <selection activeCell="K18" sqref="K1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9" t="s">
        <v>7</v>
      </c>
      <c r="K3" s="60"/>
      <c r="L3" s="60"/>
      <c r="M3" s="60"/>
      <c r="N3" s="60"/>
      <c r="O3" s="60"/>
      <c r="P3" s="60"/>
      <c r="Q3" s="61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  <c r="I6" s="56" t="s">
        <v>11</v>
      </c>
      <c r="J6" s="57"/>
      <c r="K6" s="57"/>
      <c r="L6" s="57"/>
      <c r="M6" s="57"/>
      <c r="N6" s="57"/>
      <c r="O6" s="58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3</v>
      </c>
      <c r="L13" s="10">
        <f t="shared" ref="L13:L18" si="0">COUNTIF($B$2:$CS$9,B13)</f>
        <v>3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3</v>
      </c>
      <c r="L14" s="10">
        <f t="shared" si="0"/>
        <v>3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4</v>
      </c>
      <c r="L16" s="10">
        <f t="shared" si="0"/>
        <v>4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_334420</v>
      </c>
      <c r="L22" s="10" t="s">
        <v>6</v>
      </c>
      <c r="M22" s="10">
        <f t="shared" ref="M22:M28" si="5">COUNTIF(I$22:I$96,L22)</f>
        <v>3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_334420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_334420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_334420</v>
      </c>
      <c r="L25" s="10" t="s">
        <v>11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_334420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_334420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_334420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_334420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_334420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_334420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_334420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_334420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7</v>
      </c>
      <c r="J34" s="13" t="str" cm="1">
        <f t="array" aca="1" ref="J34" ca="1">MID(CELL("filename",A13),FIND("]",CELL("filename",A13))+1,255)</f>
        <v>_334420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_334420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_334420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2" t="s">
        <v>10</v>
      </c>
      <c r="J37" s="13" t="str" cm="1">
        <f t="array" aca="1" ref="J37" ca="1">MID(CELL("filename",A16),FIND("]",CELL("filename",A16))+1,255)</f>
        <v>_334420</v>
      </c>
    </row>
    <row r="38" spans="1:10">
      <c r="J38" s="13"/>
    </row>
  </sheetData>
  <mergeCells count="23">
    <mergeCell ref="B15:H15"/>
    <mergeCell ref="B16:H16"/>
    <mergeCell ref="B17:G17"/>
    <mergeCell ref="B18:E18"/>
    <mergeCell ref="B19:E19"/>
    <mergeCell ref="B13:I13"/>
    <mergeCell ref="B14:I14"/>
    <mergeCell ref="B5:G5"/>
    <mergeCell ref="H5:M5"/>
    <mergeCell ref="B7:H7"/>
    <mergeCell ref="I7:O7"/>
    <mergeCell ref="I6:O6"/>
    <mergeCell ref="B6:H6"/>
    <mergeCell ref="B8:I8"/>
    <mergeCell ref="J8:Q8"/>
    <mergeCell ref="B9:H9"/>
    <mergeCell ref="I9:O9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2A5-9745-4863-87DF-79BAEB0D549B}">
  <sheetPr codeName="Sheet33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F6" s="10"/>
    </row>
    <row r="7" spans="1:17" ht="15" thickBot="1">
      <c r="A7" s="10" t="s">
        <v>98</v>
      </c>
      <c r="B7" s="70" t="s">
        <v>10</v>
      </c>
      <c r="C7" s="71"/>
      <c r="D7" s="71"/>
      <c r="E7" s="71"/>
      <c r="F7" s="71"/>
      <c r="G7" s="71"/>
      <c r="H7" s="72"/>
      <c r="I7" s="70" t="s">
        <v>10</v>
      </c>
      <c r="J7" s="71"/>
      <c r="K7" s="71"/>
      <c r="L7" s="71"/>
      <c r="M7" s="71"/>
      <c r="N7" s="71"/>
      <c r="O7" s="72"/>
    </row>
    <row r="8" spans="1:17" ht="15" thickBot="1">
      <c r="A8" s="10" t="s">
        <v>17</v>
      </c>
      <c r="B8" s="53" t="s">
        <v>7</v>
      </c>
      <c r="C8" s="54"/>
      <c r="D8" s="54"/>
      <c r="E8" s="54"/>
      <c r="F8" s="54"/>
      <c r="G8" s="54"/>
      <c r="H8" s="54"/>
      <c r="I8" s="55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53" t="s">
        <v>7</v>
      </c>
      <c r="C9" s="54"/>
      <c r="D9" s="54"/>
      <c r="E9" s="54"/>
      <c r="F9" s="54"/>
      <c r="G9" s="54"/>
      <c r="H9" s="54"/>
      <c r="I9" s="55"/>
      <c r="J9" s="53" t="s">
        <v>7</v>
      </c>
      <c r="K9" s="54"/>
      <c r="L9" s="54"/>
      <c r="M9" s="54"/>
      <c r="N9" s="54"/>
      <c r="O9" s="54"/>
      <c r="P9" s="54"/>
      <c r="Q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3</v>
      </c>
      <c r="L13" s="10">
        <f t="shared" ref="L13:L18" si="0">COUNTIF($B$2:$CS$9,B13)</f>
        <v>3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5</v>
      </c>
      <c r="L14" s="10">
        <f t="shared" si="0"/>
        <v>5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2</v>
      </c>
      <c r="L15" s="10">
        <f t="shared" si="0"/>
        <v>2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_352220</v>
      </c>
      <c r="L22" s="10" t="s">
        <v>6</v>
      </c>
      <c r="M22" s="10">
        <f t="shared" ref="M22:M28" si="5">COUNTIF(I$22:I$96,L22)</f>
        <v>3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_352220</v>
      </c>
      <c r="L23" s="10" t="s">
        <v>7</v>
      </c>
      <c r="M23" s="10">
        <f t="shared" si="5"/>
        <v>5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_352220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_352220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_352220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_352220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_352220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_352220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_352220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_352220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7</v>
      </c>
      <c r="J32" s="13" t="str" cm="1">
        <f t="array" aca="1" ref="J32" ca="1">MID(CELL("filename",A11),FIND("]",CELL("filename",A11))+1,255)</f>
        <v>_352220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_352220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18</v>
      </c>
      <c r="I34" s="13" t="s">
        <v>7</v>
      </c>
      <c r="J34" s="13" t="str" cm="1">
        <f t="array" aca="1" ref="J34" ca="1">MID(CELL("filename",A13),FIND("]",CELL("filename",A13))+1,255)</f>
        <v>_352220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18</v>
      </c>
      <c r="I35" s="13" t="s">
        <v>7</v>
      </c>
      <c r="J35" s="13" t="str" cm="1">
        <f t="array" aca="1" ref="J35" ca="1">MID(CELL("filename",A14),FIND("]",CELL("filename",A14))+1,255)</f>
        <v>_352220</v>
      </c>
    </row>
    <row r="36" spans="1:10">
      <c r="J36" s="13"/>
    </row>
    <row r="37" spans="1:10">
      <c r="J37" s="13"/>
    </row>
    <row r="38" spans="1:10">
      <c r="J38" s="13"/>
    </row>
  </sheetData>
  <mergeCells count="21">
    <mergeCell ref="B2:I2"/>
    <mergeCell ref="J2:Q2"/>
    <mergeCell ref="B3:I3"/>
    <mergeCell ref="J3:Q3"/>
    <mergeCell ref="B4:H4"/>
    <mergeCell ref="I4:O4"/>
    <mergeCell ref="B5:G5"/>
    <mergeCell ref="H5:M5"/>
    <mergeCell ref="B7:H7"/>
    <mergeCell ref="I7:O7"/>
    <mergeCell ref="B8:I8"/>
    <mergeCell ref="J8:Q8"/>
    <mergeCell ref="B17:G17"/>
    <mergeCell ref="B18:E18"/>
    <mergeCell ref="B19:E19"/>
    <mergeCell ref="B9:I9"/>
    <mergeCell ref="J9:Q9"/>
    <mergeCell ref="B13:I13"/>
    <mergeCell ref="B14:I14"/>
    <mergeCell ref="B15:H15"/>
    <mergeCell ref="B16:H1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E404C-26E2-4C63-B513-7E09779DCECA}">
  <sheetPr codeName="Sheet48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K18" sqref="K1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  <c r="I6" s="56" t="s">
        <v>11</v>
      </c>
      <c r="J6" s="57"/>
      <c r="K6" s="57"/>
      <c r="L6" s="57"/>
      <c r="M6" s="57"/>
      <c r="N6" s="57"/>
      <c r="O6" s="58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38" t="s">
        <v>9</v>
      </c>
      <c r="C9" s="39"/>
      <c r="D9" s="39"/>
      <c r="E9" s="39"/>
      <c r="F9" s="39"/>
      <c r="G9" s="40"/>
      <c r="H9" s="38" t="s">
        <v>9</v>
      </c>
      <c r="I9" s="39"/>
      <c r="J9" s="39"/>
      <c r="K9" s="39"/>
      <c r="L9" s="39"/>
      <c r="M9" s="40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2</v>
      </c>
      <c r="L15" s="10">
        <f t="shared" si="0"/>
        <v>2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4</v>
      </c>
      <c r="L16" s="10">
        <f t="shared" si="0"/>
        <v>4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_422440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_422440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_422440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_422440</v>
      </c>
      <c r="L25" s="10" t="s">
        <v>11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_422440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_422440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_422440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_422440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_422440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_422440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_422440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_422440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_422440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_422440</v>
      </c>
    </row>
    <row r="36" spans="1:10">
      <c r="A36" s="13" t="e">
        <f t="shared" si="6"/>
        <v>#VALUE!</v>
      </c>
      <c r="B36" s="13" t="str">
        <f t="shared" ref="B36:B37" si="8">VLOOKUP(H36,field_id,2,FALSE)</f>
        <v>8</v>
      </c>
      <c r="C36" s="13">
        <f t="shared" ref="C36:C37" si="9">VLOOKUP(I36,league_id,2,FALSE)</f>
        <v>5</v>
      </c>
      <c r="D36" s="13" t="str">
        <f t="shared" ref="D36:D37" si="10">VLOOKUP(H36,slot_compat,3,FALSE)</f>
        <v>2,3,4,5,6</v>
      </c>
      <c r="E36" s="13"/>
      <c r="F36" s="15">
        <f t="shared" ref="F36:F37" si="11">IF(B36&lt;&gt;B35,F$22,F35+G35/60/24)</f>
        <v>0.75</v>
      </c>
      <c r="G36" s="13">
        <f t="shared" ref="G36:G37" si="12">VLOOKUP(I36,GameDuration,2,FALSE)</f>
        <v>90</v>
      </c>
      <c r="H36" s="13" t="s">
        <v>18</v>
      </c>
      <c r="I36" s="12" t="s">
        <v>9</v>
      </c>
      <c r="J36" s="13" t="str" cm="1">
        <f t="array" aca="1" ref="J36" ca="1">MID(CELL("filename",A15),FIND("]",CELL("filename",A15))+1,255)</f>
        <v>_422440</v>
      </c>
    </row>
    <row r="37" spans="1:10">
      <c r="A37" s="13" t="e">
        <f t="shared" si="6"/>
        <v>#VALUE!</v>
      </c>
      <c r="B37" s="13" t="str">
        <f t="shared" si="8"/>
        <v>8</v>
      </c>
      <c r="C37" s="13">
        <f t="shared" si="9"/>
        <v>5</v>
      </c>
      <c r="D37" s="13" t="str">
        <f t="shared" si="10"/>
        <v>2,3,4,5,6</v>
      </c>
      <c r="E37" s="13"/>
      <c r="F37" s="15">
        <f t="shared" si="11"/>
        <v>0.8125</v>
      </c>
      <c r="G37" s="13">
        <f t="shared" si="12"/>
        <v>90</v>
      </c>
      <c r="H37" s="13" t="s">
        <v>18</v>
      </c>
      <c r="I37" s="12" t="s">
        <v>9</v>
      </c>
      <c r="J37" s="13" t="str" cm="1">
        <f t="array" aca="1" ref="J37" ca="1">MID(CELL("filename",A16),FIND("]",CELL("filename",A16))+1,255)</f>
        <v>_422440</v>
      </c>
    </row>
    <row r="38" spans="1:10">
      <c r="J38" s="13"/>
    </row>
  </sheetData>
  <mergeCells count="23">
    <mergeCell ref="B17:G17"/>
    <mergeCell ref="B18:E18"/>
    <mergeCell ref="B19:E19"/>
    <mergeCell ref="H5:M5"/>
    <mergeCell ref="B6:H6"/>
    <mergeCell ref="I6:O6"/>
    <mergeCell ref="B9:G9"/>
    <mergeCell ref="H9:M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honeticPr fontId="5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E446-5C1B-4B3B-B958-79C65BFAF4B9}">
  <sheetPr codeName="Sheet35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Q41" sqref="Q41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_424220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_424220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_424220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_424220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_424220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_424220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_424220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_424220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_424220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_424220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6</v>
      </c>
      <c r="J32" s="13" t="str" cm="1">
        <f t="array" aca="1" ref="J32" ca="1">MID(CELL("filename",A11),FIND("]",CELL("filename",A11))+1,255)</f>
        <v>_424220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_424220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18</v>
      </c>
      <c r="I34" s="13" t="s">
        <v>10</v>
      </c>
      <c r="J34" s="13" t="str" cm="1">
        <f t="array" aca="1" ref="J34" ca="1">MID(CELL("filename",A13),FIND("]",CELL("filename",A13))+1,255)</f>
        <v>_424220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105</v>
      </c>
      <c r="H35" s="13" t="s">
        <v>18</v>
      </c>
      <c r="I35" s="13" t="s">
        <v>10</v>
      </c>
      <c r="J35" s="13" t="str" cm="1">
        <f t="array" aca="1" ref="J35" ca="1">MID(CELL("filename",A14),FIND("]",CELL("filename",A14))+1,255)</f>
        <v>_424220</v>
      </c>
    </row>
    <row r="36" spans="1:10">
      <c r="J36" s="13"/>
    </row>
    <row r="37" spans="1:10">
      <c r="J37" s="13"/>
    </row>
    <row r="38" spans="1:10">
      <c r="J38" s="13"/>
    </row>
  </sheetData>
  <mergeCells count="21">
    <mergeCell ref="B2:I2"/>
    <mergeCell ref="J2:Q2"/>
    <mergeCell ref="B3:I3"/>
    <mergeCell ref="J3:Q3"/>
    <mergeCell ref="B4:H4"/>
    <mergeCell ref="I4:O4"/>
    <mergeCell ref="B5:G5"/>
    <mergeCell ref="B7:H7"/>
    <mergeCell ref="I7:O7"/>
    <mergeCell ref="B8:I8"/>
    <mergeCell ref="J8:Q8"/>
    <mergeCell ref="I9:O9"/>
    <mergeCell ref="B13:I13"/>
    <mergeCell ref="B14:I14"/>
    <mergeCell ref="B15:H15"/>
    <mergeCell ref="B16:H16"/>
    <mergeCell ref="B17:G17"/>
    <mergeCell ref="B18:E18"/>
    <mergeCell ref="B19:E19"/>
    <mergeCell ref="B6:G6"/>
    <mergeCell ref="B9:H9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D161D-687D-46BF-9A92-07DAC1E26BD0}">
  <sheetPr codeName="Sheet10"/>
  <dimension ref="A1:Q38"/>
  <sheetViews>
    <sheetView zoomScale="85" zoomScaleNormal="85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62"/>
      <c r="K4" s="62"/>
      <c r="L4" s="62"/>
      <c r="M4" s="62"/>
      <c r="N4" s="62"/>
      <c r="O4" s="63"/>
    </row>
    <row r="5" spans="1:17" ht="15" thickBot="1">
      <c r="A5" s="10" t="s">
        <v>14</v>
      </c>
      <c r="B5" s="66" t="s">
        <v>9</v>
      </c>
      <c r="C5" s="64"/>
      <c r="D5" s="64"/>
      <c r="E5" s="64"/>
      <c r="F5" s="64"/>
      <c r="G5" s="65"/>
      <c r="H5" s="66" t="s">
        <v>9</v>
      </c>
      <c r="I5" s="64"/>
      <c r="J5" s="64"/>
      <c r="K5" s="64"/>
      <c r="L5" s="64"/>
      <c r="M5" s="65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38" t="s">
        <v>9</v>
      </c>
      <c r="I6" s="39"/>
      <c r="J6" s="39"/>
      <c r="K6" s="39"/>
      <c r="L6" s="39"/>
      <c r="M6" s="4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80" t="s">
        <v>6</v>
      </c>
      <c r="C8" s="81"/>
      <c r="D8" s="81"/>
      <c r="E8" s="81"/>
      <c r="F8" s="81"/>
      <c r="G8" s="81"/>
      <c r="H8" s="81"/>
      <c r="I8" s="8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70" t="s">
        <v>10</v>
      </c>
      <c r="C9" s="71"/>
      <c r="D9" s="71"/>
      <c r="E9" s="71"/>
      <c r="F9" s="71"/>
      <c r="G9" s="71"/>
      <c r="H9" s="72"/>
      <c r="I9" s="70" t="s">
        <v>10</v>
      </c>
      <c r="J9" s="36"/>
      <c r="K9" s="36"/>
      <c r="L9" s="36"/>
      <c r="M9" s="36"/>
      <c r="N9" s="36"/>
      <c r="O9" s="37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_424240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_424240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_424240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_424240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_424240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_424240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_424240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_424240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_424240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_424240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_424240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_424240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_424240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_424240</v>
      </c>
    </row>
    <row r="36" spans="1:10">
      <c r="A36" s="13" t="e">
        <f t="shared" si="6"/>
        <v>#VALUE!</v>
      </c>
      <c r="B36" s="13" t="str">
        <f t="shared" ref="B36:B37" si="8">VLOOKUP(H36,field_id,2,FALSE)</f>
        <v>8</v>
      </c>
      <c r="C36" s="13">
        <f t="shared" ref="C36:C37" si="9">VLOOKUP(I36,league_id,2,FALSE)</f>
        <v>3</v>
      </c>
      <c r="D36" s="13" t="str">
        <f t="shared" ref="D36:D37" si="10">VLOOKUP(H36,slot_compat,3,FALSE)</f>
        <v>2,3,4,5,6</v>
      </c>
      <c r="E36" s="13"/>
      <c r="F36" s="15">
        <f t="shared" ref="F36:F37" si="11">IF(B36&lt;&gt;B35,F$22,F35+G35/60/24)</f>
        <v>0.75</v>
      </c>
      <c r="G36" s="13">
        <f t="shared" ref="G36:G37" si="12">VLOOKUP(I36,GameDuration,2,FALSE)</f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_424240</v>
      </c>
    </row>
    <row r="37" spans="1:10">
      <c r="A37" s="13" t="e">
        <f t="shared" si="6"/>
        <v>#VALUE!</v>
      </c>
      <c r="B37" s="13" t="str">
        <f t="shared" si="8"/>
        <v>8</v>
      </c>
      <c r="C37" s="13">
        <f t="shared" si="9"/>
        <v>3</v>
      </c>
      <c r="D37" s="13" t="str">
        <f t="shared" si="10"/>
        <v>2,3,4,5,6</v>
      </c>
      <c r="E37" s="13"/>
      <c r="F37" s="15">
        <f t="shared" si="11"/>
        <v>0.82291666666666663</v>
      </c>
      <c r="G37" s="13">
        <f t="shared" si="12"/>
        <v>105</v>
      </c>
      <c r="H37" s="13" t="s">
        <v>18</v>
      </c>
      <c r="I37" s="12" t="s">
        <v>10</v>
      </c>
      <c r="J37" s="13" t="str" cm="1">
        <f t="array" aca="1" ref="J37" ca="1">MID(CELL("filename",A16),FIND("]",CELL("filename",A16))+1,255)</f>
        <v>_424240</v>
      </c>
    </row>
    <row r="38" spans="1:10">
      <c r="J38" s="13"/>
    </row>
  </sheetData>
  <mergeCells count="23">
    <mergeCell ref="B17:G17"/>
    <mergeCell ref="B18:E18"/>
    <mergeCell ref="B19:E19"/>
    <mergeCell ref="H5:M5"/>
    <mergeCell ref="H6:M6"/>
    <mergeCell ref="B9:H9"/>
    <mergeCell ref="I9:O9"/>
    <mergeCell ref="B13:I13"/>
    <mergeCell ref="B14:I14"/>
    <mergeCell ref="B15:H15"/>
    <mergeCell ref="B16:H16"/>
    <mergeCell ref="B5:G5"/>
    <mergeCell ref="B6:G6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F351-4E9C-49D6-B8CE-0651351931D9}">
  <sheetPr codeName="Sheet11"/>
  <dimension ref="A1:Q38"/>
  <sheetViews>
    <sheetView zoomScale="70" zoomScaleNormal="70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62"/>
      <c r="K4" s="62"/>
      <c r="L4" s="62"/>
      <c r="M4" s="62"/>
      <c r="N4" s="62"/>
      <c r="O4" s="63"/>
    </row>
    <row r="5" spans="1:17" ht="15" thickBot="1">
      <c r="A5" s="10" t="s">
        <v>14</v>
      </c>
      <c r="B5" s="66" t="s">
        <v>9</v>
      </c>
      <c r="C5" s="64"/>
      <c r="D5" s="64"/>
      <c r="E5" s="64"/>
      <c r="F5" s="64"/>
      <c r="G5" s="65"/>
      <c r="H5" s="66" t="s">
        <v>9</v>
      </c>
      <c r="I5" s="64"/>
      <c r="J5" s="64"/>
      <c r="K5" s="64"/>
      <c r="L5" s="64"/>
      <c r="M5" s="65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  <c r="I6" s="56" t="s">
        <v>11</v>
      </c>
      <c r="J6" s="57"/>
      <c r="K6" s="57"/>
      <c r="L6" s="57"/>
      <c r="M6" s="57"/>
      <c r="N6" s="57"/>
      <c r="O6" s="58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</row>
    <row r="10" spans="1:17">
      <c r="F10" s="10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2</v>
      </c>
      <c r="L14" s="10">
        <f t="shared" si="0"/>
        <v>2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4</v>
      </c>
      <c r="L15" s="10">
        <f t="shared" si="0"/>
        <v>4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4</v>
      </c>
      <c r="L16" s="10">
        <f t="shared" si="0"/>
        <v>4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_424420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_424420</v>
      </c>
      <c r="L23" s="10" t="s">
        <v>7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_424420</v>
      </c>
      <c r="L24" s="10" t="s">
        <v>10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_424420</v>
      </c>
      <c r="L25" s="10" t="s">
        <v>11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_424420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_424420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_424420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_424420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_424420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_424420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_424420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_424420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_424420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_424420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_424420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105</v>
      </c>
      <c r="H37" s="13" t="s">
        <v>18</v>
      </c>
      <c r="I37" s="12" t="s">
        <v>10</v>
      </c>
      <c r="J37" s="13" t="str" cm="1">
        <f t="array" aca="1" ref="J37" ca="1">MID(CELL("filename",A16),FIND("]",CELL("filename",A16))+1,255)</f>
        <v>_424420</v>
      </c>
    </row>
    <row r="38" spans="1:10">
      <c r="J38" s="13"/>
    </row>
  </sheetData>
  <mergeCells count="23">
    <mergeCell ref="B15:H15"/>
    <mergeCell ref="B16:H16"/>
    <mergeCell ref="B17:G17"/>
    <mergeCell ref="B18:E18"/>
    <mergeCell ref="B19:E19"/>
    <mergeCell ref="B13:I13"/>
    <mergeCell ref="B14:I14"/>
    <mergeCell ref="B5:G5"/>
    <mergeCell ref="H5:M5"/>
    <mergeCell ref="B7:H7"/>
    <mergeCell ref="I7:O7"/>
    <mergeCell ref="I6:O6"/>
    <mergeCell ref="B6:H6"/>
    <mergeCell ref="B8:I8"/>
    <mergeCell ref="J8:Q8"/>
    <mergeCell ref="B9:H9"/>
    <mergeCell ref="I9:O9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74F0-6CB9-4D12-BA54-F34ED0AEC106}">
  <sheetPr codeName="Sheet12"/>
  <dimension ref="A1:Q38"/>
  <sheetViews>
    <sheetView topLeftCell="A2" zoomScale="85" zoomScaleNormal="85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62"/>
      <c r="K4" s="62"/>
      <c r="L4" s="62"/>
      <c r="M4" s="62"/>
      <c r="N4" s="62"/>
      <c r="O4" s="63"/>
    </row>
    <row r="5" spans="1:17" ht="15" thickBot="1">
      <c r="A5" s="10" t="s">
        <v>14</v>
      </c>
      <c r="B5" s="66" t="s">
        <v>9</v>
      </c>
      <c r="C5" s="64"/>
      <c r="D5" s="64"/>
      <c r="E5" s="64"/>
      <c r="F5" s="64"/>
      <c r="G5" s="65"/>
      <c r="H5" s="66" t="s">
        <v>9</v>
      </c>
      <c r="I5" s="64"/>
      <c r="J5" s="64"/>
      <c r="K5" s="64"/>
      <c r="L5" s="64"/>
      <c r="M5" s="65"/>
    </row>
    <row r="6" spans="1:17" ht="15" thickBot="1">
      <c r="A6" s="10" t="s">
        <v>15</v>
      </c>
      <c r="B6" s="66" t="s">
        <v>9</v>
      </c>
      <c r="C6" s="64"/>
      <c r="D6" s="64"/>
      <c r="E6" s="64"/>
      <c r="F6" s="64"/>
      <c r="G6" s="65"/>
      <c r="H6" s="66" t="s">
        <v>9</v>
      </c>
      <c r="I6" s="64"/>
      <c r="J6" s="64"/>
      <c r="K6" s="64"/>
      <c r="L6" s="64"/>
      <c r="M6" s="65"/>
    </row>
    <row r="7" spans="1:17" ht="15" thickBot="1">
      <c r="A7" s="10" t="s">
        <v>98</v>
      </c>
      <c r="B7" s="70" t="s">
        <v>10</v>
      </c>
      <c r="C7" s="71"/>
      <c r="D7" s="71"/>
      <c r="E7" s="71"/>
      <c r="F7" s="71"/>
      <c r="G7" s="71"/>
      <c r="H7" s="72"/>
      <c r="I7" s="70" t="s">
        <v>10</v>
      </c>
      <c r="J7" s="71"/>
      <c r="K7" s="71"/>
      <c r="L7" s="71"/>
      <c r="M7" s="71"/>
      <c r="N7" s="71"/>
      <c r="O7" s="72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53" t="s">
        <v>7</v>
      </c>
      <c r="J9" s="54"/>
      <c r="K9" s="54"/>
      <c r="L9" s="54"/>
      <c r="M9" s="54"/>
      <c r="N9" s="54"/>
      <c r="O9" s="54"/>
      <c r="P9" s="55"/>
    </row>
    <row r="10" spans="1:17">
      <c r="F10" s="10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3</v>
      </c>
      <c r="L14" s="10">
        <f t="shared" si="0"/>
        <v>3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3</v>
      </c>
      <c r="L15" s="10">
        <f t="shared" si="0"/>
        <v>3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_433240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_433240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_433240</v>
      </c>
      <c r="L24" s="10" t="s">
        <v>10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_433240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_433240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_433240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_433240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_433240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_433240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_433240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_433240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_433240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_433240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_433240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105</v>
      </c>
      <c r="H36" s="13" t="s">
        <v>18</v>
      </c>
      <c r="I36" s="12" t="s">
        <v>10</v>
      </c>
      <c r="J36" s="13" t="str" cm="1">
        <f t="array" aca="1" ref="J36" ca="1">MID(CELL("filename",A15),FIND("]",CELL("filename",A15))+1,255)</f>
        <v>_433240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7"/>
        <v>0.82291666666666663</v>
      </c>
      <c r="G37" s="13">
        <f t="shared" si="4"/>
        <v>120</v>
      </c>
      <c r="H37" s="13" t="s">
        <v>18</v>
      </c>
      <c r="I37" s="12" t="s">
        <v>7</v>
      </c>
      <c r="J37" s="13" t="str" cm="1">
        <f t="array" aca="1" ref="J37" ca="1">MID(CELL("filename",A16),FIND("]",CELL("filename",A16))+1,255)</f>
        <v>_433240</v>
      </c>
    </row>
    <row r="38" spans="1:10">
      <c r="J38" s="13"/>
    </row>
  </sheetData>
  <mergeCells count="23">
    <mergeCell ref="B15:H15"/>
    <mergeCell ref="B16:H16"/>
    <mergeCell ref="B17:G17"/>
    <mergeCell ref="B18:E18"/>
    <mergeCell ref="B19:E19"/>
    <mergeCell ref="B13:I13"/>
    <mergeCell ref="B14:I14"/>
    <mergeCell ref="B5:G5"/>
    <mergeCell ref="H5:M5"/>
    <mergeCell ref="B7:H7"/>
    <mergeCell ref="I7:O7"/>
    <mergeCell ref="B6:G6"/>
    <mergeCell ref="H6:M6"/>
    <mergeCell ref="I9:P9"/>
    <mergeCell ref="B8:I8"/>
    <mergeCell ref="J8:Q8"/>
    <mergeCell ref="B9:H9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D8E0-3F59-4BCB-AD52-0AE610EB64AE}">
  <sheetPr codeName="Sheet37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J36" sqref="J36: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  <c r="P7" s="24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53" t="s">
        <v>7</v>
      </c>
      <c r="J9" s="54"/>
      <c r="K9" s="54"/>
      <c r="L9" s="54"/>
      <c r="M9" s="54"/>
      <c r="N9" s="54"/>
      <c r="O9" s="54"/>
      <c r="P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3</v>
      </c>
      <c r="L14" s="10">
        <f t="shared" si="0"/>
        <v>3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3</v>
      </c>
      <c r="L15" s="10">
        <f t="shared" si="0"/>
        <v>3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_433220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_433220</v>
      </c>
      <c r="L23" s="10" t="s">
        <v>7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_433220</v>
      </c>
      <c r="L24" s="10" t="s">
        <v>10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_433220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_433220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_433220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_433220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_433220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_433220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_433220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6</v>
      </c>
      <c r="J32" s="13" t="str" cm="1">
        <f t="array" aca="1" ref="J32" ca="1">MID(CELL("filename",A11),FIND("]",CELL("filename",A11))+1,255)</f>
        <v>_433220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_433220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105</v>
      </c>
      <c r="H34" s="13" t="s">
        <v>18</v>
      </c>
      <c r="I34" s="13" t="s">
        <v>10</v>
      </c>
      <c r="J34" s="13" t="str" cm="1">
        <f t="array" aca="1" ref="J34" ca="1">MID(CELL("filename",A13),FIND("]",CELL("filename",A13))+1,255)</f>
        <v>_433220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0.82291666666666663</v>
      </c>
      <c r="G35" s="13">
        <f t="shared" si="4"/>
        <v>120</v>
      </c>
      <c r="H35" s="13" t="s">
        <v>18</v>
      </c>
      <c r="I35" s="13" t="s">
        <v>7</v>
      </c>
      <c r="J35" s="13" t="str" cm="1">
        <f t="array" aca="1" ref="J35" ca="1">MID(CELL("filename",A14),FIND("]",CELL("filename",A14))+1,255)</f>
        <v>_433220</v>
      </c>
    </row>
    <row r="36" spans="1:10">
      <c r="J36" s="13"/>
    </row>
    <row r="37" spans="1:10">
      <c r="J37" s="13"/>
    </row>
    <row r="38" spans="1:10">
      <c r="J38" s="13"/>
    </row>
  </sheetData>
  <mergeCells count="21">
    <mergeCell ref="B5:G5"/>
    <mergeCell ref="B6:G6"/>
    <mergeCell ref="B7:H7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I7:O7"/>
    <mergeCell ref="B8:I8"/>
    <mergeCell ref="J8:Q8"/>
    <mergeCell ref="B9:H9"/>
    <mergeCell ref="I9:P9"/>
    <mergeCell ref="B13:I13"/>
    <mergeCell ref="B14:I14"/>
    <mergeCell ref="B15:H15"/>
    <mergeCell ref="B16:H16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50BCF-8201-47E0-B97F-2E06A949ED7B}">
  <sheetPr codeName="Sheet29"/>
  <dimension ref="A1:Q38"/>
  <sheetViews>
    <sheetView zoomScale="85" zoomScaleNormal="85" workbookViewId="0">
      <pane ySplit="19" topLeftCell="A29" activePane="bottomLeft" state="frozen"/>
      <selection activeCell="J22" sqref="J22:J38"/>
      <selection pane="bottomLeft" activeCell="J36" sqref="J36:J39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53" t="s">
        <v>7</v>
      </c>
      <c r="C9" s="54"/>
      <c r="D9" s="54"/>
      <c r="E9" s="54"/>
      <c r="F9" s="54"/>
      <c r="G9" s="54"/>
      <c r="H9" s="54"/>
      <c r="I9" s="55"/>
      <c r="J9" s="53" t="s">
        <v>7</v>
      </c>
      <c r="K9" s="54"/>
      <c r="L9" s="54"/>
      <c r="M9" s="54"/>
      <c r="N9" s="54"/>
      <c r="O9" s="54"/>
      <c r="P9" s="54"/>
      <c r="Q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2</v>
      </c>
      <c r="L15" s="10">
        <f t="shared" si="0"/>
        <v>2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_442220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_442220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_442220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_442220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_442220</v>
      </c>
      <c r="L26" s="10" t="s">
        <v>9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_442220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_442220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7"/>
        <v>0.75</v>
      </c>
      <c r="G29" s="13">
        <f t="shared" si="4"/>
        <v>90</v>
      </c>
      <c r="H29" s="13" t="s">
        <v>15</v>
      </c>
      <c r="I29" s="13" t="s">
        <v>9</v>
      </c>
      <c r="J29" s="13" t="str" cm="1">
        <f t="array" aca="1" ref="J29" ca="1">MID(CELL("filename",A8),FIND("]",CELL("filename",A8))+1,255)</f>
        <v>_442220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7"/>
        <v>0.75</v>
      </c>
      <c r="G30" s="13">
        <f t="shared" si="4"/>
        <v>105</v>
      </c>
      <c r="H30" s="13" t="s">
        <v>16</v>
      </c>
      <c r="I30" s="13" t="s">
        <v>10</v>
      </c>
      <c r="J30" s="13" t="str" cm="1">
        <f t="array" aca="1" ref="J30" ca="1">MID(CELL("filename",A9),FIND("]",CELL("filename",A9))+1,255)</f>
        <v>_442220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7"/>
        <v>0.82291666666666663</v>
      </c>
      <c r="G31" s="13">
        <f t="shared" si="4"/>
        <v>105</v>
      </c>
      <c r="H31" s="13" t="s">
        <v>16</v>
      </c>
      <c r="I31" s="13" t="s">
        <v>10</v>
      </c>
      <c r="J31" s="13" t="str" cm="1">
        <f t="array" aca="1" ref="J31" ca="1">MID(CELL("filename",A10),FIND("]",CELL("filename",A10))+1,255)</f>
        <v>_442220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7"/>
        <v>0.75</v>
      </c>
      <c r="G32" s="13">
        <f t="shared" si="4"/>
        <v>120</v>
      </c>
      <c r="H32" s="13" t="s">
        <v>17</v>
      </c>
      <c r="I32" s="13" t="s">
        <v>6</v>
      </c>
      <c r="J32" s="13" t="str" cm="1">
        <f t="array" aca="1" ref="J32" ca="1">MID(CELL("filename",A11),FIND("]",CELL("filename",A11))+1,255)</f>
        <v>_442220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7"/>
        <v>0.83333333333333337</v>
      </c>
      <c r="G33" s="13">
        <f t="shared" si="4"/>
        <v>120</v>
      </c>
      <c r="H33" s="13" t="s">
        <v>17</v>
      </c>
      <c r="I33" s="13" t="s">
        <v>6</v>
      </c>
      <c r="J33" s="13" t="str" cm="1">
        <f t="array" aca="1" ref="J33" ca="1">MID(CELL("filename",A12),FIND("]",CELL("filename",A12))+1,255)</f>
        <v>_442220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18</v>
      </c>
      <c r="I34" s="13" t="s">
        <v>7</v>
      </c>
      <c r="J34" s="13" t="str" cm="1">
        <f t="array" aca="1" ref="J34" ca="1">MID(CELL("filename",A13),FIND("]",CELL("filename",A13))+1,255)</f>
        <v>_442220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18</v>
      </c>
      <c r="I35" s="13" t="s">
        <v>7</v>
      </c>
      <c r="J35" s="13" t="str" cm="1">
        <f t="array" aca="1" ref="J35" ca="1">MID(CELL("filename",A14),FIND("]",CELL("filename",A14))+1,255)</f>
        <v>_442220</v>
      </c>
    </row>
    <row r="36" spans="1:10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>
      <c r="A37" s="13"/>
      <c r="B37" s="13"/>
      <c r="C37" s="13"/>
      <c r="D37" s="13"/>
      <c r="E37" s="13"/>
      <c r="F37" s="15"/>
      <c r="G37" s="13"/>
      <c r="H37" s="13"/>
      <c r="I37" s="13"/>
      <c r="J37" s="13"/>
    </row>
    <row r="38" spans="1:10">
      <c r="J38" s="13"/>
    </row>
  </sheetData>
  <mergeCells count="21">
    <mergeCell ref="B13:I13"/>
    <mergeCell ref="B14:I14"/>
    <mergeCell ref="B5:G5"/>
    <mergeCell ref="I7:O7"/>
    <mergeCell ref="B2:I2"/>
    <mergeCell ref="J2:Q2"/>
    <mergeCell ref="B3:I3"/>
    <mergeCell ref="J3:Q3"/>
    <mergeCell ref="B4:H4"/>
    <mergeCell ref="I4:O4"/>
    <mergeCell ref="B6:G6"/>
    <mergeCell ref="B7:H7"/>
    <mergeCell ref="B8:I8"/>
    <mergeCell ref="J8:Q8"/>
    <mergeCell ref="B9:I9"/>
    <mergeCell ref="J9:Q9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E1ED-6F28-40D4-B9B3-E2E0DC056AE5}">
  <sheetPr codeName="Sheet13"/>
  <dimension ref="A1:Q38"/>
  <sheetViews>
    <sheetView topLeftCell="A2" zoomScale="85" zoomScaleNormal="85" workbookViewId="0">
      <selection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9" t="s">
        <v>7</v>
      </c>
      <c r="K3" s="60"/>
      <c r="L3" s="60"/>
      <c r="M3" s="60"/>
      <c r="N3" s="60"/>
      <c r="O3" s="60"/>
      <c r="P3" s="60"/>
      <c r="Q3" s="61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66" t="s">
        <v>9</v>
      </c>
      <c r="C5" s="64"/>
      <c r="D5" s="64"/>
      <c r="E5" s="64"/>
      <c r="F5" s="64"/>
      <c r="G5" s="65"/>
      <c r="H5" s="66" t="s">
        <v>9</v>
      </c>
      <c r="I5" s="64"/>
      <c r="J5" s="64"/>
      <c r="K5" s="64"/>
      <c r="L5" s="64"/>
      <c r="M5" s="65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38" t="s">
        <v>9</v>
      </c>
      <c r="I6" s="39"/>
      <c r="J6" s="39"/>
      <c r="K6" s="39"/>
      <c r="L6" s="39"/>
      <c r="M6" s="40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53" t="s">
        <v>7</v>
      </c>
      <c r="C9" s="54"/>
      <c r="D9" s="54"/>
      <c r="E9" s="54"/>
      <c r="F9" s="54"/>
      <c r="G9" s="54"/>
      <c r="H9" s="54"/>
      <c r="I9" s="55"/>
      <c r="J9" s="53" t="s">
        <v>7</v>
      </c>
      <c r="K9" s="54"/>
      <c r="L9" s="54"/>
      <c r="M9" s="54"/>
      <c r="N9" s="54"/>
      <c r="O9" s="54"/>
      <c r="P9" s="54"/>
      <c r="Q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2</v>
      </c>
      <c r="L15" s="10">
        <f t="shared" si="0"/>
        <v>2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2</v>
      </c>
      <c r="L16" s="10">
        <f t="shared" si="0"/>
        <v>2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_442240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_442240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_442240</v>
      </c>
      <c r="L24" s="10" t="s">
        <v>10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_442240</v>
      </c>
      <c r="L25" s="10" t="s">
        <v>11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_442240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_442240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_442240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_442240</v>
      </c>
    </row>
    <row r="30" spans="1:16">
      <c r="A30" s="13" t="e">
        <f t="shared" si="6"/>
        <v>#VALUE!</v>
      </c>
      <c r="B30" s="13" t="str">
        <f t="shared" ref="B30" si="8">VLOOKUP(H30,field_id,2,FALSE)</f>
        <v>5</v>
      </c>
      <c r="C30" s="13">
        <f t="shared" ref="C30" si="9">VLOOKUP(I30,league_id,2,FALSE)</f>
        <v>5</v>
      </c>
      <c r="D30" s="13">
        <f t="shared" ref="D30" si="10">VLOOKUP(H30,slot_compat,3,FALSE)</f>
        <v>5</v>
      </c>
      <c r="E30" s="13"/>
      <c r="F30" s="15">
        <f t="shared" ref="F30" si="11">IF(B30&lt;&gt;B29,F$22,F29+G29/60/24)</f>
        <v>0.75</v>
      </c>
      <c r="G30" s="13">
        <f t="shared" ref="G30" si="12">VLOOKUP(I30,GameDuration,2,FALSE)</f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_442240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5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90</v>
      </c>
      <c r="H31" s="13" t="s">
        <v>15</v>
      </c>
      <c r="I31" s="13" t="s">
        <v>9</v>
      </c>
      <c r="J31" s="13" t="str" cm="1">
        <f t="array" aca="1" ref="J31" ca="1">MID(CELL("filename",A10),FIND("]",CELL("filename",A10))+1,255)</f>
        <v>_442240</v>
      </c>
    </row>
    <row r="32" spans="1:16">
      <c r="A32" s="13" t="e">
        <f t="shared" si="6"/>
        <v>#VALUE!</v>
      </c>
      <c r="B32" s="13" t="str">
        <f t="shared" ref="B32" si="13">VLOOKUP(H32,field_id,2,FALSE)</f>
        <v>6</v>
      </c>
      <c r="C32" s="13">
        <f t="shared" ref="C32" si="14">VLOOKUP(I32,league_id,2,FALSE)</f>
        <v>3</v>
      </c>
      <c r="D32" s="13" t="str">
        <f t="shared" ref="D32" si="15">VLOOKUP(H32,slot_compat,3,FALSE)</f>
        <v>4,5,6,1</v>
      </c>
      <c r="E32" s="13"/>
      <c r="F32" s="15">
        <f t="shared" ref="F32" si="16">IF(B32&lt;&gt;B31,F$22,F31+G31/60/24)</f>
        <v>0.75</v>
      </c>
      <c r="G32" s="13">
        <f t="shared" ref="G32" si="17">VLOOKUP(I32,GameDuration,2,FALSE)</f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_442240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_442240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_442240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_442240</v>
      </c>
    </row>
    <row r="36" spans="1:10">
      <c r="A36" s="13" t="e">
        <f t="shared" si="6"/>
        <v>#VALUE!</v>
      </c>
      <c r="B36" s="13" t="str">
        <f t="shared" ref="B36" si="18">VLOOKUP(H36,field_id,2,FALSE)</f>
        <v>8</v>
      </c>
      <c r="C36" s="13">
        <f t="shared" ref="C36" si="19">VLOOKUP(I36,league_id,2,FALSE)</f>
        <v>2</v>
      </c>
      <c r="D36" s="13" t="str">
        <f t="shared" ref="D36" si="20">VLOOKUP(H36,slot_compat,3,FALSE)</f>
        <v>2,3,4,5,6</v>
      </c>
      <c r="E36" s="13"/>
      <c r="F36" s="15">
        <f t="shared" ref="F36" si="21">IF(B36&lt;&gt;B35,F$22,F35+G35/60/24)</f>
        <v>0.75</v>
      </c>
      <c r="G36" s="13">
        <f t="shared" ref="G36" si="22">VLOOKUP(I36,GameDuration,2,FALSE)</f>
        <v>120</v>
      </c>
      <c r="H36" s="13" t="s">
        <v>18</v>
      </c>
      <c r="I36" s="12" t="s">
        <v>7</v>
      </c>
      <c r="J36" s="13" t="str" cm="1">
        <f t="array" aca="1" ref="J36" ca="1">MID(CELL("filename",A15),FIND("]",CELL("filename",A15))+1,255)</f>
        <v>_442240</v>
      </c>
    </row>
    <row r="37" spans="1:10">
      <c r="A37" s="13" t="e">
        <f t="shared" si="6"/>
        <v>#VALUE!</v>
      </c>
      <c r="B37" s="13" t="str">
        <f t="shared" ref="B37" si="23">VLOOKUP(H37,field_id,2,FALSE)</f>
        <v>8</v>
      </c>
      <c r="C37" s="13">
        <f t="shared" ref="C37" si="24">VLOOKUP(I37,league_id,2,FALSE)</f>
        <v>2</v>
      </c>
      <c r="D37" s="13" t="str">
        <f t="shared" ref="D37" si="25">VLOOKUP(H37,slot_compat,3,FALSE)</f>
        <v>2,3,4,5,6</v>
      </c>
      <c r="E37" s="13"/>
      <c r="F37" s="15">
        <f t="shared" ref="F37" si="26">IF(B37&lt;&gt;B36,F$22,F36+G36/60/24)</f>
        <v>0.83333333333333337</v>
      </c>
      <c r="G37" s="13">
        <f t="shared" ref="G37" si="27">VLOOKUP(I37,GameDuration,2,FALSE)</f>
        <v>120</v>
      </c>
      <c r="H37" s="13" t="s">
        <v>18</v>
      </c>
      <c r="I37" s="12" t="s">
        <v>7</v>
      </c>
      <c r="J37" s="13" t="str" cm="1">
        <f t="array" aca="1" ref="J37" ca="1">MID(CELL("filename",A16),FIND("]",CELL("filename",A16))+1,255)</f>
        <v>_442240</v>
      </c>
    </row>
    <row r="38" spans="1:10">
      <c r="J38" s="13"/>
    </row>
  </sheetData>
  <mergeCells count="23">
    <mergeCell ref="B17:G17"/>
    <mergeCell ref="B18:E18"/>
    <mergeCell ref="B19:E19"/>
    <mergeCell ref="H5:M5"/>
    <mergeCell ref="H6:M6"/>
    <mergeCell ref="B9:I9"/>
    <mergeCell ref="J9:Q9"/>
    <mergeCell ref="B13:I13"/>
    <mergeCell ref="B14:I14"/>
    <mergeCell ref="B15:H15"/>
    <mergeCell ref="B16:H16"/>
    <mergeCell ref="B5:G5"/>
    <mergeCell ref="B6:G6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F233-5637-435F-8473-90916A8E27BB}">
  <sheetPr codeName="Sheet23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66" t="s">
        <v>9</v>
      </c>
      <c r="C5" s="64"/>
      <c r="D5" s="64"/>
      <c r="E5" s="64"/>
      <c r="F5" s="64"/>
      <c r="G5" s="65"/>
      <c r="H5" s="66" t="s">
        <v>9</v>
      </c>
      <c r="I5" s="64"/>
      <c r="J5" s="64"/>
      <c r="K5" s="64"/>
      <c r="L5" s="64"/>
      <c r="M5" s="65"/>
    </row>
    <row r="6" spans="1:17" ht="15" thickBot="1">
      <c r="A6" s="10" t="s">
        <v>15</v>
      </c>
      <c r="B6" s="38" t="s">
        <v>9</v>
      </c>
      <c r="C6" s="39"/>
      <c r="D6" s="39"/>
      <c r="E6" s="39"/>
      <c r="F6" s="39"/>
      <c r="G6" s="40"/>
      <c r="H6" s="56" t="s">
        <v>11</v>
      </c>
      <c r="I6" s="75"/>
      <c r="J6" s="75"/>
      <c r="K6" s="75"/>
      <c r="L6" s="75"/>
      <c r="M6" s="75"/>
      <c r="N6" s="76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70" t="s">
        <v>10</v>
      </c>
      <c r="J7" s="71"/>
      <c r="K7" s="71"/>
      <c r="L7" s="71"/>
      <c r="M7" s="71"/>
      <c r="N7" s="71"/>
      <c r="O7" s="72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53" t="s">
        <v>7</v>
      </c>
      <c r="C9" s="54"/>
      <c r="D9" s="54"/>
      <c r="E9" s="54"/>
      <c r="F9" s="54"/>
      <c r="G9" s="54"/>
      <c r="H9" s="54"/>
      <c r="I9" s="55"/>
      <c r="J9" s="53" t="s">
        <v>7</v>
      </c>
      <c r="K9" s="54"/>
      <c r="L9" s="54"/>
      <c r="M9" s="54"/>
      <c r="N9" s="54"/>
      <c r="O9" s="54"/>
      <c r="P9" s="54"/>
      <c r="Q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2</v>
      </c>
      <c r="L15" s="10">
        <f t="shared" si="0"/>
        <v>2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3</v>
      </c>
      <c r="L16" s="10">
        <f t="shared" si="0"/>
        <v>3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3</v>
      </c>
      <c r="L17" s="10">
        <f t="shared" si="0"/>
        <v>3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_442330</v>
      </c>
      <c r="L22" s="10" t="s">
        <v>6</v>
      </c>
      <c r="M22" s="10">
        <f>COUNTIF(I$22:I$100,L22)</f>
        <v>4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_442330</v>
      </c>
      <c r="L23" s="10" t="s">
        <v>7</v>
      </c>
      <c r="M23" s="10">
        <f t="shared" ref="M23:M28" si="6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_442330</v>
      </c>
      <c r="L24" s="10" t="s">
        <v>10</v>
      </c>
      <c r="M24" s="10">
        <f t="shared" si="6"/>
        <v>2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_442330</v>
      </c>
      <c r="L25" s="10" t="s">
        <v>11</v>
      </c>
      <c r="M25" s="10">
        <f t="shared" si="6"/>
        <v>3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_442330</v>
      </c>
      <c r="L26" s="10" t="s">
        <v>9</v>
      </c>
      <c r="M26" s="10">
        <f t="shared" si="6"/>
        <v>3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_442330</v>
      </c>
      <c r="L27" s="10" t="s">
        <v>12</v>
      </c>
      <c r="M27" s="10">
        <f t="shared" si="6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_442330</v>
      </c>
      <c r="L28" s="10" t="s">
        <v>13</v>
      </c>
      <c r="M28" s="10">
        <f t="shared" si="6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_442330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90</v>
      </c>
      <c r="H30" s="13" t="s">
        <v>15</v>
      </c>
      <c r="I30" s="13" t="s">
        <v>9</v>
      </c>
      <c r="J30" s="13" t="str" cm="1">
        <f t="array" aca="1" ref="J30" ca="1">MID(CELL("filename",A9),FIND("]",CELL("filename",A9))+1,255)</f>
        <v>_442330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0.8125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_442330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_442330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7"/>
        <v>0.82291666666666663</v>
      </c>
      <c r="G33" s="13">
        <f t="shared" si="4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_442330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_442330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_442330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120</v>
      </c>
      <c r="H36" s="13" t="s">
        <v>18</v>
      </c>
      <c r="I36" s="13" t="s">
        <v>7</v>
      </c>
      <c r="J36" s="13" t="str" cm="1">
        <f t="array" aca="1" ref="J36" ca="1">MID(CELL("filename",A15),FIND("]",CELL("filename",A15))+1,255)</f>
        <v>_442330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7"/>
        <v>0.83333333333333337</v>
      </c>
      <c r="G37" s="13">
        <f t="shared" si="4"/>
        <v>120</v>
      </c>
      <c r="H37" s="13" t="s">
        <v>18</v>
      </c>
      <c r="I37" s="13" t="s">
        <v>7</v>
      </c>
      <c r="J37" s="13" t="str" cm="1">
        <f t="array" aca="1" ref="J37" ca="1">MID(CELL("filename",A16),FIND("]",CELL("filename",A16))+1,255)</f>
        <v>_442330</v>
      </c>
    </row>
    <row r="38" spans="1:10">
      <c r="J38" s="13"/>
    </row>
  </sheetData>
  <mergeCells count="23">
    <mergeCell ref="B2:I2"/>
    <mergeCell ref="J2:Q2"/>
    <mergeCell ref="B3:I3"/>
    <mergeCell ref="J3:Q3"/>
    <mergeCell ref="B4:H4"/>
    <mergeCell ref="I4:O4"/>
    <mergeCell ref="B13:I13"/>
    <mergeCell ref="B14:I14"/>
    <mergeCell ref="B5:G5"/>
    <mergeCell ref="H5:M5"/>
    <mergeCell ref="B7:H7"/>
    <mergeCell ref="I7:O7"/>
    <mergeCell ref="B6:G6"/>
    <mergeCell ref="H6:N6"/>
    <mergeCell ref="B9:I9"/>
    <mergeCell ref="J9:Q9"/>
    <mergeCell ref="B8:I8"/>
    <mergeCell ref="J8:Q8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4BB1-5F28-44DB-B17E-ECEB1EE12795}">
  <sheetPr codeName="Sheet21"/>
  <dimension ref="A1:S38"/>
  <sheetViews>
    <sheetView zoomScale="85" zoomScaleNormal="85" workbookViewId="0">
      <pane ySplit="19" topLeftCell="A20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8" width="8.77734375" style="10" customWidth="1"/>
    <col min="19" max="19" width="22.88671875" style="10" bestFit="1" customWidth="1"/>
    <col min="20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  <c r="I6" s="56" t="s">
        <v>11</v>
      </c>
      <c r="J6" s="57"/>
      <c r="K6" s="57"/>
      <c r="L6" s="57"/>
      <c r="M6" s="57"/>
      <c r="N6" s="57"/>
      <c r="O6" s="58"/>
    </row>
    <row r="7" spans="1:17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53" t="s">
        <v>7</v>
      </c>
      <c r="C9" s="54"/>
      <c r="D9" s="54"/>
      <c r="E9" s="54"/>
      <c r="F9" s="54"/>
      <c r="G9" s="54"/>
      <c r="H9" s="54"/>
      <c r="I9" s="55"/>
      <c r="J9" s="53" t="s">
        <v>7</v>
      </c>
      <c r="K9" s="54"/>
      <c r="L9" s="54"/>
      <c r="M9" s="54"/>
      <c r="N9" s="54"/>
      <c r="O9" s="54"/>
      <c r="P9" s="54"/>
      <c r="Q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2</v>
      </c>
      <c r="L15" s="10">
        <f t="shared" si="0"/>
        <v>2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4</v>
      </c>
      <c r="L16" s="10">
        <f t="shared" si="0"/>
        <v>4</v>
      </c>
    </row>
    <row r="17" spans="1:19" ht="15" thickBot="1">
      <c r="B17" s="38" t="s">
        <v>9</v>
      </c>
      <c r="C17" s="39"/>
      <c r="D17" s="39"/>
      <c r="E17" s="39"/>
      <c r="F17" s="39"/>
      <c r="G17" s="40"/>
      <c r="K17" s="10">
        <v>2</v>
      </c>
      <c r="L17" s="10">
        <f t="shared" si="0"/>
        <v>2</v>
      </c>
    </row>
    <row r="18" spans="1:19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9">
      <c r="B19" s="44" t="s">
        <v>100</v>
      </c>
      <c r="C19" s="45"/>
      <c r="D19" s="45"/>
      <c r="E19" s="46"/>
    </row>
    <row r="20" spans="1:19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9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9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0.75</v>
      </c>
      <c r="G22" s="13">
        <f t="shared" ref="G2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_442420</v>
      </c>
      <c r="L22" s="10" t="s">
        <v>6</v>
      </c>
      <c r="M22" s="10">
        <f>COUNTIF(I$22:I$100,L22)</f>
        <v>4</v>
      </c>
      <c r="S22" s="1"/>
    </row>
    <row r="23" spans="1:19">
      <c r="A23" s="13" t="e">
        <f t="shared" ref="A23:A37" si="5">A22+1</f>
        <v>#VALUE!</v>
      </c>
      <c r="B23" s="13" t="str">
        <f t="shared" si="1"/>
        <v>4</v>
      </c>
      <c r="C23" s="13">
        <f t="shared" ref="C23:C37" si="6">VLOOKUP(I23,league_id,2,FALSE)</f>
        <v>1</v>
      </c>
      <c r="D23" s="13" t="str">
        <f t="shared" ref="D23:D37" si="7">VLOOKUP(H23,slot_compat,3,FALSE)</f>
        <v>2,3</v>
      </c>
      <c r="E23" s="13"/>
      <c r="F23" s="15">
        <f>IF(B23&lt;&gt;B22,F$22,F22+G22/60/24)</f>
        <v>0.83333333333333337</v>
      </c>
      <c r="G23" s="13">
        <f t="shared" ref="G23:G37" si="8">VLOOKUP(I23,GameDuration,2,FALSE)</f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_442420</v>
      </c>
      <c r="L23" s="10" t="s">
        <v>7</v>
      </c>
      <c r="M23" s="10">
        <f t="shared" ref="M23:M28" si="9">COUNTIF(I$22:I$100,L23)</f>
        <v>4</v>
      </c>
      <c r="S23" s="14"/>
    </row>
    <row r="24" spans="1:19">
      <c r="A24" s="13" t="e">
        <f t="shared" si="5"/>
        <v>#VALUE!</v>
      </c>
      <c r="B24" s="13" t="str">
        <f t="shared" si="1"/>
        <v>3</v>
      </c>
      <c r="C24" s="13">
        <f t="shared" si="6"/>
        <v>2</v>
      </c>
      <c r="D24" s="13" t="str">
        <f t="shared" si="7"/>
        <v>1,3</v>
      </c>
      <c r="E24" s="13"/>
      <c r="F24" s="15">
        <f t="shared" ref="F24:F37" si="10">IF(B24&lt;&gt;B23,F$22,F23+G23/60/24)</f>
        <v>0.75</v>
      </c>
      <c r="G24" s="13">
        <f t="shared" si="8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_442420</v>
      </c>
      <c r="L24" s="10" t="s">
        <v>10</v>
      </c>
      <c r="M24" s="10">
        <f t="shared" si="9"/>
        <v>2</v>
      </c>
    </row>
    <row r="25" spans="1:19">
      <c r="A25" s="13" t="e">
        <f t="shared" si="5"/>
        <v>#VALUE!</v>
      </c>
      <c r="B25" s="13" t="str">
        <f t="shared" si="1"/>
        <v>3</v>
      </c>
      <c r="C25" s="13">
        <f t="shared" si="6"/>
        <v>2</v>
      </c>
      <c r="D25" s="13" t="str">
        <f t="shared" si="7"/>
        <v>1,3</v>
      </c>
      <c r="E25" s="13"/>
      <c r="F25" s="15">
        <f t="shared" si="10"/>
        <v>0.83333333333333337</v>
      </c>
      <c r="G25" s="13">
        <f t="shared" si="8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_442420</v>
      </c>
      <c r="L25" s="10" t="s">
        <v>11</v>
      </c>
      <c r="M25" s="10">
        <f t="shared" si="9"/>
        <v>4</v>
      </c>
    </row>
    <row r="26" spans="1:19">
      <c r="A26" s="13" t="e">
        <f t="shared" si="5"/>
        <v>#VALUE!</v>
      </c>
      <c r="B26" s="13" t="str">
        <f t="shared" si="1"/>
        <v>2</v>
      </c>
      <c r="C26" s="13">
        <f t="shared" si="6"/>
        <v>4</v>
      </c>
      <c r="D26" s="13" t="str">
        <f t="shared" si="7"/>
        <v>5,6</v>
      </c>
      <c r="E26" s="13"/>
      <c r="F26" s="15">
        <f t="shared" si="10"/>
        <v>0.75</v>
      </c>
      <c r="G26" s="13">
        <f t="shared" si="8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_442420</v>
      </c>
      <c r="L26" s="10" t="s">
        <v>9</v>
      </c>
      <c r="M26" s="10">
        <f t="shared" si="9"/>
        <v>2</v>
      </c>
    </row>
    <row r="27" spans="1:19">
      <c r="A27" s="13" t="e">
        <f t="shared" si="5"/>
        <v>#VALUE!</v>
      </c>
      <c r="B27" s="13" t="str">
        <f t="shared" si="1"/>
        <v>2</v>
      </c>
      <c r="C27" s="13">
        <f t="shared" si="6"/>
        <v>4</v>
      </c>
      <c r="D27" s="13" t="str">
        <f t="shared" si="7"/>
        <v>5,6</v>
      </c>
      <c r="E27" s="13"/>
      <c r="F27" s="15">
        <f t="shared" si="10"/>
        <v>0.82291666666666663</v>
      </c>
      <c r="G27" s="13">
        <f t="shared" si="8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_442420</v>
      </c>
      <c r="L27" s="10" t="s">
        <v>12</v>
      </c>
      <c r="M27" s="10">
        <f t="shared" si="9"/>
        <v>0</v>
      </c>
    </row>
    <row r="28" spans="1:19">
      <c r="A28" s="13" t="e">
        <f t="shared" si="5"/>
        <v>#VALUE!</v>
      </c>
      <c r="B28" s="13" t="str">
        <f t="shared" si="1"/>
        <v>1</v>
      </c>
      <c r="C28" s="13">
        <f t="shared" si="6"/>
        <v>5</v>
      </c>
      <c r="D28" s="13" t="str">
        <f t="shared" si="7"/>
        <v>6,7</v>
      </c>
      <c r="E28" s="13"/>
      <c r="F28" s="15">
        <f t="shared" si="10"/>
        <v>0.75</v>
      </c>
      <c r="G28" s="13">
        <f t="shared" si="8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_442420</v>
      </c>
      <c r="L28" s="10" t="s">
        <v>13</v>
      </c>
      <c r="M28" s="10">
        <f t="shared" si="9"/>
        <v>0</v>
      </c>
    </row>
    <row r="29" spans="1:19">
      <c r="A29" s="13" t="e">
        <f t="shared" si="5"/>
        <v>#VALUE!</v>
      </c>
      <c r="B29" s="13" t="str">
        <f t="shared" si="1"/>
        <v>1</v>
      </c>
      <c r="C29" s="13">
        <f t="shared" si="6"/>
        <v>5</v>
      </c>
      <c r="D29" s="13" t="str">
        <f t="shared" si="7"/>
        <v>6,7</v>
      </c>
      <c r="E29" s="13"/>
      <c r="F29" s="15">
        <f t="shared" si="10"/>
        <v>0.8125</v>
      </c>
      <c r="G29" s="13">
        <f t="shared" si="8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_442420</v>
      </c>
    </row>
    <row r="30" spans="1:19">
      <c r="A30" s="13" t="e">
        <f t="shared" si="5"/>
        <v>#VALUE!</v>
      </c>
      <c r="B30" s="13" t="str">
        <f t="shared" si="1"/>
        <v>5</v>
      </c>
      <c r="C30" s="13">
        <f t="shared" si="6"/>
        <v>4</v>
      </c>
      <c r="D30" s="13">
        <f t="shared" si="7"/>
        <v>5</v>
      </c>
      <c r="E30" s="13"/>
      <c r="F30" s="15">
        <f t="shared" si="10"/>
        <v>0.75</v>
      </c>
      <c r="G30" s="13">
        <f t="shared" si="8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_442420</v>
      </c>
    </row>
    <row r="31" spans="1:19">
      <c r="A31" s="13" t="e">
        <f t="shared" si="5"/>
        <v>#VALUE!</v>
      </c>
      <c r="B31" s="13" t="str">
        <f t="shared" si="1"/>
        <v>5</v>
      </c>
      <c r="C31" s="13">
        <f t="shared" si="6"/>
        <v>4</v>
      </c>
      <c r="D31" s="13">
        <f t="shared" si="7"/>
        <v>5</v>
      </c>
      <c r="E31" s="13"/>
      <c r="F31" s="15">
        <f t="shared" si="10"/>
        <v>0.82291666666666663</v>
      </c>
      <c r="G31" s="13">
        <f t="shared" si="8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_442420</v>
      </c>
    </row>
    <row r="32" spans="1:19">
      <c r="A32" s="13" t="e">
        <f t="shared" si="5"/>
        <v>#VALUE!</v>
      </c>
      <c r="B32" s="13" t="str">
        <f t="shared" si="1"/>
        <v>6</v>
      </c>
      <c r="C32" s="13">
        <f t="shared" si="6"/>
        <v>3</v>
      </c>
      <c r="D32" s="13" t="str">
        <f t="shared" si="7"/>
        <v>4,5,6,1</v>
      </c>
      <c r="E32" s="13"/>
      <c r="F32" s="15">
        <f t="shared" si="10"/>
        <v>0.75</v>
      </c>
      <c r="G32" s="13">
        <f t="shared" si="8"/>
        <v>105</v>
      </c>
      <c r="H32" s="13" t="s">
        <v>16</v>
      </c>
      <c r="I32" s="13" t="s">
        <v>10</v>
      </c>
      <c r="J32" s="13" t="str" cm="1">
        <f t="array" aca="1" ref="J32" ca="1">MID(CELL("filename",A11),FIND("]",CELL("filename",A11))+1,255)</f>
        <v>_442420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6"/>
        <v>3</v>
      </c>
      <c r="D33" s="13" t="str">
        <f t="shared" si="7"/>
        <v>4,5,6,1</v>
      </c>
      <c r="E33" s="13"/>
      <c r="F33" s="15">
        <f t="shared" si="10"/>
        <v>0.82291666666666663</v>
      </c>
      <c r="G33" s="13">
        <f t="shared" si="8"/>
        <v>105</v>
      </c>
      <c r="H33" s="13" t="s">
        <v>16</v>
      </c>
      <c r="I33" s="13" t="s">
        <v>10</v>
      </c>
      <c r="J33" s="13" t="str" cm="1">
        <f t="array" aca="1" ref="J33" ca="1">MID(CELL("filename",A12),FIND("]",CELL("filename",A12))+1,255)</f>
        <v>_442420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6"/>
        <v>1</v>
      </c>
      <c r="D34" s="13" t="str">
        <f t="shared" si="7"/>
        <v>2,3,4,5,6</v>
      </c>
      <c r="E34" s="13"/>
      <c r="F34" s="15">
        <f t="shared" si="10"/>
        <v>0.75</v>
      </c>
      <c r="G34" s="13">
        <f t="shared" si="8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_442420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6"/>
        <v>1</v>
      </c>
      <c r="D35" s="13" t="str">
        <f t="shared" si="7"/>
        <v>2,3,4,5,6</v>
      </c>
      <c r="E35" s="13"/>
      <c r="F35" s="15">
        <f t="shared" si="10"/>
        <v>0.83333333333333337</v>
      </c>
      <c r="G35" s="13">
        <f t="shared" si="8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_442420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6"/>
        <v>2</v>
      </c>
      <c r="D36" s="13" t="str">
        <f t="shared" si="7"/>
        <v>2,3,4,5,6</v>
      </c>
      <c r="E36" s="13"/>
      <c r="F36" s="15">
        <f t="shared" si="10"/>
        <v>0.75</v>
      </c>
      <c r="G36" s="13">
        <f t="shared" si="8"/>
        <v>120</v>
      </c>
      <c r="H36" s="13" t="s">
        <v>18</v>
      </c>
      <c r="I36" s="13" t="s">
        <v>7</v>
      </c>
      <c r="J36" s="13" t="str" cm="1">
        <f t="array" aca="1" ref="J36" ca="1">MID(CELL("filename",A15),FIND("]",CELL("filename",A15))+1,255)</f>
        <v>_442420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6"/>
        <v>2</v>
      </c>
      <c r="D37" s="13" t="str">
        <f t="shared" si="7"/>
        <v>2,3,4,5,6</v>
      </c>
      <c r="E37" s="13"/>
      <c r="F37" s="15">
        <f t="shared" si="10"/>
        <v>0.83333333333333337</v>
      </c>
      <c r="G37" s="13">
        <f t="shared" si="8"/>
        <v>120</v>
      </c>
      <c r="H37" s="13" t="s">
        <v>18</v>
      </c>
      <c r="I37" s="13" t="s">
        <v>7</v>
      </c>
      <c r="J37" s="13" t="str" cm="1">
        <f t="array" aca="1" ref="J37" ca="1">MID(CELL("filename",A16),FIND("]",CELL("filename",A16))+1,255)</f>
        <v>_442420</v>
      </c>
    </row>
    <row r="38" spans="1:10">
      <c r="J38" s="13"/>
    </row>
  </sheetData>
  <mergeCells count="23">
    <mergeCell ref="J8:Q8"/>
    <mergeCell ref="B2:I2"/>
    <mergeCell ref="J2:Q2"/>
    <mergeCell ref="B3:I3"/>
    <mergeCell ref="J3:Q3"/>
    <mergeCell ref="B4:H4"/>
    <mergeCell ref="B5:G5"/>
    <mergeCell ref="B19:E19"/>
    <mergeCell ref="I4:O4"/>
    <mergeCell ref="H5:M5"/>
    <mergeCell ref="I6:O6"/>
    <mergeCell ref="B9:I9"/>
    <mergeCell ref="J9:Q9"/>
    <mergeCell ref="B13:I13"/>
    <mergeCell ref="B14:I14"/>
    <mergeCell ref="B15:H15"/>
    <mergeCell ref="B16:H16"/>
    <mergeCell ref="B17:G17"/>
    <mergeCell ref="B18:E18"/>
    <mergeCell ref="B6:H6"/>
    <mergeCell ref="B7:H7"/>
    <mergeCell ref="I7:O7"/>
    <mergeCell ref="B8:I8"/>
  </mergeCells>
  <phoneticPr fontId="5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C0512-4C2A-4FE7-AC41-88C141003AB8}">
  <sheetPr codeName="Sheet28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J38" sqref="J38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6" t="s">
        <v>11</v>
      </c>
      <c r="J4" s="57"/>
      <c r="K4" s="57"/>
      <c r="L4" s="57"/>
      <c r="M4" s="57"/>
      <c r="N4" s="57"/>
      <c r="O4" s="58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  <c r="I6" s="56" t="s">
        <v>11</v>
      </c>
      <c r="J6" s="57"/>
      <c r="K6" s="57"/>
      <c r="L6" s="57"/>
      <c r="M6" s="57"/>
      <c r="N6" s="57"/>
      <c r="O6" s="58"/>
    </row>
    <row r="7" spans="1:17" ht="15" thickBot="1">
      <c r="A7" s="10" t="s">
        <v>98</v>
      </c>
      <c r="B7" s="38" t="s">
        <v>9</v>
      </c>
      <c r="C7" s="39"/>
      <c r="D7" s="39"/>
      <c r="E7" s="39"/>
      <c r="F7" s="39"/>
      <c r="G7" s="40"/>
      <c r="H7" s="38" t="s">
        <v>9</v>
      </c>
      <c r="I7" s="39"/>
      <c r="J7" s="39"/>
      <c r="K7" s="39"/>
      <c r="L7" s="39"/>
      <c r="M7" s="40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53" t="s">
        <v>7</v>
      </c>
      <c r="C9" s="54"/>
      <c r="D9" s="54"/>
      <c r="E9" s="54"/>
      <c r="F9" s="54"/>
      <c r="G9" s="54"/>
      <c r="H9" s="54"/>
      <c r="I9" s="55"/>
      <c r="J9" s="53" t="s">
        <v>7</v>
      </c>
      <c r="K9" s="54"/>
      <c r="L9" s="54"/>
      <c r="M9" s="54"/>
      <c r="N9" s="54"/>
      <c r="O9" s="54"/>
      <c r="P9" s="54"/>
      <c r="Q9" s="55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4</v>
      </c>
      <c r="L14" s="10">
        <f t="shared" si="0"/>
        <v>4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0</v>
      </c>
      <c r="L15" s="10">
        <f t="shared" si="0"/>
        <v>0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4</v>
      </c>
      <c r="L16" s="10">
        <f t="shared" si="0"/>
        <v>4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4</v>
      </c>
      <c r="L17" s="10">
        <f t="shared" si="0"/>
        <v>4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_440440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_440440</v>
      </c>
      <c r="L23" s="10" t="s">
        <v>7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_440440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_440440</v>
      </c>
      <c r="L25" s="10" t="s">
        <v>11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_440440</v>
      </c>
      <c r="L26" s="10" t="s">
        <v>9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105</v>
      </c>
      <c r="H27" s="13" t="s">
        <v>8</v>
      </c>
      <c r="I27" s="13" t="s">
        <v>11</v>
      </c>
      <c r="J27" s="13" t="str" cm="1">
        <f t="array" aca="1" ref="J27" ca="1">MID(CELL("filename",A6),FIND("]",CELL("filename",A6))+1,255)</f>
        <v>_440440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_440440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_440440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_440440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MID(CELL("filename",A10),FIND("]",CELL("filename",A10))+1,255)</f>
        <v>_440440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5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90</v>
      </c>
      <c r="H32" s="13" t="s">
        <v>16</v>
      </c>
      <c r="I32" s="13" t="s">
        <v>9</v>
      </c>
      <c r="J32" s="13" t="str" cm="1">
        <f t="array" aca="1" ref="J32" ca="1">MID(CELL("filename",A11),FIND("]",CELL("filename",A11))+1,255)</f>
        <v>_440440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5</v>
      </c>
      <c r="D33" s="13" t="str">
        <f t="shared" si="3"/>
        <v>4,5,6,1</v>
      </c>
      <c r="E33" s="13"/>
      <c r="F33" s="15">
        <f t="shared" si="7"/>
        <v>0.8125</v>
      </c>
      <c r="G33" s="13">
        <f t="shared" si="4"/>
        <v>90</v>
      </c>
      <c r="H33" s="13" t="s">
        <v>16</v>
      </c>
      <c r="I33" s="13" t="s">
        <v>9</v>
      </c>
      <c r="J33" s="13" t="str" cm="1">
        <f t="array" aca="1" ref="J33" ca="1">MID(CELL("filename",A12),FIND("]",CELL("filename",A12))+1,255)</f>
        <v>_440440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_440440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_440440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120</v>
      </c>
      <c r="H36" s="13" t="s">
        <v>18</v>
      </c>
      <c r="I36" s="13" t="s">
        <v>7</v>
      </c>
      <c r="J36" s="13" t="str" cm="1">
        <f t="array" aca="1" ref="J36" ca="1">MID(CELL("filename",A15),FIND("]",CELL("filename",A15))+1,255)</f>
        <v>_440440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7"/>
        <v>0.83333333333333337</v>
      </c>
      <c r="G37" s="13">
        <f t="shared" si="4"/>
        <v>120</v>
      </c>
      <c r="H37" s="13" t="s">
        <v>18</v>
      </c>
      <c r="I37" s="13" t="s">
        <v>7</v>
      </c>
      <c r="J37" s="13" t="str" cm="1">
        <f t="array" aca="1" ref="J37" ca="1">MID(CELL("filename",A16),FIND("]",CELL("filename",A16))+1,255)</f>
        <v>_440440</v>
      </c>
    </row>
    <row r="38" spans="1:10">
      <c r="J38" s="13"/>
    </row>
  </sheetData>
  <mergeCells count="23">
    <mergeCell ref="J8:Q8"/>
    <mergeCell ref="B2:I2"/>
    <mergeCell ref="J2:Q2"/>
    <mergeCell ref="B3:I3"/>
    <mergeCell ref="J3:Q3"/>
    <mergeCell ref="B4:H4"/>
    <mergeCell ref="I4:O4"/>
    <mergeCell ref="B17:G17"/>
    <mergeCell ref="B18:E18"/>
    <mergeCell ref="B19:E19"/>
    <mergeCell ref="H5:M5"/>
    <mergeCell ref="B6:H6"/>
    <mergeCell ref="I6:O6"/>
    <mergeCell ref="B7:G7"/>
    <mergeCell ref="H7:M7"/>
    <mergeCell ref="B9:I9"/>
    <mergeCell ref="J9:Q9"/>
    <mergeCell ref="B13:I13"/>
    <mergeCell ref="B14:I14"/>
    <mergeCell ref="B15:H15"/>
    <mergeCell ref="B16:H16"/>
    <mergeCell ref="B5:G5"/>
    <mergeCell ref="B8:I8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34B9D-B956-4682-94AC-6F01F0E09B3A}">
  <sheetPr codeName="Sheet47"/>
  <dimension ref="A1:Q38"/>
  <sheetViews>
    <sheetView zoomScale="85" zoomScaleNormal="85" workbookViewId="0">
      <pane ySplit="19" topLeftCell="A20" activePane="bottomLeft" state="frozen"/>
      <selection activeCell="J22" sqref="J22:J38"/>
      <selection pane="bottomLeft" activeCell="I37" sqref="I3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</row>
    <row r="3" spans="1:17" ht="15" thickBot="1">
      <c r="A3" s="10" t="s">
        <v>7</v>
      </c>
      <c r="B3" s="53" t="s">
        <v>7</v>
      </c>
      <c r="C3" s="54"/>
      <c r="D3" s="54"/>
      <c r="E3" s="54"/>
      <c r="F3" s="54"/>
      <c r="G3" s="54"/>
      <c r="H3" s="54"/>
      <c r="I3" s="55"/>
      <c r="J3" s="53" t="s">
        <v>7</v>
      </c>
      <c r="K3" s="54"/>
      <c r="L3" s="54"/>
      <c r="M3" s="54"/>
      <c r="N3" s="54"/>
      <c r="O3" s="54"/>
      <c r="P3" s="54"/>
      <c r="Q3" s="55"/>
    </row>
    <row r="4" spans="1:17" ht="15" thickBot="1">
      <c r="A4" s="10" t="s">
        <v>11</v>
      </c>
      <c r="B4" s="56" t="s">
        <v>11</v>
      </c>
      <c r="C4" s="57"/>
      <c r="D4" s="57"/>
      <c r="E4" s="57"/>
      <c r="F4" s="57"/>
      <c r="G4" s="57"/>
      <c r="H4" s="58"/>
      <c r="I4" s="53" t="s">
        <v>7</v>
      </c>
      <c r="J4" s="54"/>
      <c r="K4" s="54"/>
      <c r="L4" s="54"/>
      <c r="M4" s="54"/>
      <c r="N4" s="54"/>
      <c r="O4" s="54"/>
      <c r="P4" s="55"/>
    </row>
    <row r="5" spans="1:17" ht="15" thickBot="1">
      <c r="A5" s="10" t="s">
        <v>14</v>
      </c>
      <c r="B5" s="38" t="s">
        <v>9</v>
      </c>
      <c r="C5" s="39"/>
      <c r="D5" s="39"/>
      <c r="E5" s="39"/>
      <c r="F5" s="39"/>
      <c r="G5" s="40"/>
      <c r="H5" s="38" t="s">
        <v>9</v>
      </c>
      <c r="I5" s="39"/>
      <c r="J5" s="39"/>
      <c r="K5" s="39"/>
      <c r="L5" s="39"/>
      <c r="M5" s="40"/>
    </row>
    <row r="6" spans="1:17" ht="15" thickBot="1">
      <c r="A6" s="10" t="s">
        <v>15</v>
      </c>
      <c r="B6" s="56" t="s">
        <v>11</v>
      </c>
      <c r="C6" s="57"/>
      <c r="D6" s="57"/>
      <c r="E6" s="57"/>
      <c r="F6" s="57"/>
      <c r="G6" s="57"/>
      <c r="H6" s="58"/>
      <c r="I6" s="53" t="s">
        <v>7</v>
      </c>
      <c r="J6" s="54"/>
      <c r="K6" s="54"/>
      <c r="L6" s="54"/>
      <c r="M6" s="54"/>
      <c r="N6" s="54"/>
      <c r="O6" s="54"/>
      <c r="P6" s="55"/>
    </row>
    <row r="7" spans="1:17" ht="15" thickBot="1">
      <c r="A7" s="10" t="s">
        <v>98</v>
      </c>
      <c r="B7" s="53" t="s">
        <v>7</v>
      </c>
      <c r="C7" s="54"/>
      <c r="D7" s="54"/>
      <c r="E7" s="54"/>
      <c r="F7" s="54"/>
      <c r="G7" s="54"/>
      <c r="H7" s="54"/>
      <c r="I7" s="55"/>
      <c r="J7" s="53" t="s">
        <v>7</v>
      </c>
      <c r="K7" s="54"/>
      <c r="L7" s="54"/>
      <c r="M7" s="54"/>
      <c r="N7" s="54"/>
      <c r="O7" s="54"/>
      <c r="P7" s="54"/>
      <c r="Q7" s="55"/>
    </row>
    <row r="8" spans="1:17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0" t="s">
        <v>6</v>
      </c>
      <c r="K8" s="51"/>
      <c r="L8" s="51"/>
      <c r="M8" s="51"/>
      <c r="N8" s="51"/>
      <c r="O8" s="51"/>
      <c r="P8" s="51"/>
      <c r="Q8" s="52"/>
    </row>
    <row r="9" spans="1:17" ht="15" thickBot="1">
      <c r="A9" s="10" t="s">
        <v>18</v>
      </c>
      <c r="B9" s="38" t="s">
        <v>9</v>
      </c>
      <c r="C9" s="39"/>
      <c r="D9" s="39"/>
      <c r="E9" s="39"/>
      <c r="F9" s="39"/>
      <c r="G9" s="40"/>
      <c r="H9" s="56" t="s">
        <v>11</v>
      </c>
      <c r="I9" s="57"/>
      <c r="J9" s="57"/>
      <c r="K9" s="57"/>
      <c r="L9" s="57"/>
      <c r="M9" s="57"/>
      <c r="N9" s="58"/>
    </row>
    <row r="12" spans="1:17" ht="15" thickBot="1"/>
    <row r="13" spans="1:1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4</v>
      </c>
      <c r="L13" s="10">
        <f t="shared" ref="L13:L18" si="0">COUNTIF($B$2:$CS$9,B13)</f>
        <v>4</v>
      </c>
    </row>
    <row r="14" spans="1:1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6</v>
      </c>
      <c r="L14" s="10">
        <f t="shared" si="0"/>
        <v>6</v>
      </c>
    </row>
    <row r="15" spans="1:17" ht="15" thickBot="1">
      <c r="B15" s="35" t="s">
        <v>10</v>
      </c>
      <c r="C15" s="36"/>
      <c r="D15" s="36"/>
      <c r="E15" s="36"/>
      <c r="F15" s="36"/>
      <c r="G15" s="36"/>
      <c r="H15" s="37"/>
      <c r="K15" s="10">
        <v>0</v>
      </c>
      <c r="L15" s="10">
        <f t="shared" si="0"/>
        <v>0</v>
      </c>
    </row>
    <row r="16" spans="1:17" ht="15" thickBot="1">
      <c r="B16" s="56" t="s">
        <v>11</v>
      </c>
      <c r="C16" s="57"/>
      <c r="D16" s="57"/>
      <c r="E16" s="57"/>
      <c r="F16" s="57"/>
      <c r="G16" s="57"/>
      <c r="H16" s="58"/>
      <c r="K16" s="10">
        <v>3</v>
      </c>
      <c r="L16" s="10">
        <f t="shared" si="0"/>
        <v>3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3</v>
      </c>
      <c r="L17" s="10">
        <f t="shared" si="0"/>
        <v>3</v>
      </c>
    </row>
    <row r="18" spans="1:16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6">
      <c r="B19" s="44" t="s">
        <v>100</v>
      </c>
      <c r="C19" s="45"/>
      <c r="D19" s="45"/>
      <c r="E19" s="46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_460330</v>
      </c>
      <c r="L22" s="10" t="s">
        <v>6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_460330</v>
      </c>
      <c r="L23" s="10" t="s">
        <v>7</v>
      </c>
      <c r="M23" s="10">
        <f t="shared" si="5"/>
        <v>6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7">IF(B24&lt;&gt;B23,F$22,F23+G23/60/24)</f>
        <v>0.75</v>
      </c>
      <c r="G24" s="13">
        <f t="shared" si="4"/>
        <v>120</v>
      </c>
      <c r="H24" s="13" t="s">
        <v>7</v>
      </c>
      <c r="I24" s="13" t="s">
        <v>7</v>
      </c>
      <c r="J24" s="13" t="str" cm="1">
        <f t="array" aca="1" ref="J24" ca="1">MID(CELL("filename",A3),FIND("]",CELL("filename",A3))+1,255)</f>
        <v>_460330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7"/>
        <v>0.83333333333333337</v>
      </c>
      <c r="G25" s="13">
        <f t="shared" si="4"/>
        <v>120</v>
      </c>
      <c r="H25" s="13" t="s">
        <v>7</v>
      </c>
      <c r="I25" s="13" t="s">
        <v>7</v>
      </c>
      <c r="J25" s="13" t="str" cm="1">
        <f t="array" aca="1" ref="J25" ca="1">MID(CELL("filename",A4),FIND("]",CELL("filename",A4))+1,255)</f>
        <v>_460330</v>
      </c>
      <c r="L25" s="10" t="s">
        <v>11</v>
      </c>
      <c r="M25" s="10">
        <f t="shared" si="5"/>
        <v>3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7"/>
        <v>0.75</v>
      </c>
      <c r="G26" s="13">
        <f t="shared" si="4"/>
        <v>105</v>
      </c>
      <c r="H26" s="13" t="s">
        <v>8</v>
      </c>
      <c r="I26" s="13" t="s">
        <v>11</v>
      </c>
      <c r="J26" s="13" t="str" cm="1">
        <f t="array" aca="1" ref="J26" ca="1">MID(CELL("filename",A5),FIND("]",CELL("filename",A5))+1,255)</f>
        <v>_460330</v>
      </c>
      <c r="L26" s="10" t="s">
        <v>9</v>
      </c>
      <c r="M26" s="10">
        <f t="shared" si="5"/>
        <v>3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2</v>
      </c>
      <c r="D27" s="13" t="str">
        <f t="shared" si="3"/>
        <v>5,6</v>
      </c>
      <c r="E27" s="13"/>
      <c r="F27" s="15">
        <f t="shared" si="7"/>
        <v>0.82291666666666663</v>
      </c>
      <c r="G27" s="13">
        <f t="shared" si="4"/>
        <v>120</v>
      </c>
      <c r="H27" s="13" t="s">
        <v>8</v>
      </c>
      <c r="I27" s="13" t="s">
        <v>7</v>
      </c>
      <c r="J27" s="13" t="str" cm="1">
        <f t="array" aca="1" ref="J27" ca="1">MID(CELL("filename",A6),FIND("]",CELL("filename",A6))+1,255)</f>
        <v>_460330</v>
      </c>
      <c r="L27" s="10" t="s">
        <v>12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0.75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_460330</v>
      </c>
      <c r="L28" s="10" t="s">
        <v>13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0.8125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_460330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7"/>
        <v>0.75</v>
      </c>
      <c r="G30" s="13">
        <f t="shared" si="4"/>
        <v>105</v>
      </c>
      <c r="H30" s="13" t="s">
        <v>15</v>
      </c>
      <c r="I30" s="13" t="s">
        <v>11</v>
      </c>
      <c r="J30" s="13" t="str" cm="1">
        <f t="array" aca="1" ref="J30" ca="1">MID(CELL("filename",A9),FIND("]",CELL("filename",A9))+1,255)</f>
        <v>_460330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2</v>
      </c>
      <c r="D31" s="13">
        <f t="shared" si="3"/>
        <v>5</v>
      </c>
      <c r="E31" s="13"/>
      <c r="F31" s="15">
        <f t="shared" si="7"/>
        <v>0.82291666666666663</v>
      </c>
      <c r="G31" s="13">
        <f t="shared" si="4"/>
        <v>120</v>
      </c>
      <c r="H31" s="13" t="s">
        <v>15</v>
      </c>
      <c r="I31" s="13" t="s">
        <v>7</v>
      </c>
      <c r="J31" s="13" t="str" cm="1">
        <f t="array" aca="1" ref="J31" ca="1">MID(CELL("filename",A10),FIND("]",CELL("filename",A10))+1,255)</f>
        <v>_460330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2</v>
      </c>
      <c r="D32" s="13" t="str">
        <f t="shared" si="3"/>
        <v>4,5,6,1</v>
      </c>
      <c r="E32" s="13"/>
      <c r="F32" s="15">
        <f t="shared" si="7"/>
        <v>0.75</v>
      </c>
      <c r="G32" s="13">
        <f t="shared" si="4"/>
        <v>120</v>
      </c>
      <c r="H32" s="13" t="s">
        <v>16</v>
      </c>
      <c r="I32" s="13" t="s">
        <v>7</v>
      </c>
      <c r="J32" s="13" t="str" cm="1">
        <f t="array" aca="1" ref="J32" ca="1">MID(CELL("filename",A11),FIND("]",CELL("filename",A11))+1,255)</f>
        <v>_460330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2</v>
      </c>
      <c r="D33" s="13" t="str">
        <f t="shared" si="3"/>
        <v>4,5,6,1</v>
      </c>
      <c r="E33" s="13"/>
      <c r="F33" s="15">
        <f t="shared" si="7"/>
        <v>0.83333333333333337</v>
      </c>
      <c r="G33" s="13">
        <f t="shared" si="4"/>
        <v>120</v>
      </c>
      <c r="H33" s="13" t="s">
        <v>16</v>
      </c>
      <c r="I33" s="13" t="s">
        <v>7</v>
      </c>
      <c r="J33" s="13" t="str" cm="1">
        <f t="array" aca="1" ref="J33" ca="1">MID(CELL("filename",A12),FIND("]",CELL("filename",A12))+1,255)</f>
        <v>_460330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7"/>
        <v>0.75</v>
      </c>
      <c r="G34" s="13">
        <f t="shared" si="4"/>
        <v>120</v>
      </c>
      <c r="H34" s="13" t="s">
        <v>17</v>
      </c>
      <c r="I34" s="13" t="s">
        <v>6</v>
      </c>
      <c r="J34" s="13" t="str" cm="1">
        <f t="array" aca="1" ref="J34" ca="1">MID(CELL("filename",A13),FIND("]",CELL("filename",A13))+1,255)</f>
        <v>_460330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7"/>
        <v>0.83333333333333337</v>
      </c>
      <c r="G35" s="13">
        <f t="shared" si="4"/>
        <v>120</v>
      </c>
      <c r="H35" s="13" t="s">
        <v>17</v>
      </c>
      <c r="I35" s="13" t="s">
        <v>6</v>
      </c>
      <c r="J35" s="13" t="str" cm="1">
        <f t="array" aca="1" ref="J35" ca="1">MID(CELL("filename",A14),FIND("]",CELL("filename",A14))+1,255)</f>
        <v>_460330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5</v>
      </c>
      <c r="D36" s="13" t="str">
        <f t="shared" si="3"/>
        <v>2,3,4,5,6</v>
      </c>
      <c r="E36" s="13"/>
      <c r="F36" s="15">
        <f t="shared" si="7"/>
        <v>0.75</v>
      </c>
      <c r="G36" s="13">
        <f t="shared" si="4"/>
        <v>90</v>
      </c>
      <c r="H36" s="13" t="s">
        <v>18</v>
      </c>
      <c r="I36" s="13" t="s">
        <v>9</v>
      </c>
      <c r="J36" s="13" t="str" cm="1">
        <f t="array" aca="1" ref="J36" ca="1">MID(CELL("filename",A15),FIND("]",CELL("filename",A15))+1,255)</f>
        <v>_460330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4</v>
      </c>
      <c r="D37" s="13" t="str">
        <f t="shared" si="3"/>
        <v>2,3,4,5,6</v>
      </c>
      <c r="E37" s="13"/>
      <c r="F37" s="15">
        <f t="shared" si="7"/>
        <v>0.8125</v>
      </c>
      <c r="G37" s="13">
        <f t="shared" si="4"/>
        <v>105</v>
      </c>
      <c r="H37" s="13" t="s">
        <v>18</v>
      </c>
      <c r="I37" s="12" t="s">
        <v>11</v>
      </c>
      <c r="J37" s="13" t="str" cm="1">
        <f t="array" aca="1" ref="J37" ca="1">MID(CELL("filename",A16),FIND("]",CELL("filename",A16))+1,255)</f>
        <v>_460330</v>
      </c>
    </row>
    <row r="38" spans="1:10">
      <c r="A38" s="13"/>
      <c r="B38" s="13"/>
      <c r="C38" s="13"/>
      <c r="D38" s="13"/>
      <c r="E38" s="13"/>
      <c r="F38" s="15"/>
      <c r="G38" s="13"/>
      <c r="H38" s="13"/>
      <c r="I38" s="12"/>
      <c r="J38" s="13"/>
    </row>
  </sheetData>
  <mergeCells count="23">
    <mergeCell ref="B15:H15"/>
    <mergeCell ref="B16:H16"/>
    <mergeCell ref="B17:G17"/>
    <mergeCell ref="B18:E18"/>
    <mergeCell ref="B19:E19"/>
    <mergeCell ref="B13:I13"/>
    <mergeCell ref="B14:I14"/>
    <mergeCell ref="H9:N9"/>
    <mergeCell ref="B5:G5"/>
    <mergeCell ref="H5:M5"/>
    <mergeCell ref="B6:H6"/>
    <mergeCell ref="I6:P6"/>
    <mergeCell ref="B9:G9"/>
    <mergeCell ref="B7:I7"/>
    <mergeCell ref="J7:Q7"/>
    <mergeCell ref="B8:I8"/>
    <mergeCell ref="J8:Q8"/>
    <mergeCell ref="B2:I2"/>
    <mergeCell ref="J2:Q2"/>
    <mergeCell ref="B3:I3"/>
    <mergeCell ref="J3:Q3"/>
    <mergeCell ref="B4:H4"/>
    <mergeCell ref="I4:P4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2F17-1E20-4492-B611-110CE43FB17B}">
  <sheetPr codeName="Sheet31"/>
  <dimension ref="A1:AO62"/>
  <sheetViews>
    <sheetView zoomScale="55" zoomScaleNormal="55" workbookViewId="0">
      <pane ySplit="19" topLeftCell="A24" activePane="bottomLeft" state="frozen"/>
      <selection activeCell="J22" sqref="J22:J38"/>
      <selection pane="bottomLeft" activeCell="F62" sqref="F62"/>
    </sheetView>
  </sheetViews>
  <sheetFormatPr defaultColWidth="8.88671875" defaultRowHeight="14.4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  <c r="R2" s="50" t="s">
        <v>6</v>
      </c>
      <c r="S2" s="51"/>
      <c r="T2" s="51"/>
      <c r="U2" s="51"/>
      <c r="V2" s="51"/>
      <c r="W2" s="51"/>
      <c r="X2" s="51"/>
      <c r="Y2" s="52"/>
      <c r="Z2" s="50" t="s">
        <v>6</v>
      </c>
      <c r="AA2" s="51"/>
      <c r="AB2" s="51"/>
      <c r="AC2" s="51"/>
      <c r="AD2" s="51"/>
      <c r="AE2" s="51"/>
      <c r="AF2" s="51"/>
      <c r="AG2" s="52"/>
      <c r="AH2" s="50" t="s">
        <v>6</v>
      </c>
      <c r="AI2" s="51"/>
      <c r="AJ2" s="51"/>
      <c r="AK2" s="51"/>
      <c r="AL2" s="51"/>
      <c r="AM2" s="51"/>
      <c r="AN2" s="51"/>
      <c r="AO2" s="52"/>
    </row>
    <row r="3" spans="1:41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9" t="s">
        <v>7</v>
      </c>
      <c r="K3" s="60"/>
      <c r="L3" s="60"/>
      <c r="M3" s="60"/>
      <c r="N3" s="60"/>
      <c r="O3" s="60"/>
      <c r="P3" s="60"/>
      <c r="Q3" s="61"/>
      <c r="R3" s="59" t="s">
        <v>7</v>
      </c>
      <c r="S3" s="60"/>
      <c r="T3" s="60"/>
      <c r="U3" s="60"/>
      <c r="V3" s="60"/>
      <c r="W3" s="60"/>
      <c r="X3" s="60"/>
      <c r="Y3" s="61"/>
      <c r="Z3" s="59" t="s">
        <v>7</v>
      </c>
      <c r="AA3" s="60"/>
      <c r="AB3" s="60"/>
      <c r="AC3" s="60"/>
      <c r="AD3" s="60"/>
      <c r="AE3" s="60"/>
      <c r="AF3" s="60"/>
      <c r="AG3" s="61"/>
      <c r="AH3" s="59" t="s">
        <v>7</v>
      </c>
      <c r="AI3" s="60"/>
      <c r="AJ3" s="60"/>
      <c r="AK3" s="60"/>
      <c r="AL3" s="54"/>
      <c r="AM3" s="54"/>
      <c r="AN3" s="54"/>
      <c r="AO3" s="55"/>
    </row>
    <row r="4" spans="1:41" ht="15" thickBot="1">
      <c r="A4" s="10" t="s">
        <v>11</v>
      </c>
      <c r="B4" s="56" t="s">
        <v>11</v>
      </c>
      <c r="C4" s="57"/>
      <c r="D4" s="57"/>
      <c r="E4" s="57"/>
      <c r="F4" s="75"/>
      <c r="G4" s="75"/>
      <c r="H4" s="76"/>
      <c r="I4" s="84" t="s">
        <v>11</v>
      </c>
      <c r="J4" s="75"/>
      <c r="K4" s="75"/>
      <c r="L4" s="75"/>
      <c r="M4" s="75"/>
      <c r="N4" s="75"/>
      <c r="O4" s="76"/>
      <c r="R4" s="56" t="s">
        <v>11</v>
      </c>
      <c r="S4" s="57"/>
      <c r="T4" s="57"/>
      <c r="U4" s="57"/>
      <c r="V4" s="57"/>
      <c r="W4" s="57"/>
      <c r="X4" s="76"/>
      <c r="Y4" s="84" t="s">
        <v>11</v>
      </c>
      <c r="Z4" s="75"/>
      <c r="AA4" s="75"/>
      <c r="AB4" s="75"/>
      <c r="AC4" s="75"/>
      <c r="AD4" s="75"/>
      <c r="AE4" s="76"/>
      <c r="AF4" s="56" t="s">
        <v>11</v>
      </c>
      <c r="AG4" s="57"/>
      <c r="AH4" s="57"/>
      <c r="AI4" s="57"/>
      <c r="AJ4" s="75"/>
      <c r="AK4" s="75"/>
      <c r="AL4" s="76"/>
    </row>
    <row r="5" spans="1:41" ht="15" thickBot="1">
      <c r="A5" s="10" t="s">
        <v>14</v>
      </c>
      <c r="B5" s="85" t="s">
        <v>100</v>
      </c>
      <c r="C5" s="86"/>
      <c r="D5" s="86"/>
      <c r="E5" s="86"/>
      <c r="F5" s="25"/>
      <c r="G5" s="26"/>
      <c r="H5" s="26"/>
      <c r="I5" s="26"/>
      <c r="J5" s="38" t="s">
        <v>9</v>
      </c>
      <c r="K5" s="39"/>
      <c r="L5" s="39"/>
      <c r="M5" s="39"/>
      <c r="N5" s="39"/>
      <c r="O5" s="40"/>
      <c r="P5" s="38" t="s">
        <v>9</v>
      </c>
      <c r="Q5" s="39"/>
      <c r="R5" s="39"/>
      <c r="S5" s="39"/>
      <c r="T5" s="39"/>
      <c r="U5" s="40"/>
      <c r="X5" s="38" t="s">
        <v>9</v>
      </c>
      <c r="Y5" s="39"/>
      <c r="Z5" s="39"/>
      <c r="AA5" s="39"/>
      <c r="AB5" s="39"/>
      <c r="AC5" s="40"/>
      <c r="AD5" s="38" t="s">
        <v>9</v>
      </c>
      <c r="AE5" s="39"/>
      <c r="AF5" s="39"/>
      <c r="AG5" s="39"/>
      <c r="AH5" s="39"/>
      <c r="AI5" s="40"/>
      <c r="AJ5" s="38" t="s">
        <v>9</v>
      </c>
      <c r="AK5" s="39"/>
      <c r="AL5" s="39"/>
      <c r="AM5" s="39"/>
      <c r="AN5" s="39"/>
      <c r="AO5" s="40"/>
    </row>
    <row r="6" spans="1:41" ht="15" thickBot="1">
      <c r="A6" s="10" t="s">
        <v>15</v>
      </c>
      <c r="B6" s="56" t="s">
        <v>11</v>
      </c>
      <c r="C6" s="57"/>
      <c r="D6" s="57"/>
      <c r="E6" s="57"/>
      <c r="F6" s="62"/>
      <c r="G6" s="62"/>
      <c r="H6" s="63"/>
      <c r="I6" s="83" t="s">
        <v>11</v>
      </c>
      <c r="J6" s="62"/>
      <c r="K6" s="62"/>
      <c r="L6" s="62"/>
      <c r="M6" s="62"/>
      <c r="N6" s="62"/>
      <c r="O6" s="63"/>
      <c r="R6" s="56" t="s">
        <v>11</v>
      </c>
      <c r="S6" s="57"/>
      <c r="T6" s="57"/>
      <c r="U6" s="57"/>
      <c r="V6" s="57"/>
      <c r="W6" s="57"/>
      <c r="X6" s="63"/>
      <c r="Y6" s="83" t="s">
        <v>11</v>
      </c>
      <c r="Z6" s="62"/>
      <c r="AA6" s="62"/>
      <c r="AB6" s="62"/>
      <c r="AC6" s="62"/>
      <c r="AD6" s="62"/>
      <c r="AE6" s="63"/>
      <c r="AF6" s="56" t="s">
        <v>11</v>
      </c>
      <c r="AG6" s="57"/>
      <c r="AH6" s="57"/>
      <c r="AI6" s="57"/>
      <c r="AJ6" s="62"/>
      <c r="AK6" s="62"/>
      <c r="AL6" s="63"/>
    </row>
    <row r="7" spans="1:41" ht="15" thickBot="1">
      <c r="A7" s="10" t="s">
        <v>98</v>
      </c>
      <c r="B7" s="35" t="s">
        <v>10</v>
      </c>
      <c r="C7" s="36"/>
      <c r="D7" s="36"/>
      <c r="E7" s="36"/>
      <c r="F7" s="36"/>
      <c r="G7" s="36"/>
      <c r="H7" s="37"/>
      <c r="I7" s="35" t="s">
        <v>10</v>
      </c>
      <c r="J7" s="36"/>
      <c r="K7" s="36"/>
      <c r="L7" s="36"/>
      <c r="M7" s="36"/>
      <c r="N7" s="36"/>
      <c r="O7" s="37"/>
      <c r="P7" s="27"/>
      <c r="Q7" s="28"/>
      <c r="R7" s="35" t="s">
        <v>10</v>
      </c>
      <c r="S7" s="36"/>
      <c r="T7" s="36"/>
      <c r="U7" s="36"/>
      <c r="V7" s="36"/>
      <c r="W7" s="36"/>
      <c r="X7" s="37"/>
      <c r="Y7" s="35" t="s">
        <v>10</v>
      </c>
      <c r="Z7" s="36"/>
      <c r="AA7" s="36"/>
      <c r="AB7" s="36"/>
      <c r="AC7" s="36"/>
      <c r="AD7" s="36"/>
      <c r="AE7" s="37"/>
      <c r="AF7" s="35" t="s">
        <v>10</v>
      </c>
      <c r="AG7" s="36"/>
      <c r="AH7" s="68"/>
      <c r="AI7" s="68"/>
      <c r="AJ7" s="68"/>
      <c r="AK7" s="68"/>
      <c r="AL7" s="69"/>
    </row>
    <row r="8" spans="1:41" ht="15" thickBot="1">
      <c r="A8" s="10" t="s">
        <v>17</v>
      </c>
      <c r="B8" s="80" t="s">
        <v>6</v>
      </c>
      <c r="C8" s="81"/>
      <c r="D8" s="81"/>
      <c r="E8" s="81"/>
      <c r="F8" s="81"/>
      <c r="G8" s="81"/>
      <c r="H8" s="81"/>
      <c r="I8" s="82"/>
      <c r="J8" s="59" t="s">
        <v>7</v>
      </c>
      <c r="K8" s="60"/>
      <c r="L8" s="60"/>
      <c r="M8" s="60"/>
      <c r="N8" s="60"/>
      <c r="O8" s="60"/>
      <c r="P8" s="60"/>
      <c r="Q8" s="61"/>
      <c r="R8" s="3"/>
      <c r="S8" s="4"/>
      <c r="T8" s="35" t="s">
        <v>10</v>
      </c>
      <c r="U8" s="36"/>
      <c r="V8" s="36"/>
      <c r="W8" s="36"/>
      <c r="X8" s="36"/>
      <c r="Y8" s="36"/>
      <c r="Z8" s="37"/>
      <c r="AA8" s="35" t="s">
        <v>10</v>
      </c>
      <c r="AB8" s="36"/>
      <c r="AC8" s="36"/>
      <c r="AD8" s="36"/>
      <c r="AE8" s="36"/>
      <c r="AF8" s="36"/>
      <c r="AG8" s="37"/>
      <c r="AH8" s="70" t="s">
        <v>10</v>
      </c>
      <c r="AI8" s="71"/>
      <c r="AJ8" s="71"/>
      <c r="AK8" s="71"/>
      <c r="AL8" s="71"/>
      <c r="AM8" s="71"/>
      <c r="AN8" s="72"/>
    </row>
    <row r="9" spans="1:41" ht="15" thickBot="1">
      <c r="A9" s="10" t="s">
        <v>18</v>
      </c>
      <c r="B9" s="38" t="s">
        <v>9</v>
      </c>
      <c r="C9" s="39"/>
      <c r="D9" s="39"/>
      <c r="E9" s="39"/>
      <c r="F9" s="39"/>
      <c r="G9" s="40"/>
      <c r="H9" s="38" t="s">
        <v>9</v>
      </c>
      <c r="I9" s="39"/>
      <c r="J9" s="39"/>
      <c r="K9" s="39"/>
      <c r="L9" s="39"/>
      <c r="M9" s="40"/>
      <c r="N9" s="38" t="s">
        <v>9</v>
      </c>
      <c r="O9" s="39"/>
      <c r="P9" s="39"/>
      <c r="Q9" s="39"/>
      <c r="R9" s="39"/>
      <c r="S9" s="40"/>
      <c r="U9" s="27"/>
      <c r="V9" s="53" t="s">
        <v>7</v>
      </c>
      <c r="W9" s="54"/>
      <c r="X9" s="54"/>
      <c r="Y9" s="54"/>
      <c r="Z9" s="54"/>
      <c r="AA9" s="54"/>
      <c r="AB9" s="54"/>
      <c r="AC9" s="55"/>
      <c r="AD9" s="53" t="s">
        <v>7</v>
      </c>
      <c r="AE9" s="54"/>
      <c r="AF9" s="54"/>
      <c r="AG9" s="54"/>
      <c r="AH9" s="54"/>
      <c r="AI9" s="54"/>
      <c r="AJ9" s="54"/>
      <c r="AK9" s="55"/>
      <c r="AL9" s="28"/>
      <c r="AM9" s="28"/>
      <c r="AN9" s="28"/>
      <c r="AO9" s="29"/>
    </row>
    <row r="12" spans="1:41" ht="15" thickBot="1"/>
    <row r="13" spans="1:41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6</v>
      </c>
      <c r="L13" s="10">
        <f t="shared" ref="L13:L19" si="0">COUNTIF($B$2:$CS$9,B13)</f>
        <v>6</v>
      </c>
    </row>
    <row r="14" spans="1:41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8</v>
      </c>
      <c r="L14" s="10">
        <f t="shared" si="0"/>
        <v>8</v>
      </c>
    </row>
    <row r="15" spans="1:41" ht="15" thickBot="1">
      <c r="B15" s="35" t="s">
        <v>10</v>
      </c>
      <c r="C15" s="36"/>
      <c r="D15" s="36"/>
      <c r="E15" s="36"/>
      <c r="F15" s="36"/>
      <c r="G15" s="36"/>
      <c r="H15" s="37"/>
      <c r="K15" s="10">
        <v>8</v>
      </c>
      <c r="L15" s="10">
        <f t="shared" si="0"/>
        <v>8</v>
      </c>
    </row>
    <row r="16" spans="1:41" ht="15" thickBot="1">
      <c r="B16" s="56" t="s">
        <v>11</v>
      </c>
      <c r="C16" s="57"/>
      <c r="D16" s="57"/>
      <c r="E16" s="57"/>
      <c r="F16" s="57"/>
      <c r="G16" s="57"/>
      <c r="H16" s="58"/>
      <c r="K16" s="10">
        <v>10</v>
      </c>
      <c r="L16" s="10">
        <f t="shared" si="0"/>
        <v>10</v>
      </c>
    </row>
    <row r="17" spans="1:13" ht="15" thickBot="1">
      <c r="B17" s="38" t="s">
        <v>9</v>
      </c>
      <c r="C17" s="39"/>
      <c r="D17" s="39"/>
      <c r="E17" s="39"/>
      <c r="F17" s="39"/>
      <c r="G17" s="40"/>
      <c r="K17" s="10">
        <v>8</v>
      </c>
      <c r="L17" s="10">
        <f t="shared" si="0"/>
        <v>8</v>
      </c>
    </row>
    <row r="18" spans="1:13" ht="15" thickBot="1">
      <c r="B18" s="41" t="s">
        <v>12</v>
      </c>
      <c r="C18" s="42"/>
      <c r="D18" s="42"/>
      <c r="E18" s="43"/>
      <c r="K18" s="10">
        <v>0</v>
      </c>
      <c r="L18" s="10">
        <f t="shared" si="0"/>
        <v>0</v>
      </c>
    </row>
    <row r="19" spans="1:13">
      <c r="B19" s="44" t="s">
        <v>100</v>
      </c>
      <c r="C19" s="45"/>
      <c r="D19" s="45"/>
      <c r="E19" s="46"/>
      <c r="K19" s="10">
        <v>1</v>
      </c>
      <c r="L19" s="10">
        <f t="shared" si="0"/>
        <v>1</v>
      </c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0.375</v>
      </c>
      <c r="G22" s="13">
        <f t="shared" ref="G2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_6881080</v>
      </c>
      <c r="L22" s="10" t="s">
        <v>6</v>
      </c>
      <c r="M22" s="10">
        <f>COUNTIF(I$22:I$100,L22)</f>
        <v>6</v>
      </c>
    </row>
    <row r="23" spans="1:13">
      <c r="A23" s="13" t="e">
        <f t="shared" ref="A23:A62" si="5">A22+1</f>
        <v>#VALUE!</v>
      </c>
      <c r="B23" s="13" t="str">
        <f t="shared" ref="B23:B62" si="6">VLOOKUP(H23,field_id,2,FALSE)</f>
        <v>4</v>
      </c>
      <c r="C23" s="13">
        <f t="shared" ref="C23:C62" si="7">VLOOKUP(I23,league_id,2,FALSE)</f>
        <v>1</v>
      </c>
      <c r="D23" s="13" t="str">
        <f t="shared" ref="D23:D62" si="8">VLOOKUP(H23,slot_compat,3,FALSE)</f>
        <v>2,3</v>
      </c>
      <c r="E23" s="13"/>
      <c r="F23" s="15">
        <f>IF(B23&lt;&gt;B22,F$22,F22+G22/60/24)</f>
        <v>0.45833333333333331</v>
      </c>
      <c r="G23" s="13">
        <f t="shared" ref="G23:G62" si="9">VLOOKUP(I23,GameDuration,2,FALSE)</f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_6881080</v>
      </c>
      <c r="L23" s="10" t="s">
        <v>7</v>
      </c>
      <c r="M23" s="10">
        <f t="shared" ref="M23:M28" si="10">COUNTIF(I$22:I$100,L23)</f>
        <v>8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 t="str">
        <f t="shared" si="8"/>
        <v>2,3</v>
      </c>
      <c r="E24" s="13"/>
      <c r="F24" s="15">
        <f t="shared" ref="F24:F62" si="11">IF(B24&lt;&gt;B23,F$22,F23+G23/60/24)</f>
        <v>0.54166666666666663</v>
      </c>
      <c r="G24" s="13">
        <f t="shared" si="9"/>
        <v>120</v>
      </c>
      <c r="H24" s="13" t="s">
        <v>6</v>
      </c>
      <c r="I24" s="13" t="s">
        <v>6</v>
      </c>
      <c r="J24" s="13" t="str" cm="1">
        <f t="array" aca="1" ref="J24" ca="1">MID(CELL("filename",A3),FIND("]",CELL("filename",A3))+1,255)</f>
        <v>_6881080</v>
      </c>
      <c r="L24" s="10" t="s">
        <v>10</v>
      </c>
      <c r="M24" s="10">
        <f t="shared" si="10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 t="str">
        <f t="shared" si="8"/>
        <v>2,3</v>
      </c>
      <c r="E25" s="13"/>
      <c r="F25" s="15">
        <f t="shared" si="11"/>
        <v>0.625</v>
      </c>
      <c r="G25" s="13">
        <f t="shared" si="9"/>
        <v>120</v>
      </c>
      <c r="H25" s="13" t="s">
        <v>6</v>
      </c>
      <c r="I25" s="13" t="s">
        <v>6</v>
      </c>
      <c r="J25" s="13" t="str" cm="1">
        <f t="array" aca="1" ref="J25" ca="1">MID(CELL("filename",A4),FIND("]",CELL("filename",A4))+1,255)</f>
        <v>_6881080</v>
      </c>
      <c r="L25" s="10" t="s">
        <v>11</v>
      </c>
      <c r="M25" s="10">
        <f t="shared" si="10"/>
        <v>10</v>
      </c>
    </row>
    <row r="26" spans="1:1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 t="str">
        <f t="shared" si="8"/>
        <v>2,3</v>
      </c>
      <c r="E26" s="13"/>
      <c r="F26" s="15">
        <f t="shared" si="11"/>
        <v>0.70833333333333337</v>
      </c>
      <c r="G26" s="13">
        <f t="shared" si="9"/>
        <v>120</v>
      </c>
      <c r="H26" s="13" t="s">
        <v>6</v>
      </c>
      <c r="I26" s="13" t="s">
        <v>6</v>
      </c>
      <c r="J26" s="13" t="str" cm="1">
        <f t="array" aca="1" ref="J26" ca="1">MID(CELL("filename",A5),FIND("]",CELL("filename",A5))+1,255)</f>
        <v>_6881080</v>
      </c>
      <c r="L26" s="10" t="s">
        <v>9</v>
      </c>
      <c r="M26" s="10">
        <f t="shared" si="10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1"/>
        <v>0.375</v>
      </c>
      <c r="G27" s="13">
        <f t="shared" si="9"/>
        <v>120</v>
      </c>
      <c r="H27" s="13" t="s">
        <v>7</v>
      </c>
      <c r="I27" s="13" t="s">
        <v>7</v>
      </c>
      <c r="J27" s="13" t="str" cm="1">
        <f t="array" aca="1" ref="J27" ca="1">MID(CELL("filename",A6),FIND("]",CELL("filename",A6))+1,255)</f>
        <v>_6881080</v>
      </c>
      <c r="L27" s="10" t="s">
        <v>12</v>
      </c>
      <c r="M27" s="10">
        <f t="shared" si="10"/>
        <v>0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1"/>
        <v>0.45833333333333331</v>
      </c>
      <c r="G28" s="13">
        <f t="shared" si="9"/>
        <v>120</v>
      </c>
      <c r="H28" s="13" t="s">
        <v>7</v>
      </c>
      <c r="I28" s="13" t="s">
        <v>7</v>
      </c>
      <c r="J28" s="13" t="str" cm="1">
        <f t="array" aca="1" ref="J28" ca="1">MID(CELL("filename",A7),FIND("]",CELL("filename",A7))+1,255)</f>
        <v>_6881080</v>
      </c>
      <c r="L28" s="10" t="s">
        <v>13</v>
      </c>
      <c r="M28" s="10">
        <f t="shared" si="10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1"/>
        <v>0.54166666666666663</v>
      </c>
      <c r="G29" s="13">
        <f t="shared" si="9"/>
        <v>120</v>
      </c>
      <c r="H29" s="13" t="s">
        <v>7</v>
      </c>
      <c r="I29" s="13" t="s">
        <v>7</v>
      </c>
      <c r="J29" s="13" t="str" cm="1">
        <f t="array" aca="1" ref="J29" ca="1">MID(CELL("filename",A8),FIND("]",CELL("filename",A8))+1,255)</f>
        <v>_6881080</v>
      </c>
    </row>
    <row r="30" spans="1:1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1"/>
        <v>0.625</v>
      </c>
      <c r="G30" s="13">
        <f t="shared" si="9"/>
        <v>120</v>
      </c>
      <c r="H30" s="13" t="s">
        <v>7</v>
      </c>
      <c r="I30" s="13" t="s">
        <v>7</v>
      </c>
      <c r="J30" s="13" t="str" cm="1">
        <f t="array" aca="1" ref="J30" ca="1">MID(CELL("filename",A9),FIND("]",CELL("filename",A9))+1,255)</f>
        <v>_6881080</v>
      </c>
    </row>
    <row r="31" spans="1:1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1"/>
        <v>0.70833333333333337</v>
      </c>
      <c r="G31" s="13">
        <f t="shared" si="9"/>
        <v>120</v>
      </c>
      <c r="H31" s="13" t="s">
        <v>7</v>
      </c>
      <c r="I31" s="13" t="s">
        <v>7</v>
      </c>
      <c r="J31" s="13" t="str" cm="1">
        <f t="array" aca="1" ref="J31" ca="1">MID(CELL("filename",A10),FIND("]",CELL("filename",A10))+1,255)</f>
        <v>_6881080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4</v>
      </c>
      <c r="D32" s="13" t="str">
        <f t="shared" si="8"/>
        <v>5,6</v>
      </c>
      <c r="E32" s="13"/>
      <c r="F32" s="15">
        <f t="shared" si="11"/>
        <v>0.375</v>
      </c>
      <c r="G32" s="13">
        <f t="shared" si="9"/>
        <v>105</v>
      </c>
      <c r="H32" s="13" t="s">
        <v>8</v>
      </c>
      <c r="I32" s="13" t="s">
        <v>11</v>
      </c>
      <c r="J32" s="13" t="str" cm="1">
        <f t="array" aca="1" ref="J32" ca="1">MID(CELL("filename",A11),FIND("]",CELL("filename",A11))+1,255)</f>
        <v>_6881080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1"/>
        <v>0.44791666666666669</v>
      </c>
      <c r="G33" s="13">
        <f t="shared" si="9"/>
        <v>105</v>
      </c>
      <c r="H33" s="13" t="s">
        <v>8</v>
      </c>
      <c r="I33" s="13" t="s">
        <v>11</v>
      </c>
      <c r="J33" s="13" t="str" cm="1">
        <f t="array" aca="1" ref="J33" ca="1">MID(CELL("filename",A12),FIND("]",CELL("filename",A12))+1,255)</f>
        <v>_6881080</v>
      </c>
    </row>
    <row r="34" spans="1:10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v>0.54166666666666663</v>
      </c>
      <c r="G34" s="13">
        <f t="shared" si="9"/>
        <v>105</v>
      </c>
      <c r="H34" s="13" t="s">
        <v>8</v>
      </c>
      <c r="I34" s="13" t="s">
        <v>11</v>
      </c>
      <c r="J34" s="13" t="str" cm="1">
        <f t="array" aca="1" ref="J34" ca="1">MID(CELL("filename",A13),FIND("]",CELL("filename",A13))+1,255)</f>
        <v>_6881080</v>
      </c>
    </row>
    <row r="35" spans="1:10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f t="shared" si="11"/>
        <v>0.61458333333333326</v>
      </c>
      <c r="G35" s="13">
        <f t="shared" si="9"/>
        <v>105</v>
      </c>
      <c r="H35" s="13" t="s">
        <v>8</v>
      </c>
      <c r="I35" s="13" t="s">
        <v>11</v>
      </c>
      <c r="J35" s="13" t="str" cm="1">
        <f t="array" aca="1" ref="J35" ca="1">MID(CELL("filename",A14),FIND("]",CELL("filename",A14))+1,255)</f>
        <v>_6881080</v>
      </c>
    </row>
    <row r="36" spans="1:10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1"/>
        <v>0.68749999999999989</v>
      </c>
      <c r="G36" s="13">
        <f t="shared" si="9"/>
        <v>105</v>
      </c>
      <c r="H36" s="13" t="s">
        <v>8</v>
      </c>
      <c r="I36" s="13" t="s">
        <v>11</v>
      </c>
      <c r="J36" s="13" t="str" cm="1">
        <f t="array" aca="1" ref="J36" ca="1">MID(CELL("filename",A15),FIND("]",CELL("filename",A15))+1,255)</f>
        <v>_6881080</v>
      </c>
    </row>
    <row r="37" spans="1:10">
      <c r="A37" s="13" t="e">
        <f t="shared" si="5"/>
        <v>#VALUE!</v>
      </c>
      <c r="B37" s="13" t="str">
        <f t="shared" si="6"/>
        <v>1</v>
      </c>
      <c r="C37" s="13">
        <f t="shared" si="7"/>
        <v>7</v>
      </c>
      <c r="D37" s="13" t="str">
        <f t="shared" si="8"/>
        <v>6,7</v>
      </c>
      <c r="E37" s="13"/>
      <c r="F37" s="15">
        <f t="shared" si="11"/>
        <v>0.375</v>
      </c>
      <c r="G37" s="13">
        <f t="shared" si="9"/>
        <v>60</v>
      </c>
      <c r="H37" s="12" t="s">
        <v>14</v>
      </c>
      <c r="I37" s="12" t="s">
        <v>13</v>
      </c>
      <c r="J37" s="13" t="str" cm="1">
        <f t="array" aca="1" ref="J37" ca="1">MID(CELL("filename",A16),FIND("]",CELL("filename",A16))+1,255)</f>
        <v>_6881080</v>
      </c>
    </row>
    <row r="38" spans="1:10">
      <c r="A38" s="13" t="e">
        <f t="shared" si="5"/>
        <v>#VALUE!</v>
      </c>
      <c r="B38" s="13" t="str">
        <f t="shared" si="6"/>
        <v>1</v>
      </c>
      <c r="C38" s="13">
        <f t="shared" si="7"/>
        <v>5</v>
      </c>
      <c r="D38" s="13" t="str">
        <f t="shared" si="8"/>
        <v>6,7</v>
      </c>
      <c r="E38" s="13"/>
      <c r="F38" s="15">
        <v>0.45833333333333331</v>
      </c>
      <c r="G38" s="13">
        <f t="shared" si="9"/>
        <v>90</v>
      </c>
      <c r="H38" s="12" t="s">
        <v>14</v>
      </c>
      <c r="I38" s="12" t="s">
        <v>9</v>
      </c>
      <c r="J38" s="13" t="str" cm="1">
        <f t="array" aca="1" ref="J38" ca="1">MID(CELL("filename",A17),FIND("]",CELL("filename",A17))+1,255)</f>
        <v>_6881080</v>
      </c>
    </row>
    <row r="39" spans="1:10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1"/>
        <v>0.52083333333333326</v>
      </c>
      <c r="G39" s="13">
        <f t="shared" si="9"/>
        <v>90</v>
      </c>
      <c r="H39" s="12" t="s">
        <v>14</v>
      </c>
      <c r="I39" s="12" t="s">
        <v>9</v>
      </c>
      <c r="J39" s="13" t="str" cm="1">
        <f t="array" aca="1" ref="J39" ca="1">MID(CELL("filename",A18),FIND("]",CELL("filename",A18))+1,255)</f>
        <v>_6881080</v>
      </c>
    </row>
    <row r="40" spans="1:10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v>0.60416666666666663</v>
      </c>
      <c r="G40" s="13">
        <f t="shared" si="9"/>
        <v>90</v>
      </c>
      <c r="H40" s="12" t="s">
        <v>14</v>
      </c>
      <c r="I40" s="12" t="s">
        <v>9</v>
      </c>
      <c r="J40" s="13" t="str" cm="1">
        <f t="array" aca="1" ref="J40" ca="1">MID(CELL("filename",A19),FIND("]",CELL("filename",A19))+1,255)</f>
        <v>_6881080</v>
      </c>
    </row>
    <row r="41" spans="1:10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1"/>
        <v>0.66666666666666663</v>
      </c>
      <c r="G41" s="13">
        <f t="shared" si="9"/>
        <v>90</v>
      </c>
      <c r="H41" s="12" t="s">
        <v>14</v>
      </c>
      <c r="I41" s="12" t="s">
        <v>9</v>
      </c>
      <c r="J41" s="13" t="str" cm="1">
        <f t="array" aca="1" ref="J41" ca="1">MID(CELL("filename",A20),FIND("]",CELL("filename",A20))+1,255)</f>
        <v>_6881080</v>
      </c>
    </row>
    <row r="42" spans="1:10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f t="shared" si="11"/>
        <v>0.72916666666666663</v>
      </c>
      <c r="G42" s="13">
        <f t="shared" si="9"/>
        <v>90</v>
      </c>
      <c r="H42" s="12" t="s">
        <v>14</v>
      </c>
      <c r="I42" s="12" t="s">
        <v>9</v>
      </c>
      <c r="J42" s="13" t="str" cm="1">
        <f t="array" aca="1" ref="J42" ca="1">MID(CELL("filename",A21),FIND("]",CELL("filename",A21))+1,255)</f>
        <v>_6881080</v>
      </c>
    </row>
    <row r="43" spans="1:10">
      <c r="A43" s="13" t="e">
        <f t="shared" si="5"/>
        <v>#VALUE!</v>
      </c>
      <c r="B43" s="13" t="str">
        <f t="shared" si="6"/>
        <v>5</v>
      </c>
      <c r="C43" s="13">
        <f t="shared" si="7"/>
        <v>4</v>
      </c>
      <c r="D43" s="13">
        <f t="shared" si="8"/>
        <v>5</v>
      </c>
      <c r="E43" s="13"/>
      <c r="F43" s="15">
        <f t="shared" si="11"/>
        <v>0.375</v>
      </c>
      <c r="G43" s="13">
        <f t="shared" si="9"/>
        <v>105</v>
      </c>
      <c r="H43" s="12" t="s">
        <v>15</v>
      </c>
      <c r="I43" s="12" t="s">
        <v>11</v>
      </c>
      <c r="J43" s="13" t="str" cm="1">
        <f t="array" aca="1" ref="J43" ca="1">MID(CELL("filename",A22),FIND("]",CELL("filename",A22))+1,255)</f>
        <v>_6881080</v>
      </c>
    </row>
    <row r="44" spans="1:10">
      <c r="A44" s="13" t="e">
        <f t="shared" si="5"/>
        <v>#VALUE!</v>
      </c>
      <c r="B44" s="13" t="str">
        <f t="shared" si="6"/>
        <v>5</v>
      </c>
      <c r="C44" s="13">
        <f t="shared" si="7"/>
        <v>4</v>
      </c>
      <c r="D44" s="13">
        <f t="shared" si="8"/>
        <v>5</v>
      </c>
      <c r="E44" s="13"/>
      <c r="F44" s="15">
        <f t="shared" si="11"/>
        <v>0.44791666666666669</v>
      </c>
      <c r="G44" s="13">
        <f t="shared" si="9"/>
        <v>105</v>
      </c>
      <c r="H44" s="12" t="s">
        <v>15</v>
      </c>
      <c r="I44" s="12" t="s">
        <v>11</v>
      </c>
      <c r="J44" s="13" t="str" cm="1">
        <f t="array" aca="1" ref="J44" ca="1">MID(CELL("filename",A23),FIND("]",CELL("filename",A23))+1,255)</f>
        <v>_6881080</v>
      </c>
    </row>
    <row r="45" spans="1:10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v>0.54166666666666663</v>
      </c>
      <c r="G45" s="13">
        <f t="shared" si="9"/>
        <v>105</v>
      </c>
      <c r="H45" s="12" t="s">
        <v>15</v>
      </c>
      <c r="I45" s="12" t="s">
        <v>11</v>
      </c>
      <c r="J45" s="13" t="str" cm="1">
        <f t="array" aca="1" ref="J45" ca="1">MID(CELL("filename",A24),FIND("]",CELL("filename",A24))+1,255)</f>
        <v>_6881080</v>
      </c>
    </row>
    <row r="46" spans="1:10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1"/>
        <v>0.61458333333333326</v>
      </c>
      <c r="G46" s="13">
        <f t="shared" si="9"/>
        <v>105</v>
      </c>
      <c r="H46" s="12" t="s">
        <v>15</v>
      </c>
      <c r="I46" s="12" t="s">
        <v>11</v>
      </c>
      <c r="J46" s="13" t="str" cm="1">
        <f t="array" aca="1" ref="J46" ca="1">MID(CELL("filename",A25),FIND("]",CELL("filename",A25))+1,255)</f>
        <v>_6881080</v>
      </c>
    </row>
    <row r="47" spans="1:10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f t="shared" si="11"/>
        <v>0.68749999999999989</v>
      </c>
      <c r="G47" s="13">
        <f t="shared" si="9"/>
        <v>105</v>
      </c>
      <c r="H47" s="12" t="s">
        <v>15</v>
      </c>
      <c r="I47" s="12" t="s">
        <v>11</v>
      </c>
      <c r="J47" s="13" t="str" cm="1">
        <f t="array" aca="1" ref="J47" ca="1">MID(CELL("filename",A26),FIND("]",CELL("filename",A26))+1,255)</f>
        <v>_6881080</v>
      </c>
    </row>
    <row r="48" spans="1:10">
      <c r="A48" s="13" t="e">
        <f t="shared" si="5"/>
        <v>#VALUE!</v>
      </c>
      <c r="B48" s="13" t="str">
        <f t="shared" si="6"/>
        <v>6</v>
      </c>
      <c r="C48" s="13">
        <f t="shared" si="7"/>
        <v>3</v>
      </c>
      <c r="D48" s="13" t="str">
        <f t="shared" si="8"/>
        <v>4,5,6,1</v>
      </c>
      <c r="E48" s="13"/>
      <c r="F48" s="15">
        <f t="shared" si="11"/>
        <v>0.375</v>
      </c>
      <c r="G48" s="13">
        <f t="shared" si="9"/>
        <v>105</v>
      </c>
      <c r="H48" s="12" t="s">
        <v>16</v>
      </c>
      <c r="I48" s="12" t="s">
        <v>10</v>
      </c>
      <c r="J48" s="13" t="str" cm="1">
        <f t="array" aca="1" ref="J48" ca="1">MID(CELL("filename",A27),FIND("]",CELL("filename",A27))+1,255)</f>
        <v>_6881080</v>
      </c>
    </row>
    <row r="49" spans="1:10">
      <c r="A49" s="13" t="e">
        <f t="shared" si="5"/>
        <v>#VALUE!</v>
      </c>
      <c r="B49" s="13" t="str">
        <f t="shared" si="6"/>
        <v>6</v>
      </c>
      <c r="C49" s="13">
        <f t="shared" si="7"/>
        <v>3</v>
      </c>
      <c r="D49" s="13" t="str">
        <f t="shared" si="8"/>
        <v>4,5,6,1</v>
      </c>
      <c r="E49" s="13"/>
      <c r="F49" s="15">
        <f t="shared" si="11"/>
        <v>0.44791666666666669</v>
      </c>
      <c r="G49" s="13">
        <f t="shared" si="9"/>
        <v>105</v>
      </c>
      <c r="H49" s="12" t="s">
        <v>16</v>
      </c>
      <c r="I49" s="12" t="s">
        <v>10</v>
      </c>
      <c r="J49" s="13" t="str" cm="1">
        <f t="array" aca="1" ref="J49" ca="1">MID(CELL("filename",A28),FIND("]",CELL("filename",A28))+1,255)</f>
        <v>_6881080</v>
      </c>
    </row>
    <row r="50" spans="1:10">
      <c r="A50" s="13" t="e">
        <f t="shared" si="5"/>
        <v>#VALUE!</v>
      </c>
      <c r="B50" s="13" t="str">
        <f t="shared" si="6"/>
        <v>6</v>
      </c>
      <c r="C50" s="13">
        <f t="shared" si="7"/>
        <v>3</v>
      </c>
      <c r="D50" s="13" t="str">
        <f t="shared" si="8"/>
        <v>4,5,6,1</v>
      </c>
      <c r="E50" s="13"/>
      <c r="F50" s="15">
        <v>0.54166666666666663</v>
      </c>
      <c r="G50" s="13">
        <f t="shared" si="9"/>
        <v>105</v>
      </c>
      <c r="H50" s="12" t="s">
        <v>16</v>
      </c>
      <c r="I50" s="12" t="s">
        <v>10</v>
      </c>
      <c r="J50" s="13" t="str" cm="1">
        <f t="array" aca="1" ref="J50" ca="1">MID(CELL("filename",A29),FIND("]",CELL("filename",A29))+1,255)</f>
        <v>_6881080</v>
      </c>
    </row>
    <row r="51" spans="1:10">
      <c r="A51" s="13" t="e">
        <f t="shared" si="5"/>
        <v>#VALUE!</v>
      </c>
      <c r="B51" s="13" t="str">
        <f t="shared" si="6"/>
        <v>6</v>
      </c>
      <c r="C51" s="13">
        <f t="shared" si="7"/>
        <v>3</v>
      </c>
      <c r="D51" s="13" t="str">
        <f t="shared" si="8"/>
        <v>4,5,6,1</v>
      </c>
      <c r="E51" s="13"/>
      <c r="F51" s="15">
        <f t="shared" si="11"/>
        <v>0.61458333333333326</v>
      </c>
      <c r="G51" s="13">
        <f t="shared" si="9"/>
        <v>105</v>
      </c>
      <c r="H51" s="12" t="s">
        <v>16</v>
      </c>
      <c r="I51" s="12" t="s">
        <v>10</v>
      </c>
      <c r="J51" s="13" t="str" cm="1">
        <f t="array" aca="1" ref="J51" ca="1">MID(CELL("filename",A30),FIND("]",CELL("filename",A30))+1,255)</f>
        <v>_6881080</v>
      </c>
    </row>
    <row r="52" spans="1:10">
      <c r="A52" s="13" t="e">
        <f t="shared" si="5"/>
        <v>#VALUE!</v>
      </c>
      <c r="B52" s="13" t="str">
        <f t="shared" si="6"/>
        <v>6</v>
      </c>
      <c r="C52" s="13">
        <f t="shared" si="7"/>
        <v>3</v>
      </c>
      <c r="D52" s="13" t="str">
        <f t="shared" si="8"/>
        <v>4,5,6,1</v>
      </c>
      <c r="E52" s="13"/>
      <c r="F52" s="15">
        <f t="shared" si="11"/>
        <v>0.68749999999999989</v>
      </c>
      <c r="G52" s="13">
        <f t="shared" si="9"/>
        <v>105</v>
      </c>
      <c r="H52" s="12" t="s">
        <v>16</v>
      </c>
      <c r="I52" s="12" t="s">
        <v>10</v>
      </c>
      <c r="J52" s="13" t="str" cm="1">
        <f t="array" aca="1" ref="J52" ca="1">MID(CELL("filename",A31),FIND("]",CELL("filename",A31))+1,255)</f>
        <v>_6881080</v>
      </c>
    </row>
    <row r="53" spans="1:10">
      <c r="A53" s="13" t="e">
        <f t="shared" si="5"/>
        <v>#VALUE!</v>
      </c>
      <c r="B53" s="13" t="str">
        <f t="shared" si="6"/>
        <v>7</v>
      </c>
      <c r="C53" s="13">
        <f t="shared" si="7"/>
        <v>1</v>
      </c>
      <c r="D53" s="13" t="str">
        <f t="shared" si="8"/>
        <v>2,3,4,5,6</v>
      </c>
      <c r="E53" s="13"/>
      <c r="F53" s="15">
        <f t="shared" si="11"/>
        <v>0.375</v>
      </c>
      <c r="G53" s="13">
        <f t="shared" si="9"/>
        <v>120</v>
      </c>
      <c r="H53" s="12" t="s">
        <v>17</v>
      </c>
      <c r="I53" s="12" t="s">
        <v>6</v>
      </c>
      <c r="J53" s="13" t="str" cm="1">
        <f t="array" aca="1" ref="J53" ca="1">MID(CELL("filename",A32),FIND("]",CELL("filename",A32))+1,255)</f>
        <v>_6881080</v>
      </c>
    </row>
    <row r="54" spans="1:10">
      <c r="A54" s="13" t="e">
        <f t="shared" si="5"/>
        <v>#VALUE!</v>
      </c>
      <c r="B54" s="13" t="str">
        <f t="shared" si="6"/>
        <v>7</v>
      </c>
      <c r="C54" s="13">
        <f t="shared" si="7"/>
        <v>2</v>
      </c>
      <c r="D54" s="13" t="str">
        <f t="shared" si="8"/>
        <v>2,3,4,5,6</v>
      </c>
      <c r="E54" s="13"/>
      <c r="F54" s="15">
        <f t="shared" si="11"/>
        <v>0.45833333333333331</v>
      </c>
      <c r="G54" s="13">
        <f t="shared" si="9"/>
        <v>120</v>
      </c>
      <c r="H54" s="12" t="s">
        <v>17</v>
      </c>
      <c r="I54" s="12" t="s">
        <v>7</v>
      </c>
      <c r="J54" s="13" t="str" cm="1">
        <f t="array" aca="1" ref="J54" ca="1">MID(CELL("filename",A33),FIND("]",CELL("filename",A33))+1,255)</f>
        <v>_6881080</v>
      </c>
    </row>
    <row r="55" spans="1:10">
      <c r="A55" s="13" t="e">
        <f t="shared" si="5"/>
        <v>#VALUE!</v>
      </c>
      <c r="B55" s="13" t="str">
        <f t="shared" si="6"/>
        <v>7</v>
      </c>
      <c r="C55" s="13">
        <f t="shared" si="7"/>
        <v>3</v>
      </c>
      <c r="D55" s="13" t="str">
        <f t="shared" si="8"/>
        <v>2,3,4,5,6</v>
      </c>
      <c r="E55" s="13"/>
      <c r="F55" s="15">
        <v>0.54166666666666663</v>
      </c>
      <c r="G55" s="13">
        <f t="shared" si="9"/>
        <v>105</v>
      </c>
      <c r="H55" s="12" t="s">
        <v>17</v>
      </c>
      <c r="I55" s="12" t="s">
        <v>10</v>
      </c>
      <c r="J55" s="13" t="str" cm="1">
        <f t="array" aca="1" ref="J55" ca="1">MID(CELL("filename",A34),FIND("]",CELL("filename",A34))+1,255)</f>
        <v>_6881080</v>
      </c>
    </row>
    <row r="56" spans="1:10">
      <c r="A56" s="13" t="e">
        <f t="shared" si="5"/>
        <v>#VALUE!</v>
      </c>
      <c r="B56" s="13" t="str">
        <f t="shared" si="6"/>
        <v>7</v>
      </c>
      <c r="C56" s="13">
        <f t="shared" si="7"/>
        <v>3</v>
      </c>
      <c r="D56" s="13" t="str">
        <f t="shared" si="8"/>
        <v>2,3,4,5,6</v>
      </c>
      <c r="E56" s="13"/>
      <c r="F56" s="15">
        <f t="shared" si="11"/>
        <v>0.61458333333333326</v>
      </c>
      <c r="G56" s="13">
        <f t="shared" si="9"/>
        <v>105</v>
      </c>
      <c r="H56" s="12" t="s">
        <v>17</v>
      </c>
      <c r="I56" s="12" t="s">
        <v>10</v>
      </c>
      <c r="J56" s="13" t="str" cm="1">
        <f t="array" aca="1" ref="J56" ca="1">MID(CELL("filename",A35),FIND("]",CELL("filename",A35))+1,255)</f>
        <v>_6881080</v>
      </c>
    </row>
    <row r="57" spans="1:10">
      <c r="A57" s="13" t="e">
        <f t="shared" si="5"/>
        <v>#VALUE!</v>
      </c>
      <c r="B57" s="13" t="str">
        <f t="shared" si="6"/>
        <v>7</v>
      </c>
      <c r="C57" s="13">
        <f t="shared" si="7"/>
        <v>3</v>
      </c>
      <c r="D57" s="13" t="str">
        <f t="shared" si="8"/>
        <v>2,3,4,5,6</v>
      </c>
      <c r="E57" s="13"/>
      <c r="F57" s="15">
        <f t="shared" si="11"/>
        <v>0.68749999999999989</v>
      </c>
      <c r="G57" s="13">
        <f t="shared" si="9"/>
        <v>105</v>
      </c>
      <c r="H57" s="12" t="s">
        <v>17</v>
      </c>
      <c r="I57" s="12" t="s">
        <v>10</v>
      </c>
      <c r="J57" s="13" t="str" cm="1">
        <f t="array" aca="1" ref="J57" ca="1">MID(CELL("filename",A36),FIND("]",CELL("filename",A36))+1,255)</f>
        <v>_6881080</v>
      </c>
    </row>
    <row r="58" spans="1:10">
      <c r="A58" s="13" t="e">
        <f t="shared" si="5"/>
        <v>#VALUE!</v>
      </c>
      <c r="B58" s="13" t="str">
        <f t="shared" si="6"/>
        <v>8</v>
      </c>
      <c r="C58" s="13">
        <f t="shared" si="7"/>
        <v>5</v>
      </c>
      <c r="D58" s="13" t="str">
        <f t="shared" si="8"/>
        <v>2,3,4,5,6</v>
      </c>
      <c r="E58" s="13"/>
      <c r="F58" s="15">
        <f t="shared" si="11"/>
        <v>0.375</v>
      </c>
      <c r="G58" s="13">
        <f t="shared" si="9"/>
        <v>90</v>
      </c>
      <c r="H58" s="12" t="s">
        <v>18</v>
      </c>
      <c r="I58" s="12" t="s">
        <v>9</v>
      </c>
      <c r="J58" s="13" t="str" cm="1">
        <f t="array" aca="1" ref="J58" ca="1">MID(CELL("filename",A37),FIND("]",CELL("filename",A37))+1,255)</f>
        <v>_6881080</v>
      </c>
    </row>
    <row r="59" spans="1:10">
      <c r="A59" s="13" t="e">
        <f t="shared" si="5"/>
        <v>#VALUE!</v>
      </c>
      <c r="B59" s="13" t="str">
        <f t="shared" si="6"/>
        <v>8</v>
      </c>
      <c r="C59" s="13">
        <f t="shared" si="7"/>
        <v>5</v>
      </c>
      <c r="D59" s="13" t="str">
        <f t="shared" si="8"/>
        <v>2,3,4,5,6</v>
      </c>
      <c r="E59" s="13"/>
      <c r="F59" s="15">
        <f t="shared" si="11"/>
        <v>0.4375</v>
      </c>
      <c r="G59" s="13">
        <f t="shared" si="9"/>
        <v>90</v>
      </c>
      <c r="H59" s="12" t="s">
        <v>18</v>
      </c>
      <c r="I59" s="12" t="s">
        <v>9</v>
      </c>
      <c r="J59" s="13" t="str" cm="1">
        <f t="array" aca="1" ref="J59" ca="1">MID(CELL("filename",A38),FIND("]",CELL("filename",A38))+1,255)</f>
        <v>_6881080</v>
      </c>
    </row>
    <row r="60" spans="1:10">
      <c r="A60" s="13" t="e">
        <f t="shared" si="5"/>
        <v>#VALUE!</v>
      </c>
      <c r="B60" s="13" t="str">
        <f t="shared" si="6"/>
        <v>8</v>
      </c>
      <c r="C60" s="13">
        <f t="shared" si="7"/>
        <v>5</v>
      </c>
      <c r="D60" s="13" t="str">
        <f t="shared" si="8"/>
        <v>2,3,4,5,6</v>
      </c>
      <c r="E60" s="13"/>
      <c r="F60" s="15">
        <f t="shared" si="11"/>
        <v>0.5</v>
      </c>
      <c r="G60" s="13">
        <f t="shared" si="9"/>
        <v>90</v>
      </c>
      <c r="H60" s="12" t="s">
        <v>18</v>
      </c>
      <c r="I60" s="12" t="s">
        <v>9</v>
      </c>
      <c r="J60" s="13" t="str" cm="1">
        <f t="array" aca="1" ref="J60" ca="1">MID(CELL("filename",A39),FIND("]",CELL("filename",A39))+1,255)</f>
        <v>_6881080</v>
      </c>
    </row>
    <row r="61" spans="1:10">
      <c r="A61" s="13" t="e">
        <f t="shared" si="5"/>
        <v>#VALUE!</v>
      </c>
      <c r="B61" s="13" t="str">
        <f t="shared" si="6"/>
        <v>8</v>
      </c>
      <c r="C61" s="13">
        <f t="shared" si="7"/>
        <v>2</v>
      </c>
      <c r="D61" s="13" t="str">
        <f t="shared" si="8"/>
        <v>2,3,4,5,6</v>
      </c>
      <c r="E61" s="13"/>
      <c r="F61" s="15">
        <v>0.58333333333333337</v>
      </c>
      <c r="G61" s="13">
        <f t="shared" si="9"/>
        <v>120</v>
      </c>
      <c r="H61" s="12" t="s">
        <v>18</v>
      </c>
      <c r="I61" s="12" t="s">
        <v>7</v>
      </c>
      <c r="J61" s="13" t="str" cm="1">
        <f t="array" aca="1" ref="J61" ca="1">MID(CELL("filename",A40),FIND("]",CELL("filename",A40))+1,255)</f>
        <v>_6881080</v>
      </c>
    </row>
    <row r="62" spans="1:10">
      <c r="A62" s="13" t="e">
        <f t="shared" si="5"/>
        <v>#VALUE!</v>
      </c>
      <c r="B62" s="13" t="str">
        <f t="shared" si="6"/>
        <v>8</v>
      </c>
      <c r="C62" s="13">
        <f t="shared" si="7"/>
        <v>2</v>
      </c>
      <c r="D62" s="13" t="str">
        <f t="shared" si="8"/>
        <v>2,3,4,5,6</v>
      </c>
      <c r="E62" s="13"/>
      <c r="F62" s="15">
        <f t="shared" si="11"/>
        <v>0.66666666666666674</v>
      </c>
      <c r="G62" s="13">
        <f t="shared" si="9"/>
        <v>120</v>
      </c>
      <c r="H62" s="12" t="s">
        <v>18</v>
      </c>
      <c r="I62" s="12" t="s">
        <v>7</v>
      </c>
      <c r="J62" s="13" t="str" cm="1">
        <f t="array" aca="1" ref="J62" ca="1">MID(CELL("filename",A41),FIND("]",CELL("filename",A41))+1,255)</f>
        <v>_6881080</v>
      </c>
    </row>
  </sheetData>
  <mergeCells count="48">
    <mergeCell ref="B2:I2"/>
    <mergeCell ref="J2:Q2"/>
    <mergeCell ref="B3:I3"/>
    <mergeCell ref="J3:Q3"/>
    <mergeCell ref="B4:H4"/>
    <mergeCell ref="I4:O4"/>
    <mergeCell ref="B19:E19"/>
    <mergeCell ref="B13:I13"/>
    <mergeCell ref="B8:I8"/>
    <mergeCell ref="J8:Q8"/>
    <mergeCell ref="B6:H6"/>
    <mergeCell ref="I6:O6"/>
    <mergeCell ref="B14:I14"/>
    <mergeCell ref="B15:H15"/>
    <mergeCell ref="B16:H16"/>
    <mergeCell ref="B17:G17"/>
    <mergeCell ref="B18:E18"/>
    <mergeCell ref="R2:Y2"/>
    <mergeCell ref="Z2:AG2"/>
    <mergeCell ref="AH2:AO2"/>
    <mergeCell ref="R3:Y3"/>
    <mergeCell ref="Z3:AG3"/>
    <mergeCell ref="AH3:AO3"/>
    <mergeCell ref="R4:X4"/>
    <mergeCell ref="Y4:AE4"/>
    <mergeCell ref="AF4:AL4"/>
    <mergeCell ref="B5:E5"/>
    <mergeCell ref="J5:O5"/>
    <mergeCell ref="P5:U5"/>
    <mergeCell ref="X5:AC5"/>
    <mergeCell ref="AD5:AI5"/>
    <mergeCell ref="AJ5:AO5"/>
    <mergeCell ref="R6:X6"/>
    <mergeCell ref="Y6:AE6"/>
    <mergeCell ref="AF6:AL6"/>
    <mergeCell ref="B7:H7"/>
    <mergeCell ref="I7:O7"/>
    <mergeCell ref="R7:X7"/>
    <mergeCell ref="Y7:AE7"/>
    <mergeCell ref="AF7:AL7"/>
    <mergeCell ref="T8:Z8"/>
    <mergeCell ref="AA8:AG8"/>
    <mergeCell ref="AH8:AN8"/>
    <mergeCell ref="B9:G9"/>
    <mergeCell ref="H9:M9"/>
    <mergeCell ref="N9:S9"/>
    <mergeCell ref="V9:AC9"/>
    <mergeCell ref="AD9:AK9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04E6-6729-42F0-8162-534DDB5232A4}">
  <sheetPr codeName="Sheet39"/>
  <dimension ref="A1:AO66"/>
  <sheetViews>
    <sheetView zoomScale="55" zoomScaleNormal="55" workbookViewId="0">
      <pane ySplit="19" topLeftCell="A26" activePane="bottomLeft" state="frozen"/>
      <selection activeCell="J22" sqref="J22:J38"/>
      <selection pane="bottomLeft" activeCell="F66" sqref="F66"/>
    </sheetView>
  </sheetViews>
  <sheetFormatPr defaultColWidth="8.88671875" defaultRowHeight="14.4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6</v>
      </c>
      <c r="B2" s="50" t="s">
        <v>6</v>
      </c>
      <c r="C2" s="51"/>
      <c r="D2" s="51"/>
      <c r="E2" s="51"/>
      <c r="F2" s="51"/>
      <c r="G2" s="51"/>
      <c r="H2" s="51"/>
      <c r="I2" s="52"/>
      <c r="J2" s="50" t="s">
        <v>6</v>
      </c>
      <c r="K2" s="51"/>
      <c r="L2" s="51"/>
      <c r="M2" s="51"/>
      <c r="N2" s="51"/>
      <c r="O2" s="51"/>
      <c r="P2" s="51"/>
      <c r="Q2" s="52"/>
      <c r="R2" s="50" t="s">
        <v>6</v>
      </c>
      <c r="S2" s="51"/>
      <c r="T2" s="51"/>
      <c r="U2" s="51"/>
      <c r="V2" s="51"/>
      <c r="W2" s="51"/>
      <c r="X2" s="51"/>
      <c r="Y2" s="52"/>
      <c r="Z2" s="50" t="s">
        <v>6</v>
      </c>
      <c r="AA2" s="51"/>
      <c r="AB2" s="51"/>
      <c r="AC2" s="51"/>
      <c r="AD2" s="51"/>
      <c r="AE2" s="51"/>
      <c r="AF2" s="51"/>
      <c r="AG2" s="52"/>
      <c r="AH2" s="50" t="s">
        <v>6</v>
      </c>
      <c r="AI2" s="51"/>
      <c r="AJ2" s="51"/>
      <c r="AK2" s="51"/>
      <c r="AL2" s="51"/>
      <c r="AM2" s="51"/>
      <c r="AN2" s="51"/>
      <c r="AO2" s="52"/>
    </row>
    <row r="3" spans="1:41" ht="15" thickBot="1">
      <c r="A3" s="10" t="s">
        <v>7</v>
      </c>
      <c r="B3" s="59" t="s">
        <v>7</v>
      </c>
      <c r="C3" s="60"/>
      <c r="D3" s="60"/>
      <c r="E3" s="60"/>
      <c r="F3" s="60"/>
      <c r="G3" s="60"/>
      <c r="H3" s="60"/>
      <c r="I3" s="61"/>
      <c r="J3" s="59" t="s">
        <v>7</v>
      </c>
      <c r="K3" s="60"/>
      <c r="L3" s="60"/>
      <c r="M3" s="60"/>
      <c r="N3" s="60"/>
      <c r="O3" s="60"/>
      <c r="P3" s="60"/>
      <c r="Q3" s="61"/>
      <c r="R3" s="59" t="s">
        <v>7</v>
      </c>
      <c r="S3" s="60"/>
      <c r="T3" s="60"/>
      <c r="U3" s="60"/>
      <c r="V3" s="60"/>
      <c r="W3" s="60"/>
      <c r="X3" s="60"/>
      <c r="Y3" s="61"/>
      <c r="Z3" s="59" t="s">
        <v>7</v>
      </c>
      <c r="AA3" s="60"/>
      <c r="AB3" s="60"/>
      <c r="AC3" s="60"/>
      <c r="AD3" s="60"/>
      <c r="AE3" s="60"/>
      <c r="AF3" s="60"/>
      <c r="AG3" s="61"/>
      <c r="AH3" s="59" t="s">
        <v>7</v>
      </c>
      <c r="AI3" s="60"/>
      <c r="AJ3" s="60"/>
      <c r="AK3" s="60"/>
      <c r="AL3" s="60"/>
      <c r="AM3" s="60"/>
      <c r="AN3" s="60"/>
      <c r="AO3" s="55"/>
    </row>
    <row r="4" spans="1:41" ht="15" thickBot="1">
      <c r="A4" s="10" t="s">
        <v>11</v>
      </c>
      <c r="B4" s="41" t="s">
        <v>12</v>
      </c>
      <c r="C4" s="42"/>
      <c r="D4" s="42"/>
      <c r="E4" s="43"/>
      <c r="F4" s="56" t="s">
        <v>11</v>
      </c>
      <c r="G4" s="57"/>
      <c r="H4" s="57"/>
      <c r="I4" s="57"/>
      <c r="J4" s="57"/>
      <c r="K4" s="57"/>
      <c r="L4" s="58"/>
      <c r="M4" s="56" t="s">
        <v>11</v>
      </c>
      <c r="N4" s="57"/>
      <c r="O4" s="57"/>
      <c r="P4" s="57"/>
      <c r="Q4" s="57"/>
      <c r="R4" s="57"/>
      <c r="S4" s="58"/>
      <c r="U4" s="56" t="s">
        <v>11</v>
      </c>
      <c r="V4" s="57"/>
      <c r="W4" s="57"/>
      <c r="X4" s="57"/>
      <c r="Y4" s="57"/>
      <c r="Z4" s="57"/>
      <c r="AA4" s="58"/>
      <c r="AB4" s="56" t="s">
        <v>11</v>
      </c>
      <c r="AC4" s="57"/>
      <c r="AD4" s="57"/>
      <c r="AE4" s="57"/>
      <c r="AF4" s="57"/>
      <c r="AG4" s="57"/>
      <c r="AH4" s="58"/>
      <c r="AI4" s="56" t="s">
        <v>11</v>
      </c>
      <c r="AJ4" s="57"/>
      <c r="AK4" s="57"/>
      <c r="AL4" s="57"/>
      <c r="AM4" s="57"/>
      <c r="AN4" s="57"/>
      <c r="AO4" s="58"/>
    </row>
    <row r="5" spans="1:41" ht="15" thickBot="1">
      <c r="A5" s="10" t="s">
        <v>14</v>
      </c>
      <c r="B5" s="47" t="s">
        <v>100</v>
      </c>
      <c r="C5" s="48"/>
      <c r="D5" s="48"/>
      <c r="E5" s="49"/>
      <c r="F5" s="38" t="s">
        <v>9</v>
      </c>
      <c r="G5" s="39"/>
      <c r="H5" s="39"/>
      <c r="I5" s="39"/>
      <c r="J5" s="39"/>
      <c r="K5" s="40"/>
      <c r="L5" s="38" t="s">
        <v>9</v>
      </c>
      <c r="M5" s="39"/>
      <c r="N5" s="39"/>
      <c r="O5" s="39"/>
      <c r="P5" s="39"/>
      <c r="Q5" s="40"/>
      <c r="R5" s="38" t="s">
        <v>9</v>
      </c>
      <c r="S5" s="39"/>
      <c r="T5" s="39"/>
      <c r="U5" s="39"/>
      <c r="V5" s="39"/>
      <c r="W5" s="40"/>
      <c r="X5" s="25"/>
      <c r="Y5" s="26"/>
      <c r="Z5" s="38" t="s">
        <v>9</v>
      </c>
      <c r="AA5" s="39"/>
      <c r="AB5" s="39"/>
      <c r="AC5" s="39"/>
      <c r="AD5" s="39"/>
      <c r="AE5" s="40"/>
      <c r="AF5" s="38" t="s">
        <v>9</v>
      </c>
      <c r="AG5" s="39"/>
      <c r="AH5" s="39"/>
      <c r="AI5" s="39"/>
      <c r="AJ5" s="39"/>
      <c r="AK5" s="40"/>
      <c r="AL5" s="26"/>
      <c r="AM5" s="26"/>
      <c r="AN5" s="26"/>
      <c r="AO5" s="24"/>
    </row>
    <row r="6" spans="1:41" ht="15" thickBot="1">
      <c r="A6" s="10" t="s">
        <v>15</v>
      </c>
      <c r="B6" s="41" t="s">
        <v>12</v>
      </c>
      <c r="C6" s="42"/>
      <c r="D6" s="42"/>
      <c r="E6" s="43"/>
      <c r="F6" s="56" t="s">
        <v>11</v>
      </c>
      <c r="G6" s="57"/>
      <c r="H6" s="57"/>
      <c r="I6" s="57"/>
      <c r="J6" s="57"/>
      <c r="K6" s="57"/>
      <c r="L6" s="58"/>
      <c r="M6" s="56" t="s">
        <v>11</v>
      </c>
      <c r="N6" s="57"/>
      <c r="O6" s="57"/>
      <c r="P6" s="57"/>
      <c r="Q6" s="57"/>
      <c r="R6" s="57"/>
      <c r="S6" s="58"/>
      <c r="U6" s="56" t="s">
        <v>11</v>
      </c>
      <c r="V6" s="57"/>
      <c r="W6" s="57"/>
      <c r="X6" s="57"/>
      <c r="Y6" s="57"/>
      <c r="Z6" s="57"/>
      <c r="AA6" s="58"/>
      <c r="AB6" s="56" t="s">
        <v>11</v>
      </c>
      <c r="AC6" s="57"/>
      <c r="AD6" s="57"/>
      <c r="AE6" s="57"/>
      <c r="AF6" s="57"/>
      <c r="AG6" s="57"/>
      <c r="AH6" s="58"/>
      <c r="AI6" s="56" t="s">
        <v>11</v>
      </c>
      <c r="AJ6" s="57"/>
      <c r="AK6" s="57"/>
      <c r="AL6" s="57"/>
      <c r="AM6" s="57"/>
      <c r="AN6" s="57"/>
      <c r="AO6" s="58"/>
    </row>
    <row r="7" spans="1:41" ht="15" thickBot="1">
      <c r="A7" s="10" t="s">
        <v>98</v>
      </c>
      <c r="B7" s="41" t="s">
        <v>12</v>
      </c>
      <c r="C7" s="42"/>
      <c r="D7" s="42"/>
      <c r="E7" s="43"/>
      <c r="F7" s="41" t="s">
        <v>12</v>
      </c>
      <c r="G7" s="42"/>
      <c r="H7" s="42"/>
      <c r="I7" s="43"/>
      <c r="J7" s="38" t="s">
        <v>9</v>
      </c>
      <c r="K7" s="39"/>
      <c r="L7" s="39"/>
      <c r="M7" s="39"/>
      <c r="N7" s="39"/>
      <c r="O7" s="40"/>
      <c r="P7" s="38" t="s">
        <v>9</v>
      </c>
      <c r="Q7" s="39"/>
      <c r="R7" s="39"/>
      <c r="S7" s="39"/>
      <c r="T7" s="39"/>
      <c r="U7" s="40"/>
      <c r="V7" s="38" t="s">
        <v>9</v>
      </c>
      <c r="W7" s="39"/>
      <c r="X7" s="39"/>
      <c r="Y7" s="39"/>
      <c r="Z7" s="39"/>
      <c r="AA7" s="40"/>
      <c r="AB7" s="35" t="s">
        <v>10</v>
      </c>
      <c r="AC7" s="36"/>
      <c r="AD7" s="36"/>
      <c r="AE7" s="36"/>
      <c r="AF7" s="36"/>
      <c r="AG7" s="36"/>
      <c r="AH7" s="37"/>
      <c r="AI7" s="35" t="s">
        <v>10</v>
      </c>
      <c r="AJ7" s="36"/>
      <c r="AK7" s="36"/>
      <c r="AL7" s="36"/>
      <c r="AM7" s="36"/>
      <c r="AN7" s="36"/>
      <c r="AO7" s="37"/>
    </row>
    <row r="8" spans="1:41" ht="15" thickBot="1">
      <c r="A8" s="10" t="s">
        <v>17</v>
      </c>
      <c r="B8" s="50" t="s">
        <v>6</v>
      </c>
      <c r="C8" s="51"/>
      <c r="D8" s="51"/>
      <c r="E8" s="51"/>
      <c r="F8" s="51"/>
      <c r="G8" s="51"/>
      <c r="H8" s="51"/>
      <c r="I8" s="52"/>
      <c r="J8" s="53" t="s">
        <v>7</v>
      </c>
      <c r="K8" s="54"/>
      <c r="L8" s="54"/>
      <c r="M8" s="54"/>
      <c r="N8" s="54"/>
      <c r="O8" s="54"/>
      <c r="P8" s="54"/>
      <c r="Q8" s="55"/>
      <c r="R8" s="53" t="s">
        <v>7</v>
      </c>
      <c r="S8" s="54"/>
      <c r="T8" s="54"/>
      <c r="U8" s="54"/>
      <c r="V8" s="54"/>
      <c r="W8" s="54"/>
      <c r="X8" s="54"/>
      <c r="Y8" s="55"/>
      <c r="Z8" s="25"/>
      <c r="AA8" s="53" t="s">
        <v>7</v>
      </c>
      <c r="AB8" s="54"/>
      <c r="AC8" s="54"/>
      <c r="AD8" s="54"/>
      <c r="AE8" s="54"/>
      <c r="AF8" s="54"/>
      <c r="AG8" s="54"/>
      <c r="AH8" s="55"/>
      <c r="AI8" s="35" t="s">
        <v>10</v>
      </c>
      <c r="AJ8" s="36"/>
      <c r="AK8" s="36"/>
      <c r="AL8" s="36"/>
      <c r="AM8" s="36"/>
      <c r="AN8" s="36"/>
      <c r="AO8" s="37"/>
    </row>
    <row r="9" spans="1:41" ht="15" thickBot="1">
      <c r="A9" s="10" t="s">
        <v>18</v>
      </c>
      <c r="B9" s="35" t="s">
        <v>10</v>
      </c>
      <c r="C9" s="36"/>
      <c r="D9" s="36"/>
      <c r="E9" s="36"/>
      <c r="F9" s="36"/>
      <c r="G9" s="36"/>
      <c r="H9" s="37"/>
      <c r="I9" s="35" t="s">
        <v>10</v>
      </c>
      <c r="J9" s="36"/>
      <c r="K9" s="36"/>
      <c r="L9" s="36"/>
      <c r="M9" s="36"/>
      <c r="N9" s="36"/>
      <c r="O9" s="37"/>
      <c r="P9" s="35" t="s">
        <v>10</v>
      </c>
      <c r="Q9" s="36"/>
      <c r="R9" s="36"/>
      <c r="S9" s="36"/>
      <c r="T9" s="36"/>
      <c r="U9" s="36"/>
      <c r="V9" s="37"/>
      <c r="W9" s="28"/>
      <c r="X9" s="28"/>
      <c r="Y9" s="35" t="s">
        <v>10</v>
      </c>
      <c r="Z9" s="36"/>
      <c r="AA9" s="36"/>
      <c r="AB9" s="36"/>
      <c r="AC9" s="36"/>
      <c r="AD9" s="36"/>
      <c r="AE9" s="37"/>
      <c r="AF9" s="35" t="s">
        <v>10</v>
      </c>
      <c r="AG9" s="36"/>
      <c r="AH9" s="36"/>
      <c r="AI9" s="36"/>
      <c r="AJ9" s="36"/>
      <c r="AK9" s="36"/>
      <c r="AL9" s="37"/>
      <c r="AO9" s="29"/>
    </row>
    <row r="12" spans="1:41" ht="15" thickBot="1"/>
    <row r="13" spans="1:41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6</v>
      </c>
      <c r="L13" s="10">
        <f t="shared" ref="L13:L18" si="0">COUNTIF($B$2:$CS$9,B13)</f>
        <v>6</v>
      </c>
    </row>
    <row r="14" spans="1:41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8</v>
      </c>
      <c r="L14" s="10">
        <f t="shared" si="0"/>
        <v>8</v>
      </c>
    </row>
    <row r="15" spans="1:41" ht="15" thickBot="1">
      <c r="B15" s="35" t="s">
        <v>10</v>
      </c>
      <c r="C15" s="36"/>
      <c r="D15" s="36"/>
      <c r="E15" s="36"/>
      <c r="F15" s="36"/>
      <c r="G15" s="36"/>
      <c r="H15" s="37"/>
      <c r="K15" s="10">
        <v>8</v>
      </c>
      <c r="L15" s="10">
        <f t="shared" si="0"/>
        <v>8</v>
      </c>
    </row>
    <row r="16" spans="1:41" ht="15" thickBot="1">
      <c r="B16" s="56" t="s">
        <v>11</v>
      </c>
      <c r="C16" s="57"/>
      <c r="D16" s="57"/>
      <c r="E16" s="57"/>
      <c r="F16" s="57"/>
      <c r="G16" s="57"/>
      <c r="H16" s="58"/>
      <c r="K16" s="10">
        <v>10</v>
      </c>
      <c r="L16" s="10">
        <f t="shared" si="0"/>
        <v>10</v>
      </c>
    </row>
    <row r="17" spans="1:13" ht="15" thickBot="1">
      <c r="B17" s="38" t="s">
        <v>9</v>
      </c>
      <c r="C17" s="39"/>
      <c r="D17" s="39"/>
      <c r="E17" s="39"/>
      <c r="F17" s="39"/>
      <c r="G17" s="40"/>
      <c r="K17" s="10">
        <v>8</v>
      </c>
      <c r="L17" s="10">
        <f t="shared" si="0"/>
        <v>8</v>
      </c>
    </row>
    <row r="18" spans="1:13" ht="15" thickBot="1">
      <c r="B18" s="41" t="s">
        <v>12</v>
      </c>
      <c r="C18" s="42"/>
      <c r="D18" s="42"/>
      <c r="E18" s="43"/>
      <c r="K18" s="10">
        <v>4</v>
      </c>
      <c r="L18" s="10">
        <f t="shared" si="0"/>
        <v>4</v>
      </c>
    </row>
    <row r="19" spans="1:13">
      <c r="B19" s="44" t="s">
        <v>100</v>
      </c>
      <c r="C19" s="45"/>
      <c r="D19" s="45"/>
      <c r="E19" s="46"/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0.375</v>
      </c>
      <c r="G22" s="13">
        <f t="shared" ref="G22" si="4">VLOOKUP(I22,GameDuration,2,FALSE)</f>
        <v>120</v>
      </c>
      <c r="H22" s="13" t="s">
        <v>6</v>
      </c>
      <c r="I22" s="13" t="s">
        <v>6</v>
      </c>
      <c r="J22" s="13" t="str" cm="1">
        <f t="array" aca="1" ref="J22" ca="1">MID(CELL("filename",A1),FIND("]",CELL("filename",A1))+1,255)</f>
        <v>_6881084</v>
      </c>
      <c r="L22" s="10" t="s">
        <v>6</v>
      </c>
      <c r="M22" s="10">
        <f>COUNTIF(I$22:I$100,L22)</f>
        <v>6</v>
      </c>
    </row>
    <row r="23" spans="1:13">
      <c r="A23" s="13" t="e">
        <f t="shared" ref="A23:A66" si="5">A22+1</f>
        <v>#VALUE!</v>
      </c>
      <c r="B23" s="13" t="str">
        <f t="shared" ref="B23:B66" si="6">VLOOKUP(H23,field_id,2,FALSE)</f>
        <v>4</v>
      </c>
      <c r="C23" s="13">
        <f t="shared" ref="C23:C66" si="7">VLOOKUP(I23,league_id,2,FALSE)</f>
        <v>1</v>
      </c>
      <c r="D23" s="13" t="str">
        <f t="shared" ref="D23:D66" si="8">VLOOKUP(H23,slot_compat,3,FALSE)</f>
        <v>2,3</v>
      </c>
      <c r="E23" s="13"/>
      <c r="F23" s="15">
        <f>IF(B23&lt;&gt;B22,F$22,F22+G22/60/24)</f>
        <v>0.45833333333333331</v>
      </c>
      <c r="G23" s="13">
        <f t="shared" ref="G23:G66" si="9">VLOOKUP(I23,GameDuration,2,FALSE)</f>
        <v>120</v>
      </c>
      <c r="H23" s="13" t="s">
        <v>6</v>
      </c>
      <c r="I23" s="13" t="s">
        <v>6</v>
      </c>
      <c r="J23" s="13" t="str" cm="1">
        <f t="array" aca="1" ref="J23" ca="1">MID(CELL("filename",A2),FIND("]",CELL("filename",A2))+1,255)</f>
        <v>_6881084</v>
      </c>
      <c r="L23" s="10" t="s">
        <v>7</v>
      </c>
      <c r="M23" s="10">
        <f t="shared" ref="M23:M28" si="10">COUNTIF(I$22:I$100,L23)</f>
        <v>8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 t="str">
        <f t="shared" si="8"/>
        <v>2,3</v>
      </c>
      <c r="E24" s="13"/>
      <c r="F24" s="15">
        <f t="shared" ref="F24:F66" si="11">IF(B24&lt;&gt;B23,F$22,F23+G23/60/24)</f>
        <v>0.54166666666666663</v>
      </c>
      <c r="G24" s="13">
        <f t="shared" si="9"/>
        <v>120</v>
      </c>
      <c r="H24" s="13" t="s">
        <v>6</v>
      </c>
      <c r="I24" s="13" t="s">
        <v>6</v>
      </c>
      <c r="J24" s="13" t="str" cm="1">
        <f t="array" aca="1" ref="J24" ca="1">MID(CELL("filename",A3),FIND("]",CELL("filename",A3))+1,255)</f>
        <v>_6881084</v>
      </c>
      <c r="L24" s="10" t="s">
        <v>10</v>
      </c>
      <c r="M24" s="10">
        <f t="shared" si="10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 t="str">
        <f t="shared" si="8"/>
        <v>2,3</v>
      </c>
      <c r="E25" s="13"/>
      <c r="F25" s="15">
        <f t="shared" si="11"/>
        <v>0.625</v>
      </c>
      <c r="G25" s="13">
        <f t="shared" si="9"/>
        <v>120</v>
      </c>
      <c r="H25" s="13" t="s">
        <v>6</v>
      </c>
      <c r="I25" s="13" t="s">
        <v>6</v>
      </c>
      <c r="J25" s="13" t="str" cm="1">
        <f t="array" aca="1" ref="J25" ca="1">MID(CELL("filename",A4),FIND("]",CELL("filename",A4))+1,255)</f>
        <v>_6881084</v>
      </c>
      <c r="L25" s="10" t="s">
        <v>11</v>
      </c>
      <c r="M25" s="10">
        <f t="shared" si="10"/>
        <v>10</v>
      </c>
    </row>
    <row r="26" spans="1:1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 t="str">
        <f t="shared" si="8"/>
        <v>2,3</v>
      </c>
      <c r="E26" s="13"/>
      <c r="F26" s="15">
        <f t="shared" si="11"/>
        <v>0.70833333333333337</v>
      </c>
      <c r="G26" s="13">
        <f t="shared" si="9"/>
        <v>120</v>
      </c>
      <c r="H26" s="13" t="s">
        <v>6</v>
      </c>
      <c r="I26" s="13" t="s">
        <v>6</v>
      </c>
      <c r="J26" s="13" t="str" cm="1">
        <f t="array" aca="1" ref="J26" ca="1">MID(CELL("filename",A5),FIND("]",CELL("filename",A5))+1,255)</f>
        <v>_6881084</v>
      </c>
      <c r="L26" s="10" t="s">
        <v>9</v>
      </c>
      <c r="M26" s="10">
        <f t="shared" si="10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1"/>
        <v>0.375</v>
      </c>
      <c r="G27" s="13">
        <f t="shared" si="9"/>
        <v>120</v>
      </c>
      <c r="H27" s="13" t="s">
        <v>7</v>
      </c>
      <c r="I27" s="13" t="s">
        <v>7</v>
      </c>
      <c r="J27" s="13" t="str" cm="1">
        <f t="array" aca="1" ref="J27" ca="1">MID(CELL("filename",A6),FIND("]",CELL("filename",A6))+1,255)</f>
        <v>_6881084</v>
      </c>
      <c r="L27" s="10" t="s">
        <v>12</v>
      </c>
      <c r="M27" s="10">
        <f t="shared" si="10"/>
        <v>4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1"/>
        <v>0.45833333333333331</v>
      </c>
      <c r="G28" s="13">
        <f t="shared" si="9"/>
        <v>120</v>
      </c>
      <c r="H28" s="13" t="s">
        <v>7</v>
      </c>
      <c r="I28" s="13" t="s">
        <v>7</v>
      </c>
      <c r="J28" s="13" t="str" cm="1">
        <f t="array" aca="1" ref="J28" ca="1">MID(CELL("filename",A7),FIND("]",CELL("filename",A7))+1,255)</f>
        <v>_6881084</v>
      </c>
      <c r="L28" s="10" t="s">
        <v>13</v>
      </c>
      <c r="M28" s="10">
        <f t="shared" si="10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1"/>
        <v>0.54166666666666663</v>
      </c>
      <c r="G29" s="13">
        <f t="shared" si="9"/>
        <v>120</v>
      </c>
      <c r="H29" s="13" t="s">
        <v>7</v>
      </c>
      <c r="I29" s="13" t="s">
        <v>7</v>
      </c>
      <c r="J29" s="13" t="str" cm="1">
        <f t="array" aca="1" ref="J29" ca="1">MID(CELL("filename",A8),FIND("]",CELL("filename",A8))+1,255)</f>
        <v>_6881084</v>
      </c>
    </row>
    <row r="30" spans="1:1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1"/>
        <v>0.625</v>
      </c>
      <c r="G30" s="13">
        <f t="shared" si="9"/>
        <v>120</v>
      </c>
      <c r="H30" s="13" t="s">
        <v>7</v>
      </c>
      <c r="I30" s="13" t="s">
        <v>7</v>
      </c>
      <c r="J30" s="13" t="str" cm="1">
        <f t="array" aca="1" ref="J30" ca="1">MID(CELL("filename",A9),FIND("]",CELL("filename",A9))+1,255)</f>
        <v>_6881084</v>
      </c>
    </row>
    <row r="31" spans="1:1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1"/>
        <v>0.70833333333333337</v>
      </c>
      <c r="G31" s="13">
        <f t="shared" si="9"/>
        <v>120</v>
      </c>
      <c r="H31" s="13" t="s">
        <v>7</v>
      </c>
      <c r="I31" s="13" t="s">
        <v>7</v>
      </c>
      <c r="J31" s="13" t="str" cm="1">
        <f t="array" aca="1" ref="J31" ca="1">MID(CELL("filename",A10),FIND("]",CELL("filename",A10))+1,255)</f>
        <v>_6881084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6</v>
      </c>
      <c r="D32" s="13" t="str">
        <f t="shared" si="8"/>
        <v>5,6</v>
      </c>
      <c r="E32" s="13"/>
      <c r="F32" s="15">
        <f t="shared" si="11"/>
        <v>0.375</v>
      </c>
      <c r="G32" s="13">
        <f t="shared" si="9"/>
        <v>60</v>
      </c>
      <c r="H32" s="13" t="s">
        <v>8</v>
      </c>
      <c r="I32" s="13" t="s">
        <v>12</v>
      </c>
      <c r="J32" s="13" t="str" cm="1">
        <f t="array" aca="1" ref="J32" ca="1">MID(CELL("filename",A11),FIND("]",CELL("filename",A11))+1,255)</f>
        <v>_6881084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1"/>
        <v>0.41666666666666669</v>
      </c>
      <c r="G33" s="13">
        <f t="shared" si="9"/>
        <v>105</v>
      </c>
      <c r="H33" s="13" t="s">
        <v>8</v>
      </c>
      <c r="I33" s="13" t="s">
        <v>11</v>
      </c>
      <c r="J33" s="13" t="str" cm="1">
        <f t="array" aca="1" ref="J33" ca="1">MID(CELL("filename",A12),FIND("]",CELL("filename",A12))+1,255)</f>
        <v>_6881084</v>
      </c>
    </row>
    <row r="34" spans="1:10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f t="shared" si="11"/>
        <v>0.48958333333333337</v>
      </c>
      <c r="G34" s="13">
        <f t="shared" si="9"/>
        <v>105</v>
      </c>
      <c r="H34" s="13" t="s">
        <v>8</v>
      </c>
      <c r="I34" s="13" t="s">
        <v>11</v>
      </c>
      <c r="J34" s="13" t="str" cm="1">
        <f t="array" aca="1" ref="J34" ca="1">MID(CELL("filename",A13),FIND("]",CELL("filename",A13))+1,255)</f>
        <v>_6881084</v>
      </c>
    </row>
    <row r="35" spans="1:10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v>0.57291666666666663</v>
      </c>
      <c r="G35" s="13">
        <f t="shared" si="9"/>
        <v>105</v>
      </c>
      <c r="H35" s="13" t="s">
        <v>8</v>
      </c>
      <c r="I35" s="13" t="s">
        <v>11</v>
      </c>
      <c r="J35" s="13" t="str" cm="1">
        <f t="array" aca="1" ref="J35" ca="1">MID(CELL("filename",A14),FIND("]",CELL("filename",A14))+1,255)</f>
        <v>_6881084</v>
      </c>
    </row>
    <row r="36" spans="1:10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1"/>
        <v>0.64583333333333326</v>
      </c>
      <c r="G36" s="13">
        <f t="shared" si="9"/>
        <v>105</v>
      </c>
      <c r="H36" s="13" t="s">
        <v>8</v>
      </c>
      <c r="I36" s="13" t="s">
        <v>11</v>
      </c>
      <c r="J36" s="13" t="str" cm="1">
        <f t="array" aca="1" ref="J36" ca="1">MID(CELL("filename",A15),FIND("]",CELL("filename",A15))+1,255)</f>
        <v>_6881084</v>
      </c>
    </row>
    <row r="37" spans="1:10">
      <c r="A37" s="13" t="e">
        <f t="shared" si="5"/>
        <v>#VALUE!</v>
      </c>
      <c r="B37" s="13" t="str">
        <f t="shared" si="6"/>
        <v>2</v>
      </c>
      <c r="C37" s="13">
        <f t="shared" si="7"/>
        <v>4</v>
      </c>
      <c r="D37" s="13" t="str">
        <f t="shared" si="8"/>
        <v>5,6</v>
      </c>
      <c r="E37" s="13"/>
      <c r="F37" s="15">
        <f t="shared" si="11"/>
        <v>0.71874999999999989</v>
      </c>
      <c r="G37" s="13">
        <f t="shared" si="9"/>
        <v>105</v>
      </c>
      <c r="H37" s="13" t="s">
        <v>8</v>
      </c>
      <c r="I37" s="13" t="s">
        <v>11</v>
      </c>
      <c r="J37" s="13" t="str" cm="1">
        <f t="array" aca="1" ref="J37" ca="1">MID(CELL("filename",A16),FIND("]",CELL("filename",A16))+1,255)</f>
        <v>_6881084</v>
      </c>
    </row>
    <row r="38" spans="1:10">
      <c r="A38" s="13" t="e">
        <f t="shared" si="5"/>
        <v>#VALUE!</v>
      </c>
      <c r="B38" s="13" t="str">
        <f t="shared" si="6"/>
        <v>1</v>
      </c>
      <c r="C38" s="13">
        <f t="shared" si="7"/>
        <v>7</v>
      </c>
      <c r="D38" s="13" t="str">
        <f t="shared" si="8"/>
        <v>6,7</v>
      </c>
      <c r="E38" s="13"/>
      <c r="F38" s="15">
        <f t="shared" si="11"/>
        <v>0.375</v>
      </c>
      <c r="G38" s="13">
        <f t="shared" si="9"/>
        <v>60</v>
      </c>
      <c r="H38" s="12" t="s">
        <v>14</v>
      </c>
      <c r="I38" s="12" t="s">
        <v>13</v>
      </c>
      <c r="J38" s="13" t="str" cm="1">
        <f t="array" aca="1" ref="J38" ca="1">MID(CELL("filename",A17),FIND("]",CELL("filename",A17))+1,255)</f>
        <v>_6881084</v>
      </c>
    </row>
    <row r="39" spans="1:10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1"/>
        <v>0.41666666666666669</v>
      </c>
      <c r="G39" s="13">
        <f t="shared" si="9"/>
        <v>90</v>
      </c>
      <c r="H39" s="12" t="s">
        <v>14</v>
      </c>
      <c r="I39" s="12" t="s">
        <v>9</v>
      </c>
      <c r="J39" s="13" t="str" cm="1">
        <f t="array" aca="1" ref="J39" ca="1">MID(CELL("filename",A18),FIND("]",CELL("filename",A18))+1,255)</f>
        <v>_6881084</v>
      </c>
    </row>
    <row r="40" spans="1:10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f t="shared" si="11"/>
        <v>0.47916666666666669</v>
      </c>
      <c r="G40" s="13">
        <f t="shared" si="9"/>
        <v>90</v>
      </c>
      <c r="H40" s="12" t="s">
        <v>14</v>
      </c>
      <c r="I40" s="12" t="s">
        <v>9</v>
      </c>
      <c r="J40" s="13" t="str" cm="1">
        <f t="array" aca="1" ref="J40" ca="1">MID(CELL("filename",A19),FIND("]",CELL("filename",A19))+1,255)</f>
        <v>_6881084</v>
      </c>
    </row>
    <row r="41" spans="1:10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1"/>
        <v>0.54166666666666674</v>
      </c>
      <c r="G41" s="13">
        <f t="shared" si="9"/>
        <v>90</v>
      </c>
      <c r="H41" s="12" t="s">
        <v>14</v>
      </c>
      <c r="I41" s="12" t="s">
        <v>9</v>
      </c>
      <c r="J41" s="13" t="str" cm="1">
        <f t="array" aca="1" ref="J41" ca="1">MID(CELL("filename",A20),FIND("]",CELL("filename",A20))+1,255)</f>
        <v>_6881084</v>
      </c>
    </row>
    <row r="42" spans="1:10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v>0.625</v>
      </c>
      <c r="G42" s="13">
        <f t="shared" si="9"/>
        <v>90</v>
      </c>
      <c r="H42" s="12" t="s">
        <v>14</v>
      </c>
      <c r="I42" s="12" t="s">
        <v>9</v>
      </c>
      <c r="J42" s="13" t="str" cm="1">
        <f t="array" aca="1" ref="J42" ca="1">MID(CELL("filename",A21),FIND("]",CELL("filename",A21))+1,255)</f>
        <v>_6881084</v>
      </c>
    </row>
    <row r="43" spans="1:10">
      <c r="A43" s="13" t="e">
        <f t="shared" si="5"/>
        <v>#VALUE!</v>
      </c>
      <c r="B43" s="13" t="str">
        <f t="shared" si="6"/>
        <v>1</v>
      </c>
      <c r="C43" s="13">
        <f t="shared" si="7"/>
        <v>5</v>
      </c>
      <c r="D43" s="13" t="str">
        <f t="shared" si="8"/>
        <v>6,7</v>
      </c>
      <c r="E43" s="13"/>
      <c r="F43" s="15">
        <f t="shared" si="11"/>
        <v>0.6875</v>
      </c>
      <c r="G43" s="13">
        <f t="shared" si="9"/>
        <v>90</v>
      </c>
      <c r="H43" s="12" t="s">
        <v>14</v>
      </c>
      <c r="I43" s="12" t="s">
        <v>9</v>
      </c>
      <c r="J43" s="13" t="str" cm="1">
        <f t="array" aca="1" ref="J43" ca="1">MID(CELL("filename",A22),FIND("]",CELL("filename",A22))+1,255)</f>
        <v>_6881084</v>
      </c>
    </row>
    <row r="44" spans="1:10">
      <c r="A44" s="13" t="e">
        <f t="shared" si="5"/>
        <v>#VALUE!</v>
      </c>
      <c r="B44" s="13" t="str">
        <f t="shared" si="6"/>
        <v>5</v>
      </c>
      <c r="C44" s="13">
        <f t="shared" si="7"/>
        <v>6</v>
      </c>
      <c r="D44" s="13">
        <f t="shared" si="8"/>
        <v>5</v>
      </c>
      <c r="E44" s="13"/>
      <c r="F44" s="15">
        <f t="shared" si="11"/>
        <v>0.375</v>
      </c>
      <c r="G44" s="13">
        <f t="shared" si="9"/>
        <v>60</v>
      </c>
      <c r="H44" s="12" t="s">
        <v>15</v>
      </c>
      <c r="I44" s="12" t="s">
        <v>12</v>
      </c>
      <c r="J44" s="13" t="str" cm="1">
        <f t="array" aca="1" ref="J44" ca="1">MID(CELL("filename",A23),FIND("]",CELL("filename",A23))+1,255)</f>
        <v>_6881084</v>
      </c>
    </row>
    <row r="45" spans="1:10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f t="shared" si="11"/>
        <v>0.41666666666666669</v>
      </c>
      <c r="G45" s="13">
        <f t="shared" si="9"/>
        <v>105</v>
      </c>
      <c r="H45" s="12" t="s">
        <v>15</v>
      </c>
      <c r="I45" s="12" t="s">
        <v>11</v>
      </c>
      <c r="J45" s="13" t="str" cm="1">
        <f t="array" aca="1" ref="J45" ca="1">MID(CELL("filename",A24),FIND("]",CELL("filename",A24))+1,255)</f>
        <v>_6881084</v>
      </c>
    </row>
    <row r="46" spans="1:10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1"/>
        <v>0.48958333333333337</v>
      </c>
      <c r="G46" s="13">
        <f t="shared" si="9"/>
        <v>105</v>
      </c>
      <c r="H46" s="12" t="s">
        <v>15</v>
      </c>
      <c r="I46" s="12" t="s">
        <v>11</v>
      </c>
      <c r="J46" s="13" t="str" cm="1">
        <f t="array" aca="1" ref="J46" ca="1">MID(CELL("filename",A25),FIND("]",CELL("filename",A25))+1,255)</f>
        <v>_6881084</v>
      </c>
    </row>
    <row r="47" spans="1:10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v>0.57291666666666663</v>
      </c>
      <c r="G47" s="13">
        <f t="shared" si="9"/>
        <v>105</v>
      </c>
      <c r="H47" s="12" t="s">
        <v>15</v>
      </c>
      <c r="I47" s="12" t="s">
        <v>11</v>
      </c>
      <c r="J47" s="13" t="str" cm="1">
        <f t="array" aca="1" ref="J47" ca="1">MID(CELL("filename",A26),FIND("]",CELL("filename",A26))+1,255)</f>
        <v>_6881084</v>
      </c>
    </row>
    <row r="48" spans="1:10">
      <c r="A48" s="13" t="e">
        <f t="shared" si="5"/>
        <v>#VALUE!</v>
      </c>
      <c r="B48" s="13" t="str">
        <f t="shared" si="6"/>
        <v>5</v>
      </c>
      <c r="C48" s="13">
        <f t="shared" si="7"/>
        <v>4</v>
      </c>
      <c r="D48" s="13">
        <f t="shared" si="8"/>
        <v>5</v>
      </c>
      <c r="E48" s="13"/>
      <c r="F48" s="15">
        <f t="shared" si="11"/>
        <v>0.64583333333333326</v>
      </c>
      <c r="G48" s="13">
        <f t="shared" si="9"/>
        <v>105</v>
      </c>
      <c r="H48" s="12" t="s">
        <v>15</v>
      </c>
      <c r="I48" s="12" t="s">
        <v>11</v>
      </c>
      <c r="J48" s="13" t="str" cm="1">
        <f t="array" aca="1" ref="J48" ca="1">MID(CELL("filename",A27),FIND("]",CELL("filename",A27))+1,255)</f>
        <v>_6881084</v>
      </c>
    </row>
    <row r="49" spans="1:10">
      <c r="A49" s="13" t="e">
        <f t="shared" si="5"/>
        <v>#VALUE!</v>
      </c>
      <c r="B49" s="13" t="str">
        <f t="shared" si="6"/>
        <v>5</v>
      </c>
      <c r="C49" s="13">
        <f t="shared" si="7"/>
        <v>4</v>
      </c>
      <c r="D49" s="13">
        <f t="shared" si="8"/>
        <v>5</v>
      </c>
      <c r="E49" s="13"/>
      <c r="F49" s="15">
        <f t="shared" si="11"/>
        <v>0.71874999999999989</v>
      </c>
      <c r="G49" s="13">
        <f t="shared" si="9"/>
        <v>105</v>
      </c>
      <c r="H49" s="12" t="s">
        <v>15</v>
      </c>
      <c r="I49" s="12" t="s">
        <v>11</v>
      </c>
      <c r="J49" s="13" t="str" cm="1">
        <f t="array" aca="1" ref="J49" ca="1">MID(CELL("filename",A28),FIND("]",CELL("filename",A28))+1,255)</f>
        <v>_6881084</v>
      </c>
    </row>
    <row r="50" spans="1:10">
      <c r="A50" s="13" t="e">
        <f t="shared" si="5"/>
        <v>#VALUE!</v>
      </c>
      <c r="B50" s="13" t="str">
        <f t="shared" si="6"/>
        <v>6</v>
      </c>
      <c r="C50" s="13">
        <f t="shared" si="7"/>
        <v>6</v>
      </c>
      <c r="D50" s="13" t="str">
        <f t="shared" si="8"/>
        <v>4,5,6,1</v>
      </c>
      <c r="E50" s="13"/>
      <c r="F50" s="15">
        <f t="shared" si="11"/>
        <v>0.375</v>
      </c>
      <c r="G50" s="13">
        <f t="shared" si="9"/>
        <v>60</v>
      </c>
      <c r="H50" s="12" t="s">
        <v>16</v>
      </c>
      <c r="I50" s="12" t="s">
        <v>12</v>
      </c>
      <c r="J50" s="13" t="str" cm="1">
        <f t="array" aca="1" ref="J50" ca="1">MID(CELL("filename",A29),FIND("]",CELL("filename",A29))+1,255)</f>
        <v>_6881084</v>
      </c>
    </row>
    <row r="51" spans="1:10">
      <c r="A51" s="13" t="e">
        <f t="shared" si="5"/>
        <v>#VALUE!</v>
      </c>
      <c r="B51" s="13" t="str">
        <f t="shared" si="6"/>
        <v>6</v>
      </c>
      <c r="C51" s="13">
        <f t="shared" si="7"/>
        <v>6</v>
      </c>
      <c r="D51" s="13" t="str">
        <f t="shared" si="8"/>
        <v>4,5,6,1</v>
      </c>
      <c r="E51" s="13"/>
      <c r="F51" s="15">
        <f t="shared" si="11"/>
        <v>0.41666666666666669</v>
      </c>
      <c r="G51" s="13">
        <f t="shared" si="9"/>
        <v>60</v>
      </c>
      <c r="H51" s="12" t="s">
        <v>16</v>
      </c>
      <c r="I51" s="12" t="s">
        <v>12</v>
      </c>
      <c r="J51" s="13" t="str" cm="1">
        <f t="array" aca="1" ref="J51" ca="1">MID(CELL("filename",A30),FIND("]",CELL("filename",A30))+1,255)</f>
        <v>_6881084</v>
      </c>
    </row>
    <row r="52" spans="1:10">
      <c r="A52" s="13" t="e">
        <f t="shared" si="5"/>
        <v>#VALUE!</v>
      </c>
      <c r="B52" s="13" t="str">
        <f t="shared" si="6"/>
        <v>6</v>
      </c>
      <c r="C52" s="13">
        <f t="shared" si="7"/>
        <v>5</v>
      </c>
      <c r="D52" s="13" t="str">
        <f t="shared" si="8"/>
        <v>4,5,6,1</v>
      </c>
      <c r="E52" s="13"/>
      <c r="F52" s="15">
        <f t="shared" si="11"/>
        <v>0.45833333333333337</v>
      </c>
      <c r="G52" s="13">
        <f t="shared" si="9"/>
        <v>90</v>
      </c>
      <c r="H52" s="12" t="s">
        <v>16</v>
      </c>
      <c r="I52" s="12" t="s">
        <v>9</v>
      </c>
      <c r="J52" s="13" t="str" cm="1">
        <f t="array" aca="1" ref="J52" ca="1">MID(CELL("filename",A31),FIND("]",CELL("filename",A31))+1,255)</f>
        <v>_6881084</v>
      </c>
    </row>
    <row r="53" spans="1:10">
      <c r="A53" s="13" t="e">
        <f t="shared" si="5"/>
        <v>#VALUE!</v>
      </c>
      <c r="B53" s="13" t="str">
        <f t="shared" si="6"/>
        <v>6</v>
      </c>
      <c r="C53" s="13">
        <f t="shared" si="7"/>
        <v>5</v>
      </c>
      <c r="D53" s="13" t="str">
        <f t="shared" si="8"/>
        <v>4,5,6,1</v>
      </c>
      <c r="E53" s="13"/>
      <c r="F53" s="15">
        <f t="shared" si="11"/>
        <v>0.52083333333333337</v>
      </c>
      <c r="G53" s="13">
        <f t="shared" si="9"/>
        <v>90</v>
      </c>
      <c r="H53" s="12" t="s">
        <v>16</v>
      </c>
      <c r="I53" s="12" t="s">
        <v>9</v>
      </c>
      <c r="J53" s="13" t="str" cm="1">
        <f t="array" aca="1" ref="J53" ca="1">MID(CELL("filename",A32),FIND("]",CELL("filename",A32))+1,255)</f>
        <v>_6881084</v>
      </c>
    </row>
    <row r="54" spans="1:10">
      <c r="A54" s="13" t="e">
        <f t="shared" si="5"/>
        <v>#VALUE!</v>
      </c>
      <c r="B54" s="13" t="str">
        <f t="shared" si="6"/>
        <v>6</v>
      </c>
      <c r="C54" s="13">
        <f t="shared" si="7"/>
        <v>5</v>
      </c>
      <c r="D54" s="13" t="str">
        <f t="shared" si="8"/>
        <v>4,5,6,1</v>
      </c>
      <c r="E54" s="13"/>
      <c r="F54" s="15">
        <f t="shared" si="11"/>
        <v>0.58333333333333337</v>
      </c>
      <c r="G54" s="13">
        <f t="shared" si="9"/>
        <v>90</v>
      </c>
      <c r="H54" s="12" t="s">
        <v>16</v>
      </c>
      <c r="I54" s="12" t="s">
        <v>9</v>
      </c>
      <c r="J54" s="13" t="str" cm="1">
        <f t="array" aca="1" ref="J54" ca="1">MID(CELL("filename",A33),FIND("]",CELL("filename",A33))+1,255)</f>
        <v>_6881084</v>
      </c>
    </row>
    <row r="55" spans="1:10">
      <c r="A55" s="13" t="e">
        <f t="shared" si="5"/>
        <v>#VALUE!</v>
      </c>
      <c r="B55" s="13" t="str">
        <f t="shared" si="6"/>
        <v>6</v>
      </c>
      <c r="C55" s="13">
        <f t="shared" si="7"/>
        <v>3</v>
      </c>
      <c r="D55" s="13" t="str">
        <f t="shared" si="8"/>
        <v>4,5,6,1</v>
      </c>
      <c r="E55" s="13"/>
      <c r="F55" s="15">
        <f t="shared" si="11"/>
        <v>0.64583333333333337</v>
      </c>
      <c r="G55" s="13">
        <f t="shared" si="9"/>
        <v>105</v>
      </c>
      <c r="H55" s="12" t="s">
        <v>16</v>
      </c>
      <c r="I55" s="12" t="s">
        <v>10</v>
      </c>
      <c r="J55" s="13" t="str" cm="1">
        <f t="array" aca="1" ref="J55" ca="1">MID(CELL("filename",A34),FIND("]",CELL("filename",A34))+1,255)</f>
        <v>_6881084</v>
      </c>
    </row>
    <row r="56" spans="1:10">
      <c r="A56" s="13" t="e">
        <f t="shared" si="5"/>
        <v>#VALUE!</v>
      </c>
      <c r="B56" s="13" t="str">
        <f t="shared" si="6"/>
        <v>6</v>
      </c>
      <c r="C56" s="13">
        <f t="shared" si="7"/>
        <v>3</v>
      </c>
      <c r="D56" s="13" t="str">
        <f t="shared" si="8"/>
        <v>4,5,6,1</v>
      </c>
      <c r="E56" s="13"/>
      <c r="F56" s="15">
        <f t="shared" si="11"/>
        <v>0.71875</v>
      </c>
      <c r="G56" s="13">
        <f t="shared" si="9"/>
        <v>105</v>
      </c>
      <c r="H56" s="12" t="s">
        <v>16</v>
      </c>
      <c r="I56" s="12" t="s">
        <v>10</v>
      </c>
      <c r="J56" s="13" t="str" cm="1">
        <f t="array" aca="1" ref="J56" ca="1">MID(CELL("filename",A35),FIND("]",CELL("filename",A35))+1,255)</f>
        <v>_6881084</v>
      </c>
    </row>
    <row r="57" spans="1:10">
      <c r="A57" s="13" t="e">
        <f t="shared" si="5"/>
        <v>#VALUE!</v>
      </c>
      <c r="B57" s="13" t="str">
        <f t="shared" si="6"/>
        <v>7</v>
      </c>
      <c r="C57" s="13">
        <f t="shared" si="7"/>
        <v>1</v>
      </c>
      <c r="D57" s="13" t="str">
        <f t="shared" si="8"/>
        <v>2,3,4,5,6</v>
      </c>
      <c r="E57" s="13"/>
      <c r="F57" s="15">
        <f t="shared" si="11"/>
        <v>0.375</v>
      </c>
      <c r="G57" s="13">
        <f t="shared" si="9"/>
        <v>120</v>
      </c>
      <c r="H57" s="12" t="s">
        <v>17</v>
      </c>
      <c r="I57" s="12" t="s">
        <v>6</v>
      </c>
      <c r="J57" s="13" t="str" cm="1">
        <f t="array" aca="1" ref="J57" ca="1">MID(CELL("filename",A36),FIND("]",CELL("filename",A36))+1,255)</f>
        <v>_6881084</v>
      </c>
    </row>
    <row r="58" spans="1:10">
      <c r="A58" s="13" t="e">
        <f t="shared" si="5"/>
        <v>#VALUE!</v>
      </c>
      <c r="B58" s="13" t="str">
        <f t="shared" si="6"/>
        <v>7</v>
      </c>
      <c r="C58" s="13">
        <f t="shared" si="7"/>
        <v>2</v>
      </c>
      <c r="D58" s="13" t="str">
        <f t="shared" si="8"/>
        <v>2,3,4,5,6</v>
      </c>
      <c r="E58" s="13"/>
      <c r="F58" s="15">
        <f t="shared" si="11"/>
        <v>0.45833333333333331</v>
      </c>
      <c r="G58" s="13">
        <f t="shared" si="9"/>
        <v>120</v>
      </c>
      <c r="H58" s="12" t="s">
        <v>17</v>
      </c>
      <c r="I58" s="12" t="s">
        <v>7</v>
      </c>
      <c r="J58" s="13" t="str" cm="1">
        <f t="array" aca="1" ref="J58" ca="1">MID(CELL("filename",A37),FIND("]",CELL("filename",A37))+1,255)</f>
        <v>_6881084</v>
      </c>
    </row>
    <row r="59" spans="1:10">
      <c r="A59" s="13" t="e">
        <f t="shared" si="5"/>
        <v>#VALUE!</v>
      </c>
      <c r="B59" s="13" t="str">
        <f t="shared" si="6"/>
        <v>7</v>
      </c>
      <c r="C59" s="13">
        <f t="shared" si="7"/>
        <v>2</v>
      </c>
      <c r="D59" s="13" t="str">
        <f t="shared" si="8"/>
        <v>2,3,4,5,6</v>
      </c>
      <c r="E59" s="13"/>
      <c r="F59" s="15">
        <f t="shared" si="11"/>
        <v>0.54166666666666663</v>
      </c>
      <c r="G59" s="13">
        <f t="shared" si="9"/>
        <v>120</v>
      </c>
      <c r="H59" s="12" t="s">
        <v>17</v>
      </c>
      <c r="I59" s="12" t="s">
        <v>7</v>
      </c>
      <c r="J59" s="13" t="str" cm="1">
        <f t="array" aca="1" ref="J59" ca="1">MID(CELL("filename",A38),FIND("]",CELL("filename",A38))+1,255)</f>
        <v>_6881084</v>
      </c>
    </row>
    <row r="60" spans="1:10">
      <c r="A60" s="13" t="e">
        <f t="shared" si="5"/>
        <v>#VALUE!</v>
      </c>
      <c r="B60" s="13" t="str">
        <f t="shared" si="6"/>
        <v>7</v>
      </c>
      <c r="C60" s="13">
        <f t="shared" si="7"/>
        <v>2</v>
      </c>
      <c r="D60" s="13" t="str">
        <f t="shared" si="8"/>
        <v>2,3,4,5,6</v>
      </c>
      <c r="E60" s="13"/>
      <c r="F60" s="15">
        <v>0.63541666666666663</v>
      </c>
      <c r="G60" s="13">
        <f t="shared" si="9"/>
        <v>120</v>
      </c>
      <c r="H60" s="12" t="s">
        <v>17</v>
      </c>
      <c r="I60" s="12" t="s">
        <v>7</v>
      </c>
      <c r="J60" s="13" t="str" cm="1">
        <f t="array" aca="1" ref="J60" ca="1">MID(CELL("filename",A39),FIND("]",CELL("filename",A39))+1,255)</f>
        <v>_6881084</v>
      </c>
    </row>
    <row r="61" spans="1:10">
      <c r="A61" s="13" t="e">
        <f t="shared" si="5"/>
        <v>#VALUE!</v>
      </c>
      <c r="B61" s="13" t="str">
        <f t="shared" si="6"/>
        <v>7</v>
      </c>
      <c r="C61" s="13">
        <f t="shared" si="7"/>
        <v>3</v>
      </c>
      <c r="D61" s="13" t="str">
        <f t="shared" si="8"/>
        <v>2,3,4,5,6</v>
      </c>
      <c r="E61" s="13"/>
      <c r="F61" s="15">
        <f t="shared" si="11"/>
        <v>0.71875</v>
      </c>
      <c r="G61" s="13">
        <f t="shared" si="9"/>
        <v>105</v>
      </c>
      <c r="H61" s="12" t="s">
        <v>17</v>
      </c>
      <c r="I61" s="12" t="s">
        <v>10</v>
      </c>
      <c r="J61" s="13" t="str" cm="1">
        <f t="array" aca="1" ref="J61" ca="1">MID(CELL("filename",A40),FIND("]",CELL("filename",A40))+1,255)</f>
        <v>_6881084</v>
      </c>
    </row>
    <row r="62" spans="1:10">
      <c r="A62" s="13" t="e">
        <f t="shared" si="5"/>
        <v>#VALUE!</v>
      </c>
      <c r="B62" s="13" t="str">
        <f t="shared" si="6"/>
        <v>8</v>
      </c>
      <c r="C62" s="13">
        <f t="shared" si="7"/>
        <v>3</v>
      </c>
      <c r="D62" s="13" t="str">
        <f t="shared" si="8"/>
        <v>2,3,4,5,6</v>
      </c>
      <c r="E62" s="13"/>
      <c r="F62" s="15">
        <f t="shared" si="11"/>
        <v>0.375</v>
      </c>
      <c r="G62" s="13">
        <f t="shared" si="9"/>
        <v>105</v>
      </c>
      <c r="H62" s="12" t="s">
        <v>18</v>
      </c>
      <c r="I62" s="12" t="s">
        <v>10</v>
      </c>
      <c r="J62" s="13" t="str" cm="1">
        <f t="array" aca="1" ref="J62" ca="1">MID(CELL("filename",A41),FIND("]",CELL("filename",A41))+1,255)</f>
        <v>_6881084</v>
      </c>
    </row>
    <row r="63" spans="1:10">
      <c r="A63" s="13" t="e">
        <f t="shared" si="5"/>
        <v>#VALUE!</v>
      </c>
      <c r="B63" s="13" t="str">
        <f t="shared" si="6"/>
        <v>8</v>
      </c>
      <c r="C63" s="13">
        <f t="shared" si="7"/>
        <v>3</v>
      </c>
      <c r="D63" s="13" t="str">
        <f t="shared" si="8"/>
        <v>2,3,4,5,6</v>
      </c>
      <c r="E63" s="13"/>
      <c r="F63" s="15">
        <f t="shared" si="11"/>
        <v>0.44791666666666669</v>
      </c>
      <c r="G63" s="13">
        <f t="shared" si="9"/>
        <v>105</v>
      </c>
      <c r="H63" s="12" t="s">
        <v>18</v>
      </c>
      <c r="I63" s="12" t="s">
        <v>10</v>
      </c>
      <c r="J63" s="13" t="str" cm="1">
        <f t="array" aca="1" ref="J63" ca="1">MID(CELL("filename",A42),FIND("]",CELL("filename",A42))+1,255)</f>
        <v>_6881084</v>
      </c>
    </row>
    <row r="64" spans="1:10">
      <c r="A64" s="13" t="e">
        <f t="shared" si="5"/>
        <v>#VALUE!</v>
      </c>
      <c r="B64" s="13" t="str">
        <f t="shared" si="6"/>
        <v>8</v>
      </c>
      <c r="C64" s="13">
        <f t="shared" si="7"/>
        <v>3</v>
      </c>
      <c r="D64" s="13" t="str">
        <f t="shared" si="8"/>
        <v>2,3,4,5,6</v>
      </c>
      <c r="E64" s="13"/>
      <c r="F64" s="15">
        <f t="shared" si="11"/>
        <v>0.52083333333333337</v>
      </c>
      <c r="G64" s="13">
        <f t="shared" si="9"/>
        <v>105</v>
      </c>
      <c r="H64" s="12" t="s">
        <v>18</v>
      </c>
      <c r="I64" s="12" t="s">
        <v>10</v>
      </c>
      <c r="J64" s="13" t="str" cm="1">
        <f t="array" aca="1" ref="J64" ca="1">MID(CELL("filename",A43),FIND("]",CELL("filename",A43))+1,255)</f>
        <v>_6881084</v>
      </c>
    </row>
    <row r="65" spans="1:10">
      <c r="A65" s="13" t="e">
        <f t="shared" si="5"/>
        <v>#VALUE!</v>
      </c>
      <c r="B65" s="13" t="str">
        <f t="shared" si="6"/>
        <v>8</v>
      </c>
      <c r="C65" s="13">
        <f t="shared" si="7"/>
        <v>3</v>
      </c>
      <c r="D65" s="13" t="str">
        <f t="shared" si="8"/>
        <v>2,3,4,5,6</v>
      </c>
      <c r="E65" s="13"/>
      <c r="F65" s="15">
        <v>0.61458333333333337</v>
      </c>
      <c r="G65" s="13">
        <f t="shared" si="9"/>
        <v>105</v>
      </c>
      <c r="H65" s="12" t="s">
        <v>18</v>
      </c>
      <c r="I65" s="12" t="s">
        <v>10</v>
      </c>
      <c r="J65" s="13" t="str" cm="1">
        <f t="array" aca="1" ref="J65" ca="1">MID(CELL("filename",A44),FIND("]",CELL("filename",A44))+1,255)</f>
        <v>_6881084</v>
      </c>
    </row>
    <row r="66" spans="1:10">
      <c r="A66" s="13" t="e">
        <f t="shared" si="5"/>
        <v>#VALUE!</v>
      </c>
      <c r="B66" s="13" t="str">
        <f t="shared" si="6"/>
        <v>8</v>
      </c>
      <c r="C66" s="13">
        <f t="shared" si="7"/>
        <v>3</v>
      </c>
      <c r="D66" s="13" t="str">
        <f t="shared" si="8"/>
        <v>2,3,4,5,6</v>
      </c>
      <c r="E66" s="13"/>
      <c r="F66" s="15">
        <f t="shared" si="11"/>
        <v>0.6875</v>
      </c>
      <c r="G66" s="13">
        <f t="shared" si="9"/>
        <v>105</v>
      </c>
      <c r="H66" s="12" t="s">
        <v>18</v>
      </c>
      <c r="I66" s="12" t="s">
        <v>10</v>
      </c>
      <c r="J66" s="13" t="str" cm="1">
        <f t="array" aca="1" ref="J66" ca="1">MID(CELL("filename",A45),FIND("]",CELL("filename",A45))+1,255)</f>
        <v>_6881084</v>
      </c>
    </row>
  </sheetData>
  <mergeCells count="52">
    <mergeCell ref="B2:I2"/>
    <mergeCell ref="J2:Q2"/>
    <mergeCell ref="B3:I3"/>
    <mergeCell ref="J3:Q3"/>
    <mergeCell ref="B4:E4"/>
    <mergeCell ref="F4:L4"/>
    <mergeCell ref="M4:S4"/>
    <mergeCell ref="R2:Y2"/>
    <mergeCell ref="U4:AA4"/>
    <mergeCell ref="Z2:AG2"/>
    <mergeCell ref="B19:E19"/>
    <mergeCell ref="B13:I13"/>
    <mergeCell ref="B6:E6"/>
    <mergeCell ref="F6:L6"/>
    <mergeCell ref="M6:S6"/>
    <mergeCell ref="B8:I8"/>
    <mergeCell ref="B14:I14"/>
    <mergeCell ref="B15:H15"/>
    <mergeCell ref="B16:H16"/>
    <mergeCell ref="B17:G17"/>
    <mergeCell ref="B18:E18"/>
    <mergeCell ref="J8:Q8"/>
    <mergeCell ref="R8:Y8"/>
    <mergeCell ref="AH2:AO2"/>
    <mergeCell ref="R3:Y3"/>
    <mergeCell ref="Z3:AG3"/>
    <mergeCell ref="AH3:AO3"/>
    <mergeCell ref="AB4:AH4"/>
    <mergeCell ref="AI4:AO4"/>
    <mergeCell ref="AF5:AK5"/>
    <mergeCell ref="U6:AA6"/>
    <mergeCell ref="AB6:AH6"/>
    <mergeCell ref="AI6:AO6"/>
    <mergeCell ref="B7:E7"/>
    <mergeCell ref="F7:I7"/>
    <mergeCell ref="J7:O7"/>
    <mergeCell ref="P7:U7"/>
    <mergeCell ref="V7:AA7"/>
    <mergeCell ref="AB7:AH7"/>
    <mergeCell ref="AI7:AO7"/>
    <mergeCell ref="B5:E5"/>
    <mergeCell ref="F5:K5"/>
    <mergeCell ref="L5:Q5"/>
    <mergeCell ref="R5:W5"/>
    <mergeCell ref="Z5:AE5"/>
    <mergeCell ref="AA8:AH8"/>
    <mergeCell ref="AI8:AO8"/>
    <mergeCell ref="B9:H9"/>
    <mergeCell ref="I9:O9"/>
    <mergeCell ref="P9:V9"/>
    <mergeCell ref="Y9:AE9"/>
    <mergeCell ref="AF9:AL9"/>
  </mergeCells>
  <phoneticPr fontId="5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B38F5-8666-4CE2-8EF0-DBC5DF2E2DE1}">
  <sheetPr codeName="Sheet45"/>
  <dimension ref="A1:AK41"/>
  <sheetViews>
    <sheetView zoomScale="55" zoomScaleNormal="55" workbookViewId="0">
      <pane ySplit="19" topLeftCell="A20" activePane="bottomLeft" state="frozen"/>
      <selection activeCell="J22" sqref="J22:J38"/>
      <selection pane="bottomLeft" activeCell="F27" sqref="F27"/>
    </sheetView>
  </sheetViews>
  <sheetFormatPr defaultColWidth="8.88671875" defaultRowHeight="14.4"/>
  <cols>
    <col min="1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37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</row>
    <row r="2" spans="1:37">
      <c r="A2" s="10" t="s">
        <v>6</v>
      </c>
      <c r="F2" s="10"/>
    </row>
    <row r="3" spans="1:37" ht="15" thickBot="1">
      <c r="A3" s="10" t="s">
        <v>7</v>
      </c>
      <c r="F3" s="10"/>
    </row>
    <row r="4" spans="1:37" ht="15" thickBot="1">
      <c r="A4" s="10" t="s">
        <v>11</v>
      </c>
      <c r="F4" s="10"/>
      <c r="J4" s="41" t="s">
        <v>12</v>
      </c>
      <c r="K4" s="42"/>
      <c r="L4" s="42"/>
      <c r="M4" s="43"/>
      <c r="N4" s="56" t="s">
        <v>11</v>
      </c>
      <c r="O4" s="57"/>
      <c r="P4" s="57"/>
      <c r="Q4" s="57"/>
      <c r="R4" s="57"/>
      <c r="S4" s="57"/>
      <c r="T4" s="58"/>
      <c r="U4" s="56" t="s">
        <v>11</v>
      </c>
      <c r="V4" s="57"/>
      <c r="W4" s="57"/>
      <c r="X4" s="57"/>
      <c r="Y4" s="57"/>
      <c r="Z4" s="57"/>
      <c r="AA4" s="58"/>
      <c r="AB4" s="56" t="s">
        <v>11</v>
      </c>
      <c r="AC4" s="57"/>
      <c r="AD4" s="57"/>
      <c r="AE4" s="57"/>
      <c r="AF4" s="57"/>
      <c r="AG4" s="57"/>
      <c r="AH4" s="58"/>
    </row>
    <row r="5" spans="1:37" ht="15" thickBot="1">
      <c r="A5" s="10" t="s">
        <v>14</v>
      </c>
      <c r="F5" s="10"/>
      <c r="J5" s="47" t="s">
        <v>100</v>
      </c>
      <c r="K5" s="48"/>
      <c r="L5" s="48"/>
      <c r="M5" s="49"/>
      <c r="N5" s="25"/>
      <c r="O5" s="26"/>
      <c r="P5" s="38" t="s">
        <v>9</v>
      </c>
      <c r="Q5" s="39"/>
      <c r="R5" s="39"/>
      <c r="S5" s="39"/>
      <c r="T5" s="39"/>
      <c r="U5" s="40"/>
      <c r="V5" s="38" t="s">
        <v>9</v>
      </c>
      <c r="W5" s="39"/>
      <c r="X5" s="39"/>
      <c r="Y5" s="39"/>
      <c r="Z5" s="39"/>
      <c r="AA5" s="40"/>
      <c r="AB5" s="38" t="s">
        <v>9</v>
      </c>
      <c r="AC5" s="39"/>
      <c r="AD5" s="39"/>
      <c r="AE5" s="39"/>
      <c r="AF5" s="39"/>
      <c r="AG5" s="40"/>
      <c r="AH5" s="26"/>
      <c r="AI5" s="26"/>
      <c r="AJ5" s="26"/>
      <c r="AK5" s="24"/>
    </row>
    <row r="6" spans="1:37" ht="15" thickBot="1">
      <c r="A6" s="10" t="s">
        <v>15</v>
      </c>
      <c r="F6" s="10"/>
      <c r="J6" s="41" t="s">
        <v>12</v>
      </c>
      <c r="K6" s="42"/>
      <c r="L6" s="42"/>
      <c r="M6" s="43"/>
      <c r="N6" s="56" t="s">
        <v>11</v>
      </c>
      <c r="O6" s="57"/>
      <c r="P6" s="57"/>
      <c r="Q6" s="57"/>
      <c r="R6" s="57"/>
      <c r="S6" s="57"/>
      <c r="T6" s="58"/>
      <c r="U6" s="56" t="s">
        <v>11</v>
      </c>
      <c r="V6" s="57"/>
      <c r="W6" s="57"/>
      <c r="X6" s="57"/>
      <c r="Y6" s="57"/>
      <c r="Z6" s="57"/>
      <c r="AA6" s="58"/>
      <c r="AB6" s="56" t="s">
        <v>11</v>
      </c>
      <c r="AC6" s="57"/>
      <c r="AD6" s="57"/>
      <c r="AE6" s="57"/>
      <c r="AF6" s="57"/>
      <c r="AG6" s="57"/>
      <c r="AH6" s="58"/>
    </row>
    <row r="7" spans="1:37" ht="15" thickBot="1">
      <c r="A7" s="10" t="s">
        <v>98</v>
      </c>
      <c r="F7" s="10"/>
      <c r="J7" s="96" t="s">
        <v>12</v>
      </c>
      <c r="K7" s="97"/>
      <c r="L7" s="97"/>
      <c r="M7" s="98"/>
      <c r="N7" s="66" t="s">
        <v>9</v>
      </c>
      <c r="O7" s="64"/>
      <c r="P7" s="64"/>
      <c r="Q7" s="64"/>
      <c r="R7" s="64"/>
      <c r="S7" s="65"/>
      <c r="T7" s="66" t="s">
        <v>9</v>
      </c>
      <c r="U7" s="64"/>
      <c r="V7" s="64"/>
      <c r="W7" s="64"/>
      <c r="X7" s="64"/>
      <c r="Y7" s="65"/>
      <c r="Z7" s="84" t="s">
        <v>11</v>
      </c>
      <c r="AA7" s="75"/>
      <c r="AB7" s="75"/>
      <c r="AC7" s="75"/>
      <c r="AD7" s="75"/>
      <c r="AE7" s="75"/>
      <c r="AF7" s="76"/>
    </row>
    <row r="8" spans="1:37" ht="15" thickBot="1">
      <c r="A8" s="10" t="s">
        <v>17</v>
      </c>
      <c r="F8" s="10"/>
      <c r="J8" s="87" t="s">
        <v>101</v>
      </c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9"/>
    </row>
    <row r="9" spans="1:37" ht="15" thickBot="1">
      <c r="A9" s="10" t="s">
        <v>18</v>
      </c>
      <c r="F9" s="10"/>
      <c r="J9" s="90" t="s">
        <v>12</v>
      </c>
      <c r="K9" s="91"/>
      <c r="L9" s="91"/>
      <c r="M9" s="92"/>
      <c r="N9" s="93" t="s">
        <v>9</v>
      </c>
      <c r="O9" s="94"/>
      <c r="P9" s="94"/>
      <c r="Q9" s="94"/>
      <c r="R9" s="94"/>
      <c r="S9" s="95"/>
      <c r="T9" s="93" t="s">
        <v>9</v>
      </c>
      <c r="U9" s="94"/>
      <c r="V9" s="94"/>
      <c r="W9" s="94"/>
      <c r="X9" s="94"/>
      <c r="Y9" s="95"/>
      <c r="Z9" s="83" t="s">
        <v>11</v>
      </c>
      <c r="AA9" s="62"/>
      <c r="AB9" s="62"/>
      <c r="AC9" s="62"/>
      <c r="AD9" s="62"/>
      <c r="AE9" s="62"/>
      <c r="AF9" s="63"/>
    </row>
    <row r="12" spans="1:37" ht="15" thickBot="1"/>
    <row r="13" spans="1:3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0</v>
      </c>
      <c r="L13" s="10">
        <f t="shared" ref="L13:L19" si="0">COUNTIF($B$2:$CS$9,B13)</f>
        <v>0</v>
      </c>
    </row>
    <row r="14" spans="1:3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0</v>
      </c>
      <c r="L14" s="10">
        <f t="shared" si="0"/>
        <v>0</v>
      </c>
    </row>
    <row r="15" spans="1:37" ht="15" thickBot="1">
      <c r="B15" s="35" t="s">
        <v>10</v>
      </c>
      <c r="C15" s="36"/>
      <c r="D15" s="36"/>
      <c r="E15" s="36"/>
      <c r="F15" s="36"/>
      <c r="G15" s="36"/>
      <c r="H15" s="37"/>
      <c r="K15" s="10">
        <v>0</v>
      </c>
      <c r="L15" s="10">
        <f t="shared" si="0"/>
        <v>0</v>
      </c>
    </row>
    <row r="16" spans="1:37" ht="15" thickBot="1">
      <c r="B16" s="56" t="s">
        <v>11</v>
      </c>
      <c r="C16" s="57"/>
      <c r="D16" s="57"/>
      <c r="E16" s="57"/>
      <c r="F16" s="57"/>
      <c r="G16" s="57"/>
      <c r="H16" s="58"/>
      <c r="K16" s="10">
        <v>8</v>
      </c>
      <c r="L16" s="10">
        <f t="shared" si="0"/>
        <v>8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7</v>
      </c>
      <c r="L17" s="10">
        <f t="shared" si="0"/>
        <v>7</v>
      </c>
    </row>
    <row r="18" spans="1:16" ht="15" thickBot="1">
      <c r="B18" s="41" t="s">
        <v>12</v>
      </c>
      <c r="C18" s="42"/>
      <c r="D18" s="42"/>
      <c r="E18" s="43"/>
      <c r="K18" s="10">
        <v>4</v>
      </c>
      <c r="L18" s="10">
        <f t="shared" si="0"/>
        <v>4</v>
      </c>
    </row>
    <row r="19" spans="1:16">
      <c r="B19" s="44" t="s">
        <v>100</v>
      </c>
      <c r="C19" s="45"/>
      <c r="D19" s="45"/>
      <c r="E19" s="46"/>
      <c r="K19" s="10">
        <v>1</v>
      </c>
      <c r="L19" s="10">
        <f t="shared" si="0"/>
        <v>1</v>
      </c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41" si="1">VLOOKUP(H22,field_id,2,FALSE)</f>
        <v>2</v>
      </c>
      <c r="C22" s="13">
        <f t="shared" ref="C22:C41" si="2">VLOOKUP(I22,league_id,2,FALSE)</f>
        <v>6</v>
      </c>
      <c r="D22" s="13" t="str">
        <f t="shared" ref="D22:D41" si="3">VLOOKUP(H22,slot_compat,3,FALSE)</f>
        <v>5,6</v>
      </c>
      <c r="E22" s="13"/>
      <c r="F22" s="15">
        <f>IF(B22&lt;&gt;B21,J$1,F21+G21/60/24)</f>
        <v>0.45833333333333331</v>
      </c>
      <c r="G22" s="13">
        <f t="shared" ref="G22:G41" si="4">VLOOKUP(I22,GameDuration,2,FALSE)</f>
        <v>60</v>
      </c>
      <c r="H22" s="13" t="s">
        <v>8</v>
      </c>
      <c r="I22" s="13" t="s">
        <v>12</v>
      </c>
      <c r="J22" s="13" t="str" cm="1">
        <f t="array" aca="1" ref="J22" ca="1">MID(CELL("filename",A1),FIND("]",CELL("filename",A1))+1,255)</f>
        <v>_000874</v>
      </c>
      <c r="L22" s="10" t="s">
        <v>6</v>
      </c>
      <c r="M22" s="10">
        <f t="shared" ref="M22:M28" si="5">COUNTIF(I$22:I$83,L22)</f>
        <v>0</v>
      </c>
      <c r="P22" s="30"/>
    </row>
    <row r="23" spans="1:16">
      <c r="A23" s="13" t="e">
        <f t="shared" ref="A23:A41" si="6">A22+1</f>
        <v>#VALUE!</v>
      </c>
      <c r="B23" s="13" t="str">
        <f t="shared" si="1"/>
        <v>2</v>
      </c>
      <c r="C23" s="13">
        <f t="shared" si="2"/>
        <v>4</v>
      </c>
      <c r="D23" s="13" t="str">
        <f t="shared" si="3"/>
        <v>5,6</v>
      </c>
      <c r="E23" s="13"/>
      <c r="F23" s="15">
        <f t="shared" ref="F23:F41" si="7">IF(B23&lt;&gt;B22,J$1,F22+G22/60/24)</f>
        <v>0.5</v>
      </c>
      <c r="G23" s="13">
        <f t="shared" si="4"/>
        <v>105</v>
      </c>
      <c r="H23" s="13" t="s">
        <v>8</v>
      </c>
      <c r="I23" s="13" t="s">
        <v>11</v>
      </c>
      <c r="J23" s="13" t="str" cm="1">
        <f t="array" aca="1" ref="J23" ca="1">MID(CELL("filename",A2),FIND("]",CELL("filename",A2))+1,255)</f>
        <v>_000874</v>
      </c>
      <c r="L23" s="10" t="s">
        <v>7</v>
      </c>
      <c r="M23" s="10">
        <f t="shared" si="5"/>
        <v>0</v>
      </c>
    </row>
    <row r="24" spans="1:16">
      <c r="A24" s="13" t="e">
        <f t="shared" si="6"/>
        <v>#VALUE!</v>
      </c>
      <c r="B24" s="13" t="str">
        <f t="shared" si="1"/>
        <v>2</v>
      </c>
      <c r="C24" s="13">
        <f t="shared" si="2"/>
        <v>4</v>
      </c>
      <c r="D24" s="13" t="str">
        <f t="shared" si="3"/>
        <v>5,6</v>
      </c>
      <c r="E24" s="13"/>
      <c r="F24" s="15">
        <f t="shared" si="7"/>
        <v>0.57291666666666663</v>
      </c>
      <c r="G24" s="13">
        <f t="shared" si="4"/>
        <v>105</v>
      </c>
      <c r="H24" s="13" t="s">
        <v>8</v>
      </c>
      <c r="I24" s="13" t="s">
        <v>11</v>
      </c>
      <c r="J24" s="13" t="str" cm="1">
        <f t="array" aca="1" ref="J24" ca="1">MID(CELL("filename",A3),FIND("]",CELL("filename",A3))+1,255)</f>
        <v>_000874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2</v>
      </c>
      <c r="C25" s="13">
        <f t="shared" si="2"/>
        <v>4</v>
      </c>
      <c r="D25" s="13" t="str">
        <f t="shared" si="3"/>
        <v>5,6</v>
      </c>
      <c r="E25" s="13"/>
      <c r="F25" s="15">
        <f t="shared" si="7"/>
        <v>0.64583333333333326</v>
      </c>
      <c r="G25" s="13">
        <f t="shared" si="4"/>
        <v>105</v>
      </c>
      <c r="H25" s="13" t="s">
        <v>8</v>
      </c>
      <c r="I25" s="13" t="s">
        <v>11</v>
      </c>
      <c r="J25" s="13" t="str" cm="1">
        <f t="array" aca="1" ref="J25" ca="1">MID(CELL("filename",A4),FIND("]",CELL("filename",A4))+1,255)</f>
        <v>_000874</v>
      </c>
      <c r="L25" s="10" t="s">
        <v>11</v>
      </c>
      <c r="M25" s="10">
        <f t="shared" si="5"/>
        <v>8</v>
      </c>
    </row>
    <row r="26" spans="1:16">
      <c r="A26" s="13" t="e">
        <f t="shared" si="6"/>
        <v>#VALUE!</v>
      </c>
      <c r="B26" s="13" t="str">
        <f t="shared" si="1"/>
        <v>1</v>
      </c>
      <c r="C26" s="13">
        <f t="shared" si="2"/>
        <v>7</v>
      </c>
      <c r="D26" s="13" t="str">
        <f t="shared" si="3"/>
        <v>6,7</v>
      </c>
      <c r="E26" s="13"/>
      <c r="F26" s="15">
        <f t="shared" si="7"/>
        <v>0.45833333333333331</v>
      </c>
      <c r="G26" s="13">
        <f t="shared" si="4"/>
        <v>60</v>
      </c>
      <c r="H26" s="13" t="s">
        <v>14</v>
      </c>
      <c r="I26" s="13" t="s">
        <v>13</v>
      </c>
      <c r="J26" s="13" t="str" cm="1">
        <f t="array" aca="1" ref="J26" ca="1">MID(CELL("filename",A5),FIND("]",CELL("filename",A5))+1,255)</f>
        <v>_000874</v>
      </c>
      <c r="L26" s="10" t="s">
        <v>9</v>
      </c>
      <c r="M26" s="10">
        <f t="shared" si="5"/>
        <v>7</v>
      </c>
    </row>
    <row r="27" spans="1:16">
      <c r="A27" s="13" t="e">
        <f t="shared" si="6"/>
        <v>#VALUE!</v>
      </c>
      <c r="B27" s="13" t="str">
        <f t="shared" si="1"/>
        <v>1</v>
      </c>
      <c r="C27" s="13">
        <f t="shared" si="2"/>
        <v>5</v>
      </c>
      <c r="D27" s="13" t="str">
        <f t="shared" si="3"/>
        <v>6,7</v>
      </c>
      <c r="E27" s="13"/>
      <c r="F27" s="15">
        <v>0.52083333333333337</v>
      </c>
      <c r="G27" s="13">
        <f t="shared" si="4"/>
        <v>90</v>
      </c>
      <c r="H27" s="13" t="s">
        <v>14</v>
      </c>
      <c r="I27" s="13" t="s">
        <v>9</v>
      </c>
      <c r="J27" s="13" t="str" cm="1">
        <f t="array" aca="1" ref="J27" ca="1">MID(CELL("filename",A6),FIND("]",CELL("filename",A6))+1,255)</f>
        <v>_000874</v>
      </c>
      <c r="L27" s="10" t="s">
        <v>12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7"/>
        <v>0.58333333333333337</v>
      </c>
      <c r="G28" s="13">
        <f t="shared" si="4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_000874</v>
      </c>
      <c r="L28" s="10" t="s">
        <v>13</v>
      </c>
      <c r="M28" s="10">
        <f t="shared" si="5"/>
        <v>1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7"/>
        <v>0.64583333333333337</v>
      </c>
      <c r="G29" s="13">
        <f t="shared" si="4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_000874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6</v>
      </c>
      <c r="D30" s="13">
        <f t="shared" si="3"/>
        <v>5</v>
      </c>
      <c r="E30" s="13"/>
      <c r="F30" s="15">
        <f t="shared" si="7"/>
        <v>0.45833333333333331</v>
      </c>
      <c r="G30" s="13">
        <f t="shared" si="4"/>
        <v>60</v>
      </c>
      <c r="H30" s="13" t="s">
        <v>15</v>
      </c>
      <c r="I30" s="13" t="s">
        <v>12</v>
      </c>
      <c r="J30" s="13" t="str" cm="1">
        <f t="array" aca="1" ref="J30" ca="1">MID(CELL("filename",A10),FIND("]",CELL("filename",A10))+1,255)</f>
        <v>_000874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7"/>
        <v>0.5</v>
      </c>
      <c r="G31" s="13">
        <f t="shared" si="4"/>
        <v>105</v>
      </c>
      <c r="H31" s="13" t="s">
        <v>15</v>
      </c>
      <c r="I31" s="13" t="s">
        <v>11</v>
      </c>
      <c r="J31" s="13" t="str" cm="1">
        <f t="array" aca="1" ref="J31" ca="1">MID(CELL("filename",A11),FIND("]",CELL("filename",A11))+1,255)</f>
        <v>_000874</v>
      </c>
    </row>
    <row r="32" spans="1:16">
      <c r="A32" s="13" t="e">
        <f t="shared" si="6"/>
        <v>#VALUE!</v>
      </c>
      <c r="B32" s="13" t="str">
        <f t="shared" si="1"/>
        <v>5</v>
      </c>
      <c r="C32" s="13">
        <f t="shared" si="2"/>
        <v>4</v>
      </c>
      <c r="D32" s="13">
        <f t="shared" si="3"/>
        <v>5</v>
      </c>
      <c r="E32" s="13"/>
      <c r="F32" s="15">
        <f t="shared" si="7"/>
        <v>0.57291666666666663</v>
      </c>
      <c r="G32" s="13">
        <f t="shared" si="4"/>
        <v>105</v>
      </c>
      <c r="H32" s="13" t="s">
        <v>15</v>
      </c>
      <c r="I32" s="13" t="s">
        <v>11</v>
      </c>
      <c r="J32" s="13" t="str" cm="1">
        <f t="array" aca="1" ref="J32" ca="1">MID(CELL("filename",A12),FIND("]",CELL("filename",A12))+1,255)</f>
        <v>_000874</v>
      </c>
    </row>
    <row r="33" spans="1:10">
      <c r="A33" s="13" t="e">
        <f t="shared" si="6"/>
        <v>#VALUE!</v>
      </c>
      <c r="B33" s="13" t="str">
        <f t="shared" si="1"/>
        <v>5</v>
      </c>
      <c r="C33" s="13">
        <f t="shared" si="2"/>
        <v>4</v>
      </c>
      <c r="D33" s="13">
        <f t="shared" si="3"/>
        <v>5</v>
      </c>
      <c r="E33" s="13"/>
      <c r="F33" s="15">
        <f t="shared" si="7"/>
        <v>0.64583333333333326</v>
      </c>
      <c r="G33" s="13">
        <f t="shared" si="4"/>
        <v>105</v>
      </c>
      <c r="H33" s="13" t="s">
        <v>15</v>
      </c>
      <c r="I33" s="13" t="s">
        <v>11</v>
      </c>
      <c r="J33" s="13" t="str" cm="1">
        <f t="array" aca="1" ref="J33" ca="1">MID(CELL("filename",A13),FIND("]",CELL("filename",A13))+1,255)</f>
        <v>_000874</v>
      </c>
    </row>
    <row r="34" spans="1:10">
      <c r="A34" s="13" t="e">
        <f t="shared" si="6"/>
        <v>#VALUE!</v>
      </c>
      <c r="B34" s="13" t="str">
        <f t="shared" si="1"/>
        <v>6</v>
      </c>
      <c r="C34" s="13">
        <f t="shared" si="2"/>
        <v>6</v>
      </c>
      <c r="D34" s="13" t="str">
        <f t="shared" si="3"/>
        <v>4,5,6,1</v>
      </c>
      <c r="E34" s="13"/>
      <c r="F34" s="15">
        <f t="shared" si="7"/>
        <v>0.45833333333333331</v>
      </c>
      <c r="G34" s="13">
        <f t="shared" si="4"/>
        <v>60</v>
      </c>
      <c r="H34" s="13" t="s">
        <v>16</v>
      </c>
      <c r="I34" s="13" t="s">
        <v>12</v>
      </c>
      <c r="J34" s="13" t="str" cm="1">
        <f t="array" aca="1" ref="J34" ca="1">MID(CELL("filename",A14),FIND("]",CELL("filename",A14))+1,255)</f>
        <v>_000874</v>
      </c>
    </row>
    <row r="35" spans="1:10">
      <c r="A35" s="13" t="e">
        <f t="shared" si="6"/>
        <v>#VALUE!</v>
      </c>
      <c r="B35" s="13" t="str">
        <f t="shared" si="1"/>
        <v>6</v>
      </c>
      <c r="C35" s="13">
        <f t="shared" si="2"/>
        <v>5</v>
      </c>
      <c r="D35" s="13" t="str">
        <f t="shared" si="3"/>
        <v>4,5,6,1</v>
      </c>
      <c r="E35" s="13"/>
      <c r="F35" s="15">
        <f t="shared" si="7"/>
        <v>0.5</v>
      </c>
      <c r="G35" s="13">
        <f t="shared" si="4"/>
        <v>90</v>
      </c>
      <c r="H35" s="13" t="s">
        <v>16</v>
      </c>
      <c r="I35" s="13" t="s">
        <v>9</v>
      </c>
      <c r="J35" s="13" t="str" cm="1">
        <f t="array" aca="1" ref="J35" ca="1">MID(CELL("filename",A15),FIND("]",CELL("filename",A15))+1,255)</f>
        <v>_000874</v>
      </c>
    </row>
    <row r="36" spans="1:10">
      <c r="A36" s="13" t="e">
        <f t="shared" si="6"/>
        <v>#VALUE!</v>
      </c>
      <c r="B36" s="13" t="str">
        <f t="shared" si="1"/>
        <v>6</v>
      </c>
      <c r="C36" s="13">
        <f t="shared" si="2"/>
        <v>5</v>
      </c>
      <c r="D36" s="13" t="str">
        <f t="shared" si="3"/>
        <v>4,5,6,1</v>
      </c>
      <c r="E36" s="13"/>
      <c r="F36" s="15">
        <f t="shared" si="7"/>
        <v>0.5625</v>
      </c>
      <c r="G36" s="13">
        <f t="shared" si="4"/>
        <v>90</v>
      </c>
      <c r="H36" s="13" t="s">
        <v>16</v>
      </c>
      <c r="I36" s="13" t="s">
        <v>9</v>
      </c>
      <c r="J36" s="13" t="str" cm="1">
        <f t="array" aca="1" ref="J36" ca="1">MID(CELL("filename",A16),FIND("]",CELL("filename",A16))+1,255)</f>
        <v>_000874</v>
      </c>
    </row>
    <row r="37" spans="1:10">
      <c r="A37" s="13" t="e">
        <f t="shared" si="6"/>
        <v>#VALUE!</v>
      </c>
      <c r="B37" s="13" t="str">
        <f t="shared" si="1"/>
        <v>6</v>
      </c>
      <c r="C37" s="13">
        <f t="shared" si="2"/>
        <v>4</v>
      </c>
      <c r="D37" s="13" t="str">
        <f t="shared" si="3"/>
        <v>4,5,6,1</v>
      </c>
      <c r="E37" s="13"/>
      <c r="F37" s="15">
        <f t="shared" si="7"/>
        <v>0.625</v>
      </c>
      <c r="G37" s="13">
        <f t="shared" si="4"/>
        <v>105</v>
      </c>
      <c r="H37" s="13" t="s">
        <v>16</v>
      </c>
      <c r="I37" s="13" t="s">
        <v>11</v>
      </c>
      <c r="J37" s="13" t="str" cm="1">
        <f t="array" aca="1" ref="J37" ca="1">MID(CELL("filename",A17),FIND("]",CELL("filename",A17))+1,255)</f>
        <v>_000874</v>
      </c>
    </row>
    <row r="38" spans="1:10">
      <c r="A38" s="13" t="e">
        <f t="shared" si="6"/>
        <v>#VALUE!</v>
      </c>
      <c r="B38" s="13" t="str">
        <f t="shared" si="1"/>
        <v>8</v>
      </c>
      <c r="C38" s="13">
        <f t="shared" si="2"/>
        <v>6</v>
      </c>
      <c r="D38" s="13" t="str">
        <f t="shared" si="3"/>
        <v>2,3,4,5,6</v>
      </c>
      <c r="E38" s="13"/>
      <c r="F38" s="15">
        <f t="shared" si="7"/>
        <v>0.45833333333333331</v>
      </c>
      <c r="G38" s="13">
        <f t="shared" si="4"/>
        <v>60</v>
      </c>
      <c r="H38" s="13" t="s">
        <v>18</v>
      </c>
      <c r="I38" s="13" t="s">
        <v>12</v>
      </c>
      <c r="J38" s="13" t="str" cm="1">
        <f t="array" aca="1" ref="J38" ca="1">MID(CELL("filename",A18),FIND("]",CELL("filename",A18))+1,255)</f>
        <v>_000874</v>
      </c>
    </row>
    <row r="39" spans="1:10">
      <c r="A39" s="13" t="e">
        <f t="shared" si="6"/>
        <v>#VALUE!</v>
      </c>
      <c r="B39" s="13" t="str">
        <f t="shared" si="1"/>
        <v>8</v>
      </c>
      <c r="C39" s="13">
        <f t="shared" si="2"/>
        <v>5</v>
      </c>
      <c r="D39" s="13" t="str">
        <f t="shared" si="3"/>
        <v>2,3,4,5,6</v>
      </c>
      <c r="E39" s="13"/>
      <c r="F39" s="15">
        <f t="shared" si="7"/>
        <v>0.5</v>
      </c>
      <c r="G39" s="13">
        <f t="shared" si="4"/>
        <v>90</v>
      </c>
      <c r="H39" s="13" t="s">
        <v>18</v>
      </c>
      <c r="I39" s="13" t="s">
        <v>9</v>
      </c>
      <c r="J39" s="13" t="str" cm="1">
        <f t="array" aca="1" ref="J39" ca="1">MID(CELL("filename",A19),FIND("]",CELL("filename",A19))+1,255)</f>
        <v>_000874</v>
      </c>
    </row>
    <row r="40" spans="1:10">
      <c r="A40" s="13" t="e">
        <f t="shared" si="6"/>
        <v>#VALUE!</v>
      </c>
      <c r="B40" s="13" t="str">
        <f t="shared" si="1"/>
        <v>8</v>
      </c>
      <c r="C40" s="13">
        <f t="shared" si="2"/>
        <v>5</v>
      </c>
      <c r="D40" s="13" t="str">
        <f t="shared" si="3"/>
        <v>2,3,4,5,6</v>
      </c>
      <c r="E40" s="13"/>
      <c r="F40" s="15">
        <f t="shared" si="7"/>
        <v>0.5625</v>
      </c>
      <c r="G40" s="13">
        <f t="shared" si="4"/>
        <v>90</v>
      </c>
      <c r="H40" s="13" t="s">
        <v>18</v>
      </c>
      <c r="I40" s="13" t="s">
        <v>9</v>
      </c>
      <c r="J40" s="13" t="str" cm="1">
        <f t="array" aca="1" ref="J40" ca="1">MID(CELL("filename",A20),FIND("]",CELL("filename",A20))+1,255)</f>
        <v>_000874</v>
      </c>
    </row>
    <row r="41" spans="1:10">
      <c r="A41" s="13" t="e">
        <f t="shared" si="6"/>
        <v>#VALUE!</v>
      </c>
      <c r="B41" s="13" t="str">
        <f t="shared" si="1"/>
        <v>8</v>
      </c>
      <c r="C41" s="13">
        <f t="shared" si="2"/>
        <v>4</v>
      </c>
      <c r="D41" s="13" t="str">
        <f t="shared" si="3"/>
        <v>2,3,4,5,6</v>
      </c>
      <c r="E41" s="13"/>
      <c r="F41" s="15">
        <f t="shared" si="7"/>
        <v>0.625</v>
      </c>
      <c r="G41" s="13">
        <f t="shared" si="4"/>
        <v>105</v>
      </c>
      <c r="H41" s="13" t="s">
        <v>18</v>
      </c>
      <c r="I41" s="13" t="s">
        <v>11</v>
      </c>
      <c r="J41" s="13" t="str" cm="1">
        <f t="array" aca="1" ref="J41" ca="1">MID(CELL("filename",A21),FIND("]",CELL("filename",A21))+1,255)</f>
        <v>_000874</v>
      </c>
    </row>
  </sheetData>
  <mergeCells count="28">
    <mergeCell ref="J6:M6"/>
    <mergeCell ref="N6:T6"/>
    <mergeCell ref="U6:AA6"/>
    <mergeCell ref="AB6:AH6"/>
    <mergeCell ref="J7:M7"/>
    <mergeCell ref="N7:S7"/>
    <mergeCell ref="T7:Y7"/>
    <mergeCell ref="Z7:AF7"/>
    <mergeCell ref="B17:G17"/>
    <mergeCell ref="B18:E18"/>
    <mergeCell ref="B19:E19"/>
    <mergeCell ref="J8:AK8"/>
    <mergeCell ref="J9:M9"/>
    <mergeCell ref="N9:S9"/>
    <mergeCell ref="T9:Y9"/>
    <mergeCell ref="Z9:AF9"/>
    <mergeCell ref="B13:I13"/>
    <mergeCell ref="B14:I14"/>
    <mergeCell ref="B15:H15"/>
    <mergeCell ref="B16:H16"/>
    <mergeCell ref="J4:M4"/>
    <mergeCell ref="N4:T4"/>
    <mergeCell ref="U4:AA4"/>
    <mergeCell ref="AB4:AH4"/>
    <mergeCell ref="J5:M5"/>
    <mergeCell ref="P5:U5"/>
    <mergeCell ref="V5:AA5"/>
    <mergeCell ref="AB5:AG5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B39A-644E-4970-A4B5-8A56F6D95732}">
  <sheetPr codeName="Sheet24"/>
  <dimension ref="A1:AK42"/>
  <sheetViews>
    <sheetView zoomScale="55" zoomScaleNormal="55" workbookViewId="0">
      <pane ySplit="19" topLeftCell="A20" activePane="bottomLeft" state="frozen"/>
      <selection activeCell="J22" sqref="J22:J38"/>
      <selection pane="bottomLeft" activeCell="R32" sqref="R32"/>
    </sheetView>
  </sheetViews>
  <sheetFormatPr defaultColWidth="8.88671875" defaultRowHeight="14.4"/>
  <cols>
    <col min="1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37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</row>
    <row r="2" spans="1:37">
      <c r="A2" s="10" t="s">
        <v>6</v>
      </c>
      <c r="F2" s="10"/>
    </row>
    <row r="3" spans="1:37" ht="15" thickBot="1">
      <c r="A3" s="10" t="s">
        <v>7</v>
      </c>
      <c r="F3" s="10"/>
    </row>
    <row r="4" spans="1:37" ht="15" thickBot="1">
      <c r="A4" s="10" t="s">
        <v>11</v>
      </c>
      <c r="F4" s="10"/>
      <c r="J4" s="41" t="s">
        <v>12</v>
      </c>
      <c r="K4" s="42"/>
      <c r="L4" s="42"/>
      <c r="M4" s="43"/>
      <c r="N4" s="56" t="s">
        <v>11</v>
      </c>
      <c r="O4" s="57"/>
      <c r="P4" s="57"/>
      <c r="Q4" s="57"/>
      <c r="R4" s="57"/>
      <c r="S4" s="57"/>
      <c r="T4" s="58"/>
      <c r="U4" s="56" t="s">
        <v>11</v>
      </c>
      <c r="V4" s="57"/>
      <c r="W4" s="57"/>
      <c r="X4" s="57"/>
      <c r="Y4" s="57"/>
      <c r="Z4" s="57"/>
      <c r="AA4" s="58"/>
      <c r="AB4" s="56" t="s">
        <v>11</v>
      </c>
      <c r="AC4" s="57"/>
      <c r="AD4" s="57"/>
      <c r="AE4" s="57"/>
      <c r="AF4" s="57"/>
      <c r="AG4" s="57"/>
      <c r="AH4" s="58"/>
    </row>
    <row r="5" spans="1:37" ht="15" thickBot="1">
      <c r="A5" s="10" t="s">
        <v>14</v>
      </c>
      <c r="F5" s="10"/>
      <c r="J5" s="47" t="s">
        <v>100</v>
      </c>
      <c r="K5" s="48"/>
      <c r="L5" s="48"/>
      <c r="M5" s="49"/>
      <c r="N5" s="38" t="s">
        <v>9</v>
      </c>
      <c r="O5" s="39"/>
      <c r="P5" s="39"/>
      <c r="Q5" s="39"/>
      <c r="R5" s="39"/>
      <c r="S5" s="40"/>
      <c r="T5" s="38" t="s">
        <v>9</v>
      </c>
      <c r="U5" s="39"/>
      <c r="V5" s="39"/>
      <c r="W5" s="39"/>
      <c r="X5" s="39"/>
      <c r="Y5" s="40"/>
      <c r="Z5" s="38" t="s">
        <v>9</v>
      </c>
      <c r="AA5" s="39"/>
      <c r="AB5" s="39"/>
      <c r="AC5" s="39"/>
      <c r="AD5" s="39"/>
      <c r="AE5" s="40"/>
      <c r="AF5" s="38" t="s">
        <v>9</v>
      </c>
      <c r="AG5" s="39"/>
      <c r="AH5" s="39"/>
      <c r="AI5" s="39"/>
      <c r="AJ5" s="39"/>
      <c r="AK5" s="40"/>
    </row>
    <row r="6" spans="1:37" ht="15" thickBot="1">
      <c r="A6" s="10" t="s">
        <v>15</v>
      </c>
      <c r="F6" s="10"/>
      <c r="J6" s="41" t="s">
        <v>12</v>
      </c>
      <c r="K6" s="42"/>
      <c r="L6" s="42"/>
      <c r="M6" s="43"/>
      <c r="N6" s="56" t="s">
        <v>11</v>
      </c>
      <c r="O6" s="57"/>
      <c r="P6" s="57"/>
      <c r="Q6" s="57"/>
      <c r="R6" s="57"/>
      <c r="S6" s="57"/>
      <c r="T6" s="58"/>
      <c r="U6" s="56" t="s">
        <v>11</v>
      </c>
      <c r="V6" s="57"/>
      <c r="W6" s="57"/>
      <c r="X6" s="57"/>
      <c r="Y6" s="57"/>
      <c r="Z6" s="57"/>
      <c r="AA6" s="58"/>
      <c r="AB6" s="56" t="s">
        <v>11</v>
      </c>
      <c r="AC6" s="57"/>
      <c r="AD6" s="57"/>
      <c r="AE6" s="57"/>
      <c r="AF6" s="57"/>
      <c r="AG6" s="57"/>
      <c r="AH6" s="58"/>
    </row>
    <row r="7" spans="1:37" ht="15" thickBot="1">
      <c r="A7" s="10" t="s">
        <v>98</v>
      </c>
      <c r="F7" s="10"/>
      <c r="J7" s="96" t="s">
        <v>12</v>
      </c>
      <c r="K7" s="97"/>
      <c r="L7" s="97"/>
      <c r="M7" s="98"/>
      <c r="N7" s="66" t="s">
        <v>9</v>
      </c>
      <c r="O7" s="64"/>
      <c r="P7" s="64"/>
      <c r="Q7" s="64"/>
      <c r="R7" s="64"/>
      <c r="S7" s="65"/>
      <c r="T7" s="66" t="s">
        <v>9</v>
      </c>
      <c r="U7" s="64"/>
      <c r="V7" s="64"/>
      <c r="W7" s="64"/>
      <c r="X7" s="64"/>
      <c r="Y7" s="65"/>
      <c r="Z7" s="84" t="s">
        <v>11</v>
      </c>
      <c r="AA7" s="75"/>
      <c r="AB7" s="75"/>
      <c r="AC7" s="75"/>
      <c r="AD7" s="75"/>
      <c r="AE7" s="75"/>
      <c r="AF7" s="76"/>
    </row>
    <row r="8" spans="1:37" ht="15" thickBot="1">
      <c r="A8" s="10" t="s">
        <v>17</v>
      </c>
      <c r="F8" s="10"/>
      <c r="J8" s="87" t="s">
        <v>101</v>
      </c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9"/>
    </row>
    <row r="9" spans="1:37" ht="15" thickBot="1">
      <c r="A9" s="10" t="s">
        <v>18</v>
      </c>
      <c r="F9" s="10"/>
      <c r="J9" s="90" t="s">
        <v>12</v>
      </c>
      <c r="K9" s="91"/>
      <c r="L9" s="91"/>
      <c r="M9" s="92"/>
      <c r="N9" s="93" t="s">
        <v>9</v>
      </c>
      <c r="O9" s="94"/>
      <c r="P9" s="94"/>
      <c r="Q9" s="94"/>
      <c r="R9" s="94"/>
      <c r="S9" s="95"/>
      <c r="T9" s="93" t="s">
        <v>9</v>
      </c>
      <c r="U9" s="94"/>
      <c r="V9" s="94"/>
      <c r="W9" s="94"/>
      <c r="X9" s="94"/>
      <c r="Y9" s="95"/>
      <c r="Z9" s="83" t="s">
        <v>11</v>
      </c>
      <c r="AA9" s="62"/>
      <c r="AB9" s="62"/>
      <c r="AC9" s="62"/>
      <c r="AD9" s="62"/>
      <c r="AE9" s="62"/>
      <c r="AF9" s="63"/>
    </row>
    <row r="12" spans="1:37" ht="15" thickBot="1"/>
    <row r="13" spans="1:37" ht="15" thickBot="1">
      <c r="A13" s="10" t="s">
        <v>99</v>
      </c>
      <c r="B13" s="50" t="s">
        <v>6</v>
      </c>
      <c r="C13" s="51"/>
      <c r="D13" s="51"/>
      <c r="E13" s="51"/>
      <c r="F13" s="51"/>
      <c r="G13" s="51"/>
      <c r="H13" s="51"/>
      <c r="I13" s="52"/>
      <c r="K13" s="10">
        <v>0</v>
      </c>
      <c r="L13" s="10">
        <f t="shared" ref="L13:L19" si="0">COUNTIF($B$2:$CS$9,B13)</f>
        <v>0</v>
      </c>
    </row>
    <row r="14" spans="1:37" ht="15" thickBot="1">
      <c r="B14" s="53" t="s">
        <v>7</v>
      </c>
      <c r="C14" s="54"/>
      <c r="D14" s="54"/>
      <c r="E14" s="54"/>
      <c r="F14" s="54"/>
      <c r="G14" s="54"/>
      <c r="H14" s="54"/>
      <c r="I14" s="55"/>
      <c r="K14" s="10">
        <v>0</v>
      </c>
      <c r="L14" s="10">
        <f t="shared" si="0"/>
        <v>0</v>
      </c>
    </row>
    <row r="15" spans="1:37" ht="15" thickBot="1">
      <c r="B15" s="35" t="s">
        <v>10</v>
      </c>
      <c r="C15" s="36"/>
      <c r="D15" s="36"/>
      <c r="E15" s="36"/>
      <c r="F15" s="36"/>
      <c r="G15" s="36"/>
      <c r="H15" s="37"/>
      <c r="K15" s="10">
        <v>0</v>
      </c>
      <c r="L15" s="10">
        <f t="shared" si="0"/>
        <v>0</v>
      </c>
    </row>
    <row r="16" spans="1:37" ht="15" thickBot="1">
      <c r="B16" s="56" t="s">
        <v>11</v>
      </c>
      <c r="C16" s="57"/>
      <c r="D16" s="57"/>
      <c r="E16" s="57"/>
      <c r="F16" s="57"/>
      <c r="G16" s="57"/>
      <c r="H16" s="58"/>
      <c r="K16" s="10">
        <v>8</v>
      </c>
      <c r="L16" s="10">
        <f t="shared" si="0"/>
        <v>8</v>
      </c>
    </row>
    <row r="17" spans="1:16" ht="15" thickBot="1">
      <c r="B17" s="38" t="s">
        <v>9</v>
      </c>
      <c r="C17" s="39"/>
      <c r="D17" s="39"/>
      <c r="E17" s="39"/>
      <c r="F17" s="39"/>
      <c r="G17" s="40"/>
      <c r="K17" s="10">
        <v>8</v>
      </c>
      <c r="L17" s="10">
        <f t="shared" si="0"/>
        <v>8</v>
      </c>
    </row>
    <row r="18" spans="1:16" ht="15" thickBot="1">
      <c r="B18" s="41" t="s">
        <v>12</v>
      </c>
      <c r="C18" s="42"/>
      <c r="D18" s="42"/>
      <c r="E18" s="43"/>
      <c r="K18" s="10">
        <v>4</v>
      </c>
      <c r="L18" s="10">
        <f t="shared" si="0"/>
        <v>4</v>
      </c>
    </row>
    <row r="19" spans="1:16">
      <c r="B19" s="44" t="s">
        <v>100</v>
      </c>
      <c r="C19" s="45"/>
      <c r="D19" s="45"/>
      <c r="E19" s="46"/>
      <c r="K19" s="10">
        <v>1</v>
      </c>
      <c r="L19" s="10">
        <f t="shared" si="0"/>
        <v>1</v>
      </c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47</v>
      </c>
      <c r="D21" s="13" t="s">
        <v>48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126</v>
      </c>
      <c r="L21" s="2"/>
    </row>
    <row r="22" spans="1:16">
      <c r="A22" s="13" t="e">
        <f>A21+1</f>
        <v>#VALUE!</v>
      </c>
      <c r="B22" s="13" t="str">
        <f t="shared" ref="B22:B42" si="1">VLOOKUP(H22,field_id,2,FALSE)</f>
        <v>2</v>
      </c>
      <c r="C22" s="13">
        <f t="shared" ref="C22:C25" si="2">VLOOKUP(I22,league_id,2,FALSE)</f>
        <v>6</v>
      </c>
      <c r="D22" s="13" t="str">
        <f t="shared" ref="D22:D25" si="3">VLOOKUP(H22,slot_compat,3,FALSE)</f>
        <v>5,6</v>
      </c>
      <c r="E22" s="13"/>
      <c r="F22" s="15">
        <f>IF(B22&lt;&gt;B21,J$1,F21+G21/60/24)</f>
        <v>0.45833333333333331</v>
      </c>
      <c r="G22" s="13">
        <f t="shared" ref="G22:G25" si="4">VLOOKUP(I22,GameDuration,2,FALSE)</f>
        <v>60</v>
      </c>
      <c r="H22" s="13" t="s">
        <v>8</v>
      </c>
      <c r="I22" s="13" t="s">
        <v>12</v>
      </c>
      <c r="J22" s="13" t="str" cm="1">
        <f t="array" aca="1" ref="J22" ca="1">MID(CELL("filename",A1),FIND("]",CELL("filename",A1))+1,255)</f>
        <v>_OpeningDay</v>
      </c>
      <c r="L22" s="10" t="s">
        <v>6</v>
      </c>
      <c r="M22" s="10">
        <f t="shared" ref="M22:M28" si="5">COUNTIF(I$22:I$84,L22)</f>
        <v>0</v>
      </c>
      <c r="P22" s="30"/>
    </row>
    <row r="23" spans="1:16">
      <c r="A23" s="13" t="e">
        <f t="shared" ref="A23:A25" si="6">A22+1</f>
        <v>#VALUE!</v>
      </c>
      <c r="B23" s="13" t="str">
        <f t="shared" si="1"/>
        <v>2</v>
      </c>
      <c r="C23" s="13">
        <f t="shared" si="2"/>
        <v>4</v>
      </c>
      <c r="D23" s="13" t="str">
        <f t="shared" si="3"/>
        <v>5,6</v>
      </c>
      <c r="E23" s="13"/>
      <c r="F23" s="15">
        <f t="shared" ref="F23:F25" si="7">IF(B23&lt;&gt;B22,J$1,F22+G22/60/24)</f>
        <v>0.5</v>
      </c>
      <c r="G23" s="13">
        <f t="shared" si="4"/>
        <v>105</v>
      </c>
      <c r="H23" s="13" t="s">
        <v>8</v>
      </c>
      <c r="I23" s="13" t="s">
        <v>11</v>
      </c>
      <c r="J23" s="13" t="str" cm="1">
        <f t="array" aca="1" ref="J23" ca="1">MID(CELL("filename",A2),FIND("]",CELL("filename",A2))+1,255)</f>
        <v>_OpeningDay</v>
      </c>
      <c r="L23" s="10" t="s">
        <v>7</v>
      </c>
      <c r="M23" s="10">
        <f t="shared" si="5"/>
        <v>0</v>
      </c>
    </row>
    <row r="24" spans="1:16">
      <c r="A24" s="13" t="e">
        <f t="shared" si="6"/>
        <v>#VALUE!</v>
      </c>
      <c r="B24" s="13" t="str">
        <f t="shared" si="1"/>
        <v>2</v>
      </c>
      <c r="C24" s="13">
        <f t="shared" si="2"/>
        <v>4</v>
      </c>
      <c r="D24" s="13" t="str">
        <f t="shared" si="3"/>
        <v>5,6</v>
      </c>
      <c r="E24" s="13"/>
      <c r="F24" s="15">
        <f t="shared" si="7"/>
        <v>0.57291666666666663</v>
      </c>
      <c r="G24" s="13">
        <f t="shared" si="4"/>
        <v>105</v>
      </c>
      <c r="H24" s="13" t="s">
        <v>8</v>
      </c>
      <c r="I24" s="13" t="s">
        <v>11</v>
      </c>
      <c r="J24" s="13" t="str" cm="1">
        <f t="array" aca="1" ref="J24" ca="1">MID(CELL("filename",A3),FIND("]",CELL("filename",A3))+1,255)</f>
        <v>_OpeningDay</v>
      </c>
      <c r="L24" s="10" t="s">
        <v>10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2</v>
      </c>
      <c r="C25" s="13">
        <f t="shared" si="2"/>
        <v>4</v>
      </c>
      <c r="D25" s="13" t="str">
        <f t="shared" si="3"/>
        <v>5,6</v>
      </c>
      <c r="E25" s="13"/>
      <c r="F25" s="15">
        <f t="shared" si="7"/>
        <v>0.64583333333333326</v>
      </c>
      <c r="G25" s="13">
        <f t="shared" si="4"/>
        <v>105</v>
      </c>
      <c r="H25" s="13" t="s">
        <v>8</v>
      </c>
      <c r="I25" s="13" t="s">
        <v>11</v>
      </c>
      <c r="J25" s="13" t="str" cm="1">
        <f t="array" aca="1" ref="J25" ca="1">MID(CELL("filename",A4),FIND("]",CELL("filename",A4))+1,255)</f>
        <v>_OpeningDay</v>
      </c>
      <c r="L25" s="10" t="s">
        <v>11</v>
      </c>
      <c r="M25" s="10">
        <f t="shared" si="5"/>
        <v>8</v>
      </c>
    </row>
    <row r="26" spans="1:16">
      <c r="A26" s="13" t="e">
        <f t="shared" ref="A26:A42" si="8">A25+1</f>
        <v>#VALUE!</v>
      </c>
      <c r="B26" s="13" t="str">
        <f t="shared" si="1"/>
        <v>1</v>
      </c>
      <c r="C26" s="13">
        <f t="shared" ref="C26:C42" si="9">VLOOKUP(I26,league_id,2,FALSE)</f>
        <v>7</v>
      </c>
      <c r="D26" s="13" t="str">
        <f t="shared" ref="D26:D42" si="10">VLOOKUP(H26,slot_compat,3,FALSE)</f>
        <v>6,7</v>
      </c>
      <c r="E26" s="13"/>
      <c r="F26" s="15">
        <f t="shared" ref="F26:F42" si="11">IF(B26&lt;&gt;B25,J$1,F25+G25/60/24)</f>
        <v>0.45833333333333331</v>
      </c>
      <c r="G26" s="13">
        <f t="shared" ref="G26:G42" si="12">VLOOKUP(I26,GameDuration,2,FALSE)</f>
        <v>60</v>
      </c>
      <c r="H26" s="13" t="s">
        <v>14</v>
      </c>
      <c r="I26" s="13" t="s">
        <v>13</v>
      </c>
      <c r="J26" s="13" t="str" cm="1">
        <f t="array" aca="1" ref="J26" ca="1">MID(CELL("filename",A5),FIND("]",CELL("filename",A5))+1,255)</f>
        <v>_OpeningDay</v>
      </c>
      <c r="L26" s="10" t="s">
        <v>9</v>
      </c>
      <c r="M26" s="10">
        <f t="shared" si="5"/>
        <v>8</v>
      </c>
    </row>
    <row r="27" spans="1:16">
      <c r="A27" s="13" t="e">
        <f t="shared" si="8"/>
        <v>#VALUE!</v>
      </c>
      <c r="B27" s="13" t="str">
        <f t="shared" si="1"/>
        <v>1</v>
      </c>
      <c r="C27" s="13">
        <f t="shared" si="9"/>
        <v>5</v>
      </c>
      <c r="D27" s="13" t="str">
        <f t="shared" si="10"/>
        <v>6,7</v>
      </c>
      <c r="E27" s="13"/>
      <c r="F27" s="15">
        <f t="shared" si="11"/>
        <v>0.5</v>
      </c>
      <c r="G27" s="13">
        <f t="shared" si="12"/>
        <v>90</v>
      </c>
      <c r="H27" s="13" t="s">
        <v>14</v>
      </c>
      <c r="I27" s="13" t="s">
        <v>9</v>
      </c>
      <c r="J27" s="13" t="str" cm="1">
        <f t="array" aca="1" ref="J27" ca="1">MID(CELL("filename",A6),FIND("]",CELL("filename",A6))+1,255)</f>
        <v>_OpeningDay</v>
      </c>
      <c r="L27" s="10" t="s">
        <v>12</v>
      </c>
      <c r="M27" s="10">
        <f t="shared" si="5"/>
        <v>4</v>
      </c>
    </row>
    <row r="28" spans="1:16">
      <c r="A28" s="13" t="e">
        <f t="shared" si="8"/>
        <v>#VALUE!</v>
      </c>
      <c r="B28" s="13" t="str">
        <f t="shared" si="1"/>
        <v>1</v>
      </c>
      <c r="C28" s="13">
        <f t="shared" si="9"/>
        <v>5</v>
      </c>
      <c r="D28" s="13" t="str">
        <f t="shared" si="10"/>
        <v>6,7</v>
      </c>
      <c r="E28" s="13"/>
      <c r="F28" s="15">
        <f t="shared" si="11"/>
        <v>0.5625</v>
      </c>
      <c r="G28" s="13">
        <f t="shared" si="12"/>
        <v>90</v>
      </c>
      <c r="H28" s="13" t="s">
        <v>14</v>
      </c>
      <c r="I28" s="13" t="s">
        <v>9</v>
      </c>
      <c r="J28" s="13" t="str" cm="1">
        <f t="array" aca="1" ref="J28" ca="1">MID(CELL("filename",A7),FIND("]",CELL("filename",A7))+1,255)</f>
        <v>_OpeningDay</v>
      </c>
      <c r="L28" s="10" t="s">
        <v>13</v>
      </c>
      <c r="M28" s="10">
        <f t="shared" si="5"/>
        <v>1</v>
      </c>
    </row>
    <row r="29" spans="1:16">
      <c r="A29" s="13" t="e">
        <f t="shared" si="8"/>
        <v>#VALUE!</v>
      </c>
      <c r="B29" s="13" t="str">
        <f t="shared" si="1"/>
        <v>1</v>
      </c>
      <c r="C29" s="13">
        <f t="shared" si="9"/>
        <v>5</v>
      </c>
      <c r="D29" s="13" t="str">
        <f t="shared" si="10"/>
        <v>6,7</v>
      </c>
      <c r="E29" s="13"/>
      <c r="F29" s="15">
        <f t="shared" si="11"/>
        <v>0.625</v>
      </c>
      <c r="G29" s="13">
        <f t="shared" si="12"/>
        <v>90</v>
      </c>
      <c r="H29" s="13" t="s">
        <v>14</v>
      </c>
      <c r="I29" s="13" t="s">
        <v>9</v>
      </c>
      <c r="J29" s="13" t="str" cm="1">
        <f t="array" aca="1" ref="J29" ca="1">MID(CELL("filename",A8),FIND("]",CELL("filename",A8))+1,255)</f>
        <v>_OpeningDay</v>
      </c>
    </row>
    <row r="30" spans="1:16">
      <c r="A30" s="13" t="e">
        <f t="shared" si="8"/>
        <v>#VALUE!</v>
      </c>
      <c r="B30" s="13" t="str">
        <f t="shared" si="1"/>
        <v>1</v>
      </c>
      <c r="C30" s="13">
        <f t="shared" si="9"/>
        <v>5</v>
      </c>
      <c r="D30" s="13" t="str">
        <f t="shared" si="10"/>
        <v>6,7</v>
      </c>
      <c r="E30" s="13"/>
      <c r="F30" s="15">
        <f t="shared" si="11"/>
        <v>0.6875</v>
      </c>
      <c r="G30" s="13">
        <f t="shared" si="12"/>
        <v>90</v>
      </c>
      <c r="H30" s="13" t="s">
        <v>14</v>
      </c>
      <c r="I30" s="13" t="s">
        <v>9</v>
      </c>
      <c r="J30" s="13" t="str" cm="1">
        <f t="array" aca="1" ref="J30" ca="1">MID(CELL("filename",A9),FIND("]",CELL("filename",A9))+1,255)</f>
        <v>_OpeningDay</v>
      </c>
    </row>
    <row r="31" spans="1:16">
      <c r="A31" s="13" t="e">
        <f t="shared" si="8"/>
        <v>#VALUE!</v>
      </c>
      <c r="B31" s="13" t="str">
        <f t="shared" si="1"/>
        <v>5</v>
      </c>
      <c r="C31" s="13">
        <f t="shared" si="9"/>
        <v>6</v>
      </c>
      <c r="D31" s="13">
        <f t="shared" si="10"/>
        <v>5</v>
      </c>
      <c r="E31" s="13"/>
      <c r="F31" s="15">
        <f t="shared" si="11"/>
        <v>0.45833333333333331</v>
      </c>
      <c r="G31" s="13">
        <f t="shared" si="12"/>
        <v>60</v>
      </c>
      <c r="H31" s="13" t="s">
        <v>15</v>
      </c>
      <c r="I31" s="13" t="s">
        <v>12</v>
      </c>
      <c r="J31" s="13" t="str" cm="1">
        <f t="array" aca="1" ref="J31" ca="1">MID(CELL("filename",A10),FIND("]",CELL("filename",A10))+1,255)</f>
        <v>_OpeningDay</v>
      </c>
    </row>
    <row r="32" spans="1:16">
      <c r="A32" s="13" t="e">
        <f t="shared" si="8"/>
        <v>#VALUE!</v>
      </c>
      <c r="B32" s="13" t="str">
        <f t="shared" si="1"/>
        <v>5</v>
      </c>
      <c r="C32" s="13">
        <f t="shared" si="9"/>
        <v>4</v>
      </c>
      <c r="D32" s="13">
        <f t="shared" si="10"/>
        <v>5</v>
      </c>
      <c r="E32" s="13"/>
      <c r="F32" s="15">
        <f t="shared" si="11"/>
        <v>0.5</v>
      </c>
      <c r="G32" s="13">
        <f t="shared" si="12"/>
        <v>105</v>
      </c>
      <c r="H32" s="13" t="s">
        <v>15</v>
      </c>
      <c r="I32" s="13" t="s">
        <v>11</v>
      </c>
      <c r="J32" s="13" t="str" cm="1">
        <f t="array" aca="1" ref="J32" ca="1">MID(CELL("filename",A11),FIND("]",CELL("filename",A11))+1,255)</f>
        <v>_OpeningDay</v>
      </c>
    </row>
    <row r="33" spans="1:10">
      <c r="A33" s="13" t="e">
        <f t="shared" si="8"/>
        <v>#VALUE!</v>
      </c>
      <c r="B33" s="13" t="str">
        <f t="shared" si="1"/>
        <v>5</v>
      </c>
      <c r="C33" s="13">
        <f t="shared" si="9"/>
        <v>4</v>
      </c>
      <c r="D33" s="13">
        <f t="shared" si="10"/>
        <v>5</v>
      </c>
      <c r="E33" s="13"/>
      <c r="F33" s="15">
        <f t="shared" si="11"/>
        <v>0.57291666666666663</v>
      </c>
      <c r="G33" s="13">
        <f t="shared" si="12"/>
        <v>105</v>
      </c>
      <c r="H33" s="13" t="s">
        <v>15</v>
      </c>
      <c r="I33" s="13" t="s">
        <v>11</v>
      </c>
      <c r="J33" s="13" t="str" cm="1">
        <f t="array" aca="1" ref="J33" ca="1">MID(CELL("filename",A12),FIND("]",CELL("filename",A12))+1,255)</f>
        <v>_OpeningDay</v>
      </c>
    </row>
    <row r="34" spans="1:10">
      <c r="A34" s="13" t="e">
        <f t="shared" si="8"/>
        <v>#VALUE!</v>
      </c>
      <c r="B34" s="13" t="str">
        <f t="shared" si="1"/>
        <v>5</v>
      </c>
      <c r="C34" s="13">
        <f t="shared" si="9"/>
        <v>4</v>
      </c>
      <c r="D34" s="13">
        <f t="shared" si="10"/>
        <v>5</v>
      </c>
      <c r="E34" s="13"/>
      <c r="F34" s="15">
        <f t="shared" si="11"/>
        <v>0.64583333333333326</v>
      </c>
      <c r="G34" s="13">
        <f t="shared" si="12"/>
        <v>105</v>
      </c>
      <c r="H34" s="13" t="s">
        <v>15</v>
      </c>
      <c r="I34" s="13" t="s">
        <v>11</v>
      </c>
      <c r="J34" s="13" t="str" cm="1">
        <f t="array" aca="1" ref="J34" ca="1">MID(CELL("filename",A13),FIND("]",CELL("filename",A13))+1,255)</f>
        <v>_OpeningDay</v>
      </c>
    </row>
    <row r="35" spans="1:10">
      <c r="A35" s="13" t="e">
        <f t="shared" si="8"/>
        <v>#VALUE!</v>
      </c>
      <c r="B35" s="13" t="str">
        <f t="shared" si="1"/>
        <v>6</v>
      </c>
      <c r="C35" s="13">
        <f t="shared" si="9"/>
        <v>6</v>
      </c>
      <c r="D35" s="13" t="str">
        <f t="shared" si="10"/>
        <v>4,5,6,1</v>
      </c>
      <c r="E35" s="13"/>
      <c r="F35" s="15">
        <f t="shared" si="11"/>
        <v>0.45833333333333331</v>
      </c>
      <c r="G35" s="13">
        <f t="shared" si="12"/>
        <v>60</v>
      </c>
      <c r="H35" s="13" t="s">
        <v>16</v>
      </c>
      <c r="I35" s="13" t="s">
        <v>12</v>
      </c>
      <c r="J35" s="13" t="str" cm="1">
        <f t="array" aca="1" ref="J35" ca="1">MID(CELL("filename",A14),FIND("]",CELL("filename",A14))+1,255)</f>
        <v>_OpeningDay</v>
      </c>
    </row>
    <row r="36" spans="1:10">
      <c r="A36" s="13" t="e">
        <f t="shared" si="8"/>
        <v>#VALUE!</v>
      </c>
      <c r="B36" s="13" t="str">
        <f t="shared" si="1"/>
        <v>6</v>
      </c>
      <c r="C36" s="13">
        <f t="shared" si="9"/>
        <v>5</v>
      </c>
      <c r="D36" s="13" t="str">
        <f t="shared" si="10"/>
        <v>4,5,6,1</v>
      </c>
      <c r="E36" s="13"/>
      <c r="F36" s="15">
        <f t="shared" si="11"/>
        <v>0.5</v>
      </c>
      <c r="G36" s="13">
        <f t="shared" si="12"/>
        <v>90</v>
      </c>
      <c r="H36" s="13" t="s">
        <v>16</v>
      </c>
      <c r="I36" s="13" t="s">
        <v>9</v>
      </c>
      <c r="J36" s="13" t="str" cm="1">
        <f t="array" aca="1" ref="J36" ca="1">MID(CELL("filename",A15),FIND("]",CELL("filename",A15))+1,255)</f>
        <v>_OpeningDay</v>
      </c>
    </row>
    <row r="37" spans="1:10">
      <c r="A37" s="13" t="e">
        <f t="shared" si="8"/>
        <v>#VALUE!</v>
      </c>
      <c r="B37" s="13" t="str">
        <f t="shared" si="1"/>
        <v>6</v>
      </c>
      <c r="C37" s="13">
        <f t="shared" si="9"/>
        <v>5</v>
      </c>
      <c r="D37" s="13" t="str">
        <f t="shared" si="10"/>
        <v>4,5,6,1</v>
      </c>
      <c r="E37" s="13"/>
      <c r="F37" s="15">
        <f t="shared" si="11"/>
        <v>0.5625</v>
      </c>
      <c r="G37" s="13">
        <f t="shared" si="12"/>
        <v>90</v>
      </c>
      <c r="H37" s="13" t="s">
        <v>16</v>
      </c>
      <c r="I37" s="13" t="s">
        <v>9</v>
      </c>
      <c r="J37" s="13" t="str" cm="1">
        <f t="array" aca="1" ref="J37" ca="1">MID(CELL("filename",A16),FIND("]",CELL("filename",A16))+1,255)</f>
        <v>_OpeningDay</v>
      </c>
    </row>
    <row r="38" spans="1:10">
      <c r="A38" s="13" t="e">
        <f t="shared" si="8"/>
        <v>#VALUE!</v>
      </c>
      <c r="B38" s="13" t="str">
        <f t="shared" si="1"/>
        <v>6</v>
      </c>
      <c r="C38" s="13">
        <f t="shared" si="9"/>
        <v>4</v>
      </c>
      <c r="D38" s="13" t="str">
        <f t="shared" si="10"/>
        <v>4,5,6,1</v>
      </c>
      <c r="E38" s="13"/>
      <c r="F38" s="15">
        <f t="shared" si="11"/>
        <v>0.625</v>
      </c>
      <c r="G38" s="13">
        <f t="shared" si="12"/>
        <v>105</v>
      </c>
      <c r="H38" s="13" t="s">
        <v>16</v>
      </c>
      <c r="I38" s="13" t="s">
        <v>11</v>
      </c>
      <c r="J38" s="13" t="str" cm="1">
        <f t="array" aca="1" ref="J38" ca="1">MID(CELL("filename",A17),FIND("]",CELL("filename",A17))+1,255)</f>
        <v>_OpeningDay</v>
      </c>
    </row>
    <row r="39" spans="1:10">
      <c r="A39" s="13" t="e">
        <f t="shared" si="8"/>
        <v>#VALUE!</v>
      </c>
      <c r="B39" s="13" t="str">
        <f t="shared" si="1"/>
        <v>8</v>
      </c>
      <c r="C39" s="13">
        <f t="shared" si="9"/>
        <v>6</v>
      </c>
      <c r="D39" s="13" t="str">
        <f t="shared" si="10"/>
        <v>2,3,4,5,6</v>
      </c>
      <c r="E39" s="13"/>
      <c r="F39" s="15">
        <f t="shared" si="11"/>
        <v>0.45833333333333331</v>
      </c>
      <c r="G39" s="13">
        <f t="shared" si="12"/>
        <v>60</v>
      </c>
      <c r="H39" s="13" t="s">
        <v>18</v>
      </c>
      <c r="I39" s="13" t="s">
        <v>12</v>
      </c>
      <c r="J39" s="13" t="str" cm="1">
        <f t="array" aca="1" ref="J39" ca="1">MID(CELL("filename",A18),FIND("]",CELL("filename",A18))+1,255)</f>
        <v>_OpeningDay</v>
      </c>
    </row>
    <row r="40" spans="1:10">
      <c r="A40" s="13" t="e">
        <f t="shared" si="8"/>
        <v>#VALUE!</v>
      </c>
      <c r="B40" s="13" t="str">
        <f t="shared" si="1"/>
        <v>8</v>
      </c>
      <c r="C40" s="13">
        <f t="shared" si="9"/>
        <v>5</v>
      </c>
      <c r="D40" s="13" t="str">
        <f t="shared" si="10"/>
        <v>2,3,4,5,6</v>
      </c>
      <c r="E40" s="13"/>
      <c r="F40" s="15">
        <f t="shared" si="11"/>
        <v>0.5</v>
      </c>
      <c r="G40" s="13">
        <f t="shared" si="12"/>
        <v>90</v>
      </c>
      <c r="H40" s="13" t="s">
        <v>18</v>
      </c>
      <c r="I40" s="13" t="s">
        <v>9</v>
      </c>
      <c r="J40" s="13" t="str" cm="1">
        <f t="array" aca="1" ref="J40" ca="1">MID(CELL("filename",A19),FIND("]",CELL("filename",A19))+1,255)</f>
        <v>_OpeningDay</v>
      </c>
    </row>
    <row r="41" spans="1:10">
      <c r="A41" s="13" t="e">
        <f t="shared" si="8"/>
        <v>#VALUE!</v>
      </c>
      <c r="B41" s="13" t="str">
        <f t="shared" si="1"/>
        <v>8</v>
      </c>
      <c r="C41" s="13">
        <f t="shared" si="9"/>
        <v>5</v>
      </c>
      <c r="D41" s="13" t="str">
        <f t="shared" si="10"/>
        <v>2,3,4,5,6</v>
      </c>
      <c r="E41" s="13"/>
      <c r="F41" s="15">
        <f t="shared" si="11"/>
        <v>0.5625</v>
      </c>
      <c r="G41" s="13">
        <f t="shared" si="12"/>
        <v>90</v>
      </c>
      <c r="H41" s="13" t="s">
        <v>18</v>
      </c>
      <c r="I41" s="13" t="s">
        <v>9</v>
      </c>
      <c r="J41" s="13" t="str" cm="1">
        <f t="array" aca="1" ref="J41" ca="1">MID(CELL("filename",A20),FIND("]",CELL("filename",A20))+1,255)</f>
        <v>_OpeningDay</v>
      </c>
    </row>
    <row r="42" spans="1:10">
      <c r="A42" s="13" t="e">
        <f t="shared" si="8"/>
        <v>#VALUE!</v>
      </c>
      <c r="B42" s="13" t="str">
        <f t="shared" si="1"/>
        <v>8</v>
      </c>
      <c r="C42" s="13">
        <f t="shared" si="9"/>
        <v>4</v>
      </c>
      <c r="D42" s="13" t="str">
        <f t="shared" si="10"/>
        <v>2,3,4,5,6</v>
      </c>
      <c r="E42" s="13"/>
      <c r="F42" s="15">
        <f t="shared" si="11"/>
        <v>0.625</v>
      </c>
      <c r="G42" s="13">
        <f t="shared" si="12"/>
        <v>105</v>
      </c>
      <c r="H42" s="13" t="s">
        <v>18</v>
      </c>
      <c r="I42" s="13" t="s">
        <v>11</v>
      </c>
      <c r="J42" s="13" t="str" cm="1">
        <f t="array" aca="1" ref="J42" ca="1">MID(CELL("filename",A21),FIND("]",CELL("filename",A21))+1,255)</f>
        <v>_OpeningDay</v>
      </c>
    </row>
  </sheetData>
  <mergeCells count="29">
    <mergeCell ref="B13:I13"/>
    <mergeCell ref="B14:I14"/>
    <mergeCell ref="N6:T6"/>
    <mergeCell ref="N4:T4"/>
    <mergeCell ref="B15:H15"/>
    <mergeCell ref="N9:S9"/>
    <mergeCell ref="B16:H16"/>
    <mergeCell ref="B17:G17"/>
    <mergeCell ref="B18:E18"/>
    <mergeCell ref="B19:E19"/>
    <mergeCell ref="U4:AA4"/>
    <mergeCell ref="T9:Y9"/>
    <mergeCell ref="Z9:AF9"/>
    <mergeCell ref="U6:AA6"/>
    <mergeCell ref="AB6:AH6"/>
    <mergeCell ref="J7:M7"/>
    <mergeCell ref="N7:S7"/>
    <mergeCell ref="T7:Y7"/>
    <mergeCell ref="Z7:AF7"/>
    <mergeCell ref="J6:M6"/>
    <mergeCell ref="J8:AK8"/>
    <mergeCell ref="J9:M9"/>
    <mergeCell ref="AB4:AH4"/>
    <mergeCell ref="J5:M5"/>
    <mergeCell ref="N5:S5"/>
    <mergeCell ref="T5:Y5"/>
    <mergeCell ref="Z5:AE5"/>
    <mergeCell ref="AF5:AK5"/>
    <mergeCell ref="J4:M4"/>
  </mergeCells>
  <phoneticPr fontId="5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N35"/>
  <sheetViews>
    <sheetView topLeftCell="A16" workbookViewId="0">
      <selection activeCell="H29" sqref="H29"/>
    </sheetView>
  </sheetViews>
  <sheetFormatPr defaultRowHeight="14.4"/>
  <sheetData>
    <row r="1" spans="1:2">
      <c r="A1" t="s">
        <v>6</v>
      </c>
      <c r="B1">
        <v>120</v>
      </c>
    </row>
    <row r="2" spans="1:2">
      <c r="A2" t="s">
        <v>7</v>
      </c>
      <c r="B2">
        <v>120</v>
      </c>
    </row>
    <row r="3" spans="1:2">
      <c r="A3" t="s">
        <v>10</v>
      </c>
      <c r="B3">
        <v>105</v>
      </c>
    </row>
    <row r="4" spans="1:2">
      <c r="A4" t="s">
        <v>11</v>
      </c>
      <c r="B4">
        <v>105</v>
      </c>
    </row>
    <row r="5" spans="1:2">
      <c r="A5" t="s">
        <v>9</v>
      </c>
      <c r="B5">
        <v>90</v>
      </c>
    </row>
    <row r="6" spans="1:2">
      <c r="A6" t="s">
        <v>12</v>
      </c>
      <c r="B6">
        <v>60</v>
      </c>
    </row>
    <row r="7" spans="1:2">
      <c r="A7" t="s">
        <v>13</v>
      </c>
      <c r="B7">
        <v>60</v>
      </c>
    </row>
    <row r="11" spans="1:2">
      <c r="A11" t="s">
        <v>6</v>
      </c>
      <c r="B11">
        <v>1</v>
      </c>
    </row>
    <row r="12" spans="1:2">
      <c r="A12" t="s">
        <v>7</v>
      </c>
      <c r="B12">
        <v>2</v>
      </c>
    </row>
    <row r="13" spans="1:2">
      <c r="A13" t="s">
        <v>10</v>
      </c>
      <c r="B13">
        <v>3</v>
      </c>
    </row>
    <row r="14" spans="1:2">
      <c r="A14" t="s">
        <v>11</v>
      </c>
      <c r="B14">
        <v>4</v>
      </c>
    </row>
    <row r="15" spans="1:2">
      <c r="A15" t="s">
        <v>9</v>
      </c>
      <c r="B15">
        <v>5</v>
      </c>
    </row>
    <row r="16" spans="1:2">
      <c r="A16" t="s">
        <v>12</v>
      </c>
      <c r="B16">
        <v>6</v>
      </c>
    </row>
    <row r="17" spans="1:14">
      <c r="A17" t="s">
        <v>13</v>
      </c>
      <c r="B17">
        <v>7</v>
      </c>
    </row>
    <row r="19" spans="1:14">
      <c r="A19" t="s">
        <v>18</v>
      </c>
      <c r="B19" t="s">
        <v>37</v>
      </c>
    </row>
    <row r="20" spans="1:14">
      <c r="A20" t="s">
        <v>17</v>
      </c>
      <c r="B20" t="s">
        <v>38</v>
      </c>
    </row>
    <row r="21" spans="1:14">
      <c r="A21" t="s">
        <v>16</v>
      </c>
      <c r="B21" t="s">
        <v>39</v>
      </c>
    </row>
    <row r="22" spans="1:14">
      <c r="A22" t="s">
        <v>15</v>
      </c>
      <c r="B22" t="s">
        <v>40</v>
      </c>
    </row>
    <row r="23" spans="1:14">
      <c r="A23" t="s">
        <v>6</v>
      </c>
      <c r="B23" t="s">
        <v>41</v>
      </c>
    </row>
    <row r="24" spans="1:14">
      <c r="A24" t="s">
        <v>7</v>
      </c>
      <c r="B24" t="s">
        <v>42</v>
      </c>
    </row>
    <row r="25" spans="1:14">
      <c r="A25" t="s">
        <v>8</v>
      </c>
      <c r="B25" t="s">
        <v>43</v>
      </c>
      <c r="H25">
        <v>1</v>
      </c>
      <c r="I25">
        <v>2</v>
      </c>
      <c r="J25">
        <v>3</v>
      </c>
      <c r="K25">
        <v>4</v>
      </c>
      <c r="L25">
        <v>5</v>
      </c>
      <c r="M25">
        <v>6</v>
      </c>
    </row>
    <row r="26" spans="1:14">
      <c r="A26" t="s">
        <v>14</v>
      </c>
      <c r="B26" t="s">
        <v>44</v>
      </c>
      <c r="H26" s="10">
        <v>120</v>
      </c>
      <c r="I26" s="10">
        <v>120</v>
      </c>
      <c r="J26" s="10">
        <v>105</v>
      </c>
      <c r="K26" s="10">
        <v>105</v>
      </c>
      <c r="L26" s="10">
        <v>90</v>
      </c>
      <c r="M26" s="10">
        <v>60</v>
      </c>
      <c r="N26" s="10"/>
    </row>
    <row r="27" spans="1:14">
      <c r="H27" s="10" t="s">
        <v>6</v>
      </c>
      <c r="I27" s="10" t="s">
        <v>7</v>
      </c>
      <c r="J27" s="10" t="s">
        <v>10</v>
      </c>
      <c r="K27" s="10" t="s">
        <v>11</v>
      </c>
      <c r="L27" s="10" t="s">
        <v>9</v>
      </c>
      <c r="M27" s="10" t="s">
        <v>12</v>
      </c>
      <c r="N27" s="10"/>
    </row>
    <row r="28" spans="1:14">
      <c r="A28" t="s">
        <v>18</v>
      </c>
      <c r="B28">
        <v>6</v>
      </c>
      <c r="C28" t="s">
        <v>45</v>
      </c>
      <c r="F28">
        <v>8</v>
      </c>
      <c r="G28" s="10" t="s">
        <v>18</v>
      </c>
      <c r="H28" t="s">
        <v>131</v>
      </c>
      <c r="I28" t="s">
        <v>129</v>
      </c>
      <c r="M28">
        <v>6</v>
      </c>
    </row>
    <row r="29" spans="1:14">
      <c r="A29" t="s">
        <v>17</v>
      </c>
      <c r="B29">
        <v>6</v>
      </c>
      <c r="C29" t="s">
        <v>45</v>
      </c>
      <c r="F29">
        <v>7</v>
      </c>
      <c r="G29" s="10" t="s">
        <v>17</v>
      </c>
      <c r="I29" s="10" t="s">
        <v>45</v>
      </c>
      <c r="M29">
        <v>6</v>
      </c>
    </row>
    <row r="30" spans="1:14">
      <c r="A30" t="s">
        <v>16</v>
      </c>
      <c r="B30">
        <v>3</v>
      </c>
      <c r="C30" t="s">
        <v>50</v>
      </c>
      <c r="F30">
        <v>6</v>
      </c>
      <c r="G30" s="10" t="s">
        <v>16</v>
      </c>
      <c r="M30">
        <v>6</v>
      </c>
    </row>
    <row r="31" spans="1:14">
      <c r="A31" t="s">
        <v>15</v>
      </c>
      <c r="B31">
        <v>4</v>
      </c>
      <c r="C31">
        <v>5</v>
      </c>
      <c r="F31">
        <v>5</v>
      </c>
      <c r="G31" s="10" t="s">
        <v>15</v>
      </c>
      <c r="M31">
        <v>6</v>
      </c>
    </row>
    <row r="32" spans="1:14">
      <c r="A32" t="s">
        <v>6</v>
      </c>
      <c r="B32">
        <v>1</v>
      </c>
      <c r="C32" t="s">
        <v>128</v>
      </c>
      <c r="F32">
        <v>4</v>
      </c>
      <c r="G32" s="10" t="s">
        <v>6</v>
      </c>
      <c r="H32" t="s">
        <v>130</v>
      </c>
      <c r="I32" t="s">
        <v>130</v>
      </c>
      <c r="M32">
        <v>6</v>
      </c>
    </row>
    <row r="33" spans="1:13">
      <c r="A33" t="s">
        <v>7</v>
      </c>
      <c r="B33">
        <v>2</v>
      </c>
      <c r="C33" t="s">
        <v>49</v>
      </c>
      <c r="F33">
        <v>3</v>
      </c>
      <c r="G33" s="10" t="s">
        <v>7</v>
      </c>
      <c r="M33">
        <v>6</v>
      </c>
    </row>
    <row r="34" spans="1:13">
      <c r="A34" t="s">
        <v>8</v>
      </c>
      <c r="B34">
        <v>4</v>
      </c>
      <c r="C34" t="s">
        <v>46</v>
      </c>
      <c r="F34">
        <v>2</v>
      </c>
      <c r="G34" s="10" t="s">
        <v>8</v>
      </c>
      <c r="K34">
        <v>4</v>
      </c>
      <c r="M34">
        <v>6</v>
      </c>
    </row>
    <row r="35" spans="1:13">
      <c r="A35" t="s">
        <v>14</v>
      </c>
      <c r="B35">
        <v>5</v>
      </c>
      <c r="C35" t="s">
        <v>51</v>
      </c>
      <c r="F35">
        <v>1</v>
      </c>
      <c r="G35" s="10" t="s">
        <v>14</v>
      </c>
      <c r="M35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45</vt:i4>
      </vt:variant>
    </vt:vector>
  </HeadingPairs>
  <TitlesOfParts>
    <vt:vector size="88" baseType="lpstr">
      <vt:lpstr>Schedule</vt:lpstr>
      <vt:lpstr>Dates</vt:lpstr>
      <vt:lpstr>Scratch</vt:lpstr>
      <vt:lpstr>_0081084</vt:lpstr>
      <vt:lpstr>_040424</vt:lpstr>
      <vt:lpstr>_220534</vt:lpstr>
      <vt:lpstr>_220644</vt:lpstr>
      <vt:lpstr>_226330</vt:lpstr>
      <vt:lpstr>_224200</vt:lpstr>
      <vt:lpstr>_224210</vt:lpstr>
      <vt:lpstr>_224440</vt:lpstr>
      <vt:lpstr>_233220</vt:lpstr>
      <vt:lpstr>_235240</vt:lpstr>
      <vt:lpstr>_244200</vt:lpstr>
      <vt:lpstr>_244220</vt:lpstr>
      <vt:lpstr>_244224</vt:lpstr>
      <vt:lpstr>_244240</vt:lpstr>
      <vt:lpstr>_244420</vt:lpstr>
      <vt:lpstr>_244330</vt:lpstr>
      <vt:lpstr>_262220</vt:lpstr>
      <vt:lpstr>_262240</vt:lpstr>
      <vt:lpstr>_332424</vt:lpstr>
      <vt:lpstr>_334220</vt:lpstr>
      <vt:lpstr>_334240</vt:lpstr>
      <vt:lpstr>_334420</vt:lpstr>
      <vt:lpstr>_352220</vt:lpstr>
      <vt:lpstr>_422440</vt:lpstr>
      <vt:lpstr>_424220</vt:lpstr>
      <vt:lpstr>_424240</vt:lpstr>
      <vt:lpstr>_424420</vt:lpstr>
      <vt:lpstr>_433240</vt:lpstr>
      <vt:lpstr>_433220</vt:lpstr>
      <vt:lpstr>_442220</vt:lpstr>
      <vt:lpstr>_442240</vt:lpstr>
      <vt:lpstr>_442330</vt:lpstr>
      <vt:lpstr>_442420</vt:lpstr>
      <vt:lpstr>_440440</vt:lpstr>
      <vt:lpstr>_460330</vt:lpstr>
      <vt:lpstr>_6881080</vt:lpstr>
      <vt:lpstr>_6881084</vt:lpstr>
      <vt:lpstr>_000874</vt:lpstr>
      <vt:lpstr>_OpeningDay</vt:lpstr>
      <vt:lpstr>Tables</vt:lpstr>
      <vt:lpstr>_000874</vt:lpstr>
      <vt:lpstr>_0081084</vt:lpstr>
      <vt:lpstr>_040424</vt:lpstr>
      <vt:lpstr>_220534</vt:lpstr>
      <vt:lpstr>_220644</vt:lpstr>
      <vt:lpstr>_224200</vt:lpstr>
      <vt:lpstr>_224210</vt:lpstr>
      <vt:lpstr>_224440</vt:lpstr>
      <vt:lpstr>_226330</vt:lpstr>
      <vt:lpstr>_233220</vt:lpstr>
      <vt:lpstr>_235240</vt:lpstr>
      <vt:lpstr>_244200</vt:lpstr>
      <vt:lpstr>_244220</vt:lpstr>
      <vt:lpstr>_244224</vt:lpstr>
      <vt:lpstr>_244240</vt:lpstr>
      <vt:lpstr>_244330</vt:lpstr>
      <vt:lpstr>_244420</vt:lpstr>
      <vt:lpstr>_262220</vt:lpstr>
      <vt:lpstr>_262240</vt:lpstr>
      <vt:lpstr>_332424</vt:lpstr>
      <vt:lpstr>_334220</vt:lpstr>
      <vt:lpstr>_334240</vt:lpstr>
      <vt:lpstr>_334420</vt:lpstr>
      <vt:lpstr>_352220</vt:lpstr>
      <vt:lpstr>_422440</vt:lpstr>
      <vt:lpstr>_424220</vt:lpstr>
      <vt:lpstr>_424240</vt:lpstr>
      <vt:lpstr>_424420</vt:lpstr>
      <vt:lpstr>_433220</vt:lpstr>
      <vt:lpstr>_433240</vt:lpstr>
      <vt:lpstr>_440440</vt:lpstr>
      <vt:lpstr>_442220</vt:lpstr>
      <vt:lpstr>_442240</vt:lpstr>
      <vt:lpstr>_442330</vt:lpstr>
      <vt:lpstr>_442420</vt:lpstr>
      <vt:lpstr>_460330</vt:lpstr>
      <vt:lpstr>_6881080</vt:lpstr>
      <vt:lpstr>_6881084</vt:lpstr>
      <vt:lpstr>_OpeningDay</vt:lpstr>
      <vt:lpstr>field_id</vt:lpstr>
      <vt:lpstr>GameDays</vt:lpstr>
      <vt:lpstr>GameDuration</vt:lpstr>
      <vt:lpstr>generatedSchedule</vt:lpstr>
      <vt:lpstr>league_id</vt:lpstr>
      <vt:lpstr>slot_compat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2020-02-21T01:23:33Z</dcterms:modified>
</cp:coreProperties>
</file>