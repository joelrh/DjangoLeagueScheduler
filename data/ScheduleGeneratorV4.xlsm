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"/>
    </mc:Choice>
  </mc:AlternateContent>
  <xr:revisionPtr revIDLastSave="0" documentId="13_ncr:1_{CFEB4CE8-6935-4997-8F44-70FFBEEB77A3}" xr6:coauthVersionLast="45" xr6:coauthVersionMax="45" xr10:uidLastSave="{00000000-0000-0000-0000-000000000000}"/>
  <bookViews>
    <workbookView xWindow="28680" yWindow="30" windowWidth="29040" windowHeight="17640" xr2:uid="{5CDA8E01-4421-4719-9944-95A6066B1E62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Schedule!$A$1:$K$40</definedName>
    <definedName name="field_id">Tables!$A$19:$B$26</definedName>
    <definedName name="FridayNights">'Friday Nights'!$A$2:$J$17</definedName>
    <definedName name="GameDays">Dates!$A$2:$B$46</definedName>
    <definedName name="GameDuration">Tables!$A$1:$B$7</definedName>
    <definedName name="generatedSchedule">Schedule!$A:$F</definedName>
    <definedName name="league_id">Tables!$A$11:$B$17</definedName>
    <definedName name="Sat">Sat!$A$2:$J$52</definedName>
    <definedName name="SatNoCL">'Sat No CL'!$A$2:$J$51</definedName>
    <definedName name="SatNoCLorITB">'Sat No CL or ITB'!$A$2:$J$49</definedName>
    <definedName name="SatNoITB">'Sat No ITB'!$A$2:$J$50</definedName>
    <definedName name="slot_compat">Tables!$A$28:$C$35</definedName>
    <definedName name="Weeknights">Weeknights!$A$2:$J$7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01" i="7" l="1"/>
  <c r="C701" i="7"/>
  <c r="B701" i="7"/>
  <c r="G700" i="7"/>
  <c r="C700" i="7"/>
  <c r="B700" i="7"/>
  <c r="G699" i="7"/>
  <c r="C699" i="7"/>
  <c r="B699" i="7"/>
  <c r="G698" i="7"/>
  <c r="C698" i="7"/>
  <c r="B698" i="7"/>
  <c r="G697" i="7"/>
  <c r="C697" i="7"/>
  <c r="B697" i="7"/>
  <c r="G696" i="7"/>
  <c r="F696" i="7"/>
  <c r="F697" i="7" s="1"/>
  <c r="C696" i="7"/>
  <c r="B696" i="7"/>
  <c r="G695" i="7"/>
  <c r="C695" i="7"/>
  <c r="B695" i="7"/>
  <c r="G694" i="7"/>
  <c r="C694" i="7"/>
  <c r="B694" i="7"/>
  <c r="G693" i="7"/>
  <c r="C693" i="7"/>
  <c r="B693" i="7"/>
  <c r="G692" i="7"/>
  <c r="C692" i="7"/>
  <c r="B692" i="7"/>
  <c r="G691" i="7"/>
  <c r="C691" i="7"/>
  <c r="B691" i="7"/>
  <c r="G690" i="7"/>
  <c r="F690" i="7"/>
  <c r="J690" i="7" s="1"/>
  <c r="C690" i="7"/>
  <c r="B690" i="7"/>
  <c r="G689" i="7"/>
  <c r="B689" i="7"/>
  <c r="G688" i="7"/>
  <c r="C688" i="7"/>
  <c r="B688" i="7"/>
  <c r="G687" i="7"/>
  <c r="C687" i="7"/>
  <c r="B687" i="7"/>
  <c r="G686" i="7"/>
  <c r="C686" i="7"/>
  <c r="B686" i="7"/>
  <c r="G685" i="7"/>
  <c r="C685" i="7"/>
  <c r="B685" i="7"/>
  <c r="G684" i="7"/>
  <c r="F684" i="7"/>
  <c r="J684" i="7" s="1"/>
  <c r="C684" i="7"/>
  <c r="B684" i="7"/>
  <c r="G683" i="7"/>
  <c r="C683" i="7"/>
  <c r="B683" i="7"/>
  <c r="G682" i="7"/>
  <c r="D682" i="7"/>
  <c r="C682" i="7"/>
  <c r="B682" i="7"/>
  <c r="G681" i="7"/>
  <c r="D681" i="7"/>
  <c r="C681" i="7"/>
  <c r="B681" i="7"/>
  <c r="G680" i="7"/>
  <c r="D680" i="7"/>
  <c r="C680" i="7"/>
  <c r="B680" i="7"/>
  <c r="G679" i="7"/>
  <c r="D679" i="7"/>
  <c r="C679" i="7"/>
  <c r="B679" i="7"/>
  <c r="G678" i="7"/>
  <c r="C678" i="7"/>
  <c r="B678" i="7"/>
  <c r="J677" i="7"/>
  <c r="G677" i="7"/>
  <c r="F677" i="7"/>
  <c r="C677" i="7"/>
  <c r="B677" i="7"/>
  <c r="G676" i="7"/>
  <c r="C676" i="7"/>
  <c r="B676" i="7"/>
  <c r="G675" i="7"/>
  <c r="C675" i="7"/>
  <c r="B675" i="7"/>
  <c r="G674" i="7"/>
  <c r="C674" i="7"/>
  <c r="B674" i="7"/>
  <c r="G673" i="7"/>
  <c r="C673" i="7"/>
  <c r="B673" i="7"/>
  <c r="G672" i="7"/>
  <c r="C672" i="7"/>
  <c r="B672" i="7"/>
  <c r="G671" i="7"/>
  <c r="F671" i="7"/>
  <c r="F672" i="7" s="1"/>
  <c r="C671" i="7"/>
  <c r="B671" i="7"/>
  <c r="G670" i="7"/>
  <c r="F670" i="7"/>
  <c r="J670" i="7" s="1"/>
  <c r="B670" i="7"/>
  <c r="G669" i="7"/>
  <c r="C669" i="7"/>
  <c r="B669" i="7"/>
  <c r="G668" i="7"/>
  <c r="D668" i="7"/>
  <c r="C668" i="7"/>
  <c r="B668" i="7"/>
  <c r="G667" i="7"/>
  <c r="D667" i="7"/>
  <c r="C667" i="7"/>
  <c r="B667" i="7"/>
  <c r="G666" i="7"/>
  <c r="D666" i="7"/>
  <c r="C666" i="7"/>
  <c r="B666" i="7"/>
  <c r="G665" i="7"/>
  <c r="D665" i="7"/>
  <c r="C665" i="7"/>
  <c r="B665" i="7"/>
  <c r="G664" i="7"/>
  <c r="D664" i="7"/>
  <c r="C664" i="7"/>
  <c r="B664" i="7"/>
  <c r="G663" i="7"/>
  <c r="F663" i="7"/>
  <c r="F664" i="7" s="1"/>
  <c r="C663" i="7"/>
  <c r="B663" i="7"/>
  <c r="G662" i="7"/>
  <c r="D662" i="7"/>
  <c r="C662" i="7"/>
  <c r="B662" i="7"/>
  <c r="G661" i="7"/>
  <c r="D661" i="7"/>
  <c r="C661" i="7"/>
  <c r="B661" i="7"/>
  <c r="G660" i="7"/>
  <c r="D660" i="7"/>
  <c r="C660" i="7"/>
  <c r="B660" i="7"/>
  <c r="G659" i="7"/>
  <c r="D659" i="7"/>
  <c r="C659" i="7"/>
  <c r="B659" i="7"/>
  <c r="G658" i="7"/>
  <c r="D658" i="7"/>
  <c r="C658" i="7"/>
  <c r="B658" i="7"/>
  <c r="G657" i="7"/>
  <c r="F657" i="7"/>
  <c r="F658" i="7" s="1"/>
  <c r="D657" i="7"/>
  <c r="C657" i="7"/>
  <c r="B657" i="7"/>
  <c r="G656" i="7"/>
  <c r="D656" i="7"/>
  <c r="C656" i="7"/>
  <c r="B656" i="7"/>
  <c r="G655" i="7"/>
  <c r="D655" i="7"/>
  <c r="C655" i="7"/>
  <c r="B655" i="7"/>
  <c r="G654" i="7"/>
  <c r="D654" i="7"/>
  <c r="C654" i="7"/>
  <c r="B654" i="7"/>
  <c r="G653" i="7"/>
  <c r="D653" i="7"/>
  <c r="C653" i="7"/>
  <c r="B653" i="7"/>
  <c r="G652" i="7"/>
  <c r="F652" i="7"/>
  <c r="F653" i="7" s="1"/>
  <c r="D652" i="7"/>
  <c r="C652" i="7"/>
  <c r="B652" i="7"/>
  <c r="J651" i="7"/>
  <c r="G651" i="7"/>
  <c r="D651" i="7"/>
  <c r="C651" i="7"/>
  <c r="B651" i="7"/>
  <c r="A651" i="7"/>
  <c r="A652" i="7" s="1"/>
  <c r="A653" i="7" s="1"/>
  <c r="G650" i="7"/>
  <c r="C650" i="7"/>
  <c r="B650" i="7"/>
  <c r="G649" i="7"/>
  <c r="C649" i="7"/>
  <c r="B649" i="7"/>
  <c r="G648" i="7"/>
  <c r="C648" i="7"/>
  <c r="B648" i="7"/>
  <c r="G647" i="7"/>
  <c r="C647" i="7"/>
  <c r="B647" i="7"/>
  <c r="G646" i="7"/>
  <c r="C646" i="7"/>
  <c r="B646" i="7"/>
  <c r="J645" i="7"/>
  <c r="G645" i="7"/>
  <c r="F645" i="7"/>
  <c r="F646" i="7" s="1"/>
  <c r="C645" i="7"/>
  <c r="B645" i="7"/>
  <c r="G644" i="7"/>
  <c r="C644" i="7"/>
  <c r="B644" i="7"/>
  <c r="G643" i="7"/>
  <c r="C643" i="7"/>
  <c r="B643" i="7"/>
  <c r="G642" i="7"/>
  <c r="C642" i="7"/>
  <c r="B642" i="7"/>
  <c r="G641" i="7"/>
  <c r="C641" i="7"/>
  <c r="B641" i="7"/>
  <c r="G640" i="7"/>
  <c r="C640" i="7"/>
  <c r="B640" i="7"/>
  <c r="G639" i="7"/>
  <c r="F639" i="7"/>
  <c r="F640" i="7" s="1"/>
  <c r="F641" i="7" s="1"/>
  <c r="C639" i="7"/>
  <c r="B639" i="7"/>
  <c r="G638" i="7"/>
  <c r="B638" i="7"/>
  <c r="G637" i="7"/>
  <c r="C637" i="7"/>
  <c r="B637" i="7"/>
  <c r="G636" i="7"/>
  <c r="C636" i="7"/>
  <c r="B636" i="7"/>
  <c r="G635" i="7"/>
  <c r="C635" i="7"/>
  <c r="B635" i="7"/>
  <c r="G634" i="7"/>
  <c r="C634" i="7"/>
  <c r="B634" i="7"/>
  <c r="G633" i="7"/>
  <c r="F633" i="7"/>
  <c r="F634" i="7" s="1"/>
  <c r="C633" i="7"/>
  <c r="B633" i="7"/>
  <c r="G632" i="7"/>
  <c r="C632" i="7"/>
  <c r="B632" i="7"/>
  <c r="G631" i="7"/>
  <c r="D631" i="7"/>
  <c r="C631" i="7"/>
  <c r="B631" i="7"/>
  <c r="G630" i="7"/>
  <c r="D630" i="7"/>
  <c r="C630" i="7"/>
  <c r="B630" i="7"/>
  <c r="G629" i="7"/>
  <c r="D629" i="7"/>
  <c r="C629" i="7"/>
  <c r="B629" i="7"/>
  <c r="G628" i="7"/>
  <c r="D628" i="7"/>
  <c r="C628" i="7"/>
  <c r="B628" i="7"/>
  <c r="G627" i="7"/>
  <c r="F627" i="7"/>
  <c r="F628" i="7" s="1"/>
  <c r="C627" i="7"/>
  <c r="B627" i="7"/>
  <c r="G626" i="7"/>
  <c r="F626" i="7"/>
  <c r="J626" i="7" s="1"/>
  <c r="C626" i="7"/>
  <c r="B626" i="7"/>
  <c r="G625" i="7"/>
  <c r="C625" i="7"/>
  <c r="B625" i="7"/>
  <c r="G624" i="7"/>
  <c r="C624" i="7"/>
  <c r="B624" i="7"/>
  <c r="G623" i="7"/>
  <c r="C623" i="7"/>
  <c r="B623" i="7"/>
  <c r="G622" i="7"/>
  <c r="C622" i="7"/>
  <c r="B622" i="7"/>
  <c r="G621" i="7"/>
  <c r="C621" i="7"/>
  <c r="B621" i="7"/>
  <c r="G620" i="7"/>
  <c r="C620" i="7"/>
  <c r="B620" i="7"/>
  <c r="G619" i="7"/>
  <c r="F619" i="7"/>
  <c r="F620" i="7" s="1"/>
  <c r="B619" i="7"/>
  <c r="G618" i="7"/>
  <c r="C618" i="7"/>
  <c r="B618" i="7"/>
  <c r="G617" i="7"/>
  <c r="D617" i="7"/>
  <c r="C617" i="7"/>
  <c r="B617" i="7"/>
  <c r="G616" i="7"/>
  <c r="D616" i="7"/>
  <c r="C616" i="7"/>
  <c r="B616" i="7"/>
  <c r="G615" i="7"/>
  <c r="D615" i="7"/>
  <c r="C615" i="7"/>
  <c r="B615" i="7"/>
  <c r="G614" i="7"/>
  <c r="D614" i="7"/>
  <c r="C614" i="7"/>
  <c r="B614" i="7"/>
  <c r="G613" i="7"/>
  <c r="F613" i="7"/>
  <c r="J613" i="7" s="1"/>
  <c r="D613" i="7"/>
  <c r="C613" i="7"/>
  <c r="B613" i="7"/>
  <c r="G612" i="7"/>
  <c r="F612" i="7"/>
  <c r="J612" i="7" s="1"/>
  <c r="C612" i="7"/>
  <c r="B612" i="7"/>
  <c r="G611" i="7"/>
  <c r="D611" i="7"/>
  <c r="C611" i="7"/>
  <c r="B611" i="7"/>
  <c r="G610" i="7"/>
  <c r="D610" i="7"/>
  <c r="C610" i="7"/>
  <c r="B610" i="7"/>
  <c r="G609" i="7"/>
  <c r="D609" i="7"/>
  <c r="C609" i="7"/>
  <c r="B609" i="7"/>
  <c r="G608" i="7"/>
  <c r="D608" i="7"/>
  <c r="C608" i="7"/>
  <c r="B608" i="7"/>
  <c r="G607" i="7"/>
  <c r="D607" i="7"/>
  <c r="C607" i="7"/>
  <c r="B607" i="7"/>
  <c r="G606" i="7"/>
  <c r="F606" i="7"/>
  <c r="J606" i="7" s="1"/>
  <c r="D606" i="7"/>
  <c r="C606" i="7"/>
  <c r="B606" i="7"/>
  <c r="G605" i="7"/>
  <c r="D605" i="7"/>
  <c r="C605" i="7"/>
  <c r="B605" i="7"/>
  <c r="G604" i="7"/>
  <c r="D604" i="7"/>
  <c r="C604" i="7"/>
  <c r="B604" i="7"/>
  <c r="G603" i="7"/>
  <c r="D603" i="7"/>
  <c r="C603" i="7"/>
  <c r="B603" i="7"/>
  <c r="G602" i="7"/>
  <c r="D602" i="7"/>
  <c r="C602" i="7"/>
  <c r="B602" i="7"/>
  <c r="G601" i="7"/>
  <c r="D601" i="7"/>
  <c r="C601" i="7"/>
  <c r="B601" i="7"/>
  <c r="J600" i="7"/>
  <c r="G600" i="7"/>
  <c r="F601" i="7" s="1"/>
  <c r="D600" i="7"/>
  <c r="C600" i="7"/>
  <c r="B600" i="7"/>
  <c r="A600" i="7"/>
  <c r="A601" i="7" s="1"/>
  <c r="A602" i="7" s="1"/>
  <c r="G599" i="7"/>
  <c r="C599" i="7"/>
  <c r="B599" i="7"/>
  <c r="G598" i="7"/>
  <c r="F598" i="7"/>
  <c r="F599" i="7" s="1"/>
  <c r="J599" i="7" s="1"/>
  <c r="C598" i="7"/>
  <c r="B598" i="7"/>
  <c r="G597" i="7"/>
  <c r="C597" i="7"/>
  <c r="B597" i="7"/>
  <c r="G596" i="7"/>
  <c r="F596" i="7"/>
  <c r="J596" i="7" s="1"/>
  <c r="C596" i="7"/>
  <c r="B596" i="7"/>
  <c r="G595" i="7"/>
  <c r="C595" i="7"/>
  <c r="B595" i="7"/>
  <c r="G594" i="7"/>
  <c r="F594" i="7"/>
  <c r="F595" i="7" s="1"/>
  <c r="J595" i="7" s="1"/>
  <c r="C594" i="7"/>
  <c r="B594" i="7"/>
  <c r="G593" i="7"/>
  <c r="D593" i="7"/>
  <c r="C593" i="7"/>
  <c r="B593" i="7"/>
  <c r="G592" i="7"/>
  <c r="F592" i="7"/>
  <c r="F593" i="7" s="1"/>
  <c r="J593" i="7" s="1"/>
  <c r="C592" i="7"/>
  <c r="B592" i="7"/>
  <c r="G591" i="7"/>
  <c r="C591" i="7"/>
  <c r="B591" i="7"/>
  <c r="G590" i="7"/>
  <c r="F590" i="7"/>
  <c r="F591" i="7" s="1"/>
  <c r="J591" i="7" s="1"/>
  <c r="C590" i="7"/>
  <c r="B590" i="7"/>
  <c r="G589" i="7"/>
  <c r="C589" i="7"/>
  <c r="B589" i="7"/>
  <c r="G588" i="7"/>
  <c r="F588" i="7"/>
  <c r="J588" i="7" s="1"/>
  <c r="C588" i="7"/>
  <c r="B588" i="7"/>
  <c r="G587" i="7"/>
  <c r="D587" i="7"/>
  <c r="C587" i="7"/>
  <c r="B587" i="7"/>
  <c r="G586" i="7"/>
  <c r="F586" i="7"/>
  <c r="J586" i="7" s="1"/>
  <c r="D586" i="7"/>
  <c r="C586" i="7"/>
  <c r="B586" i="7"/>
  <c r="G585" i="7"/>
  <c r="F585" i="7"/>
  <c r="J585" i="7" s="1"/>
  <c r="D585" i="7"/>
  <c r="C585" i="7"/>
  <c r="B585" i="7"/>
  <c r="J584" i="7"/>
  <c r="G584" i="7"/>
  <c r="D584" i="7"/>
  <c r="C584" i="7"/>
  <c r="B584" i="7"/>
  <c r="A584" i="7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G583" i="7"/>
  <c r="F583" i="7"/>
  <c r="J583" i="7" s="1"/>
  <c r="C583" i="7"/>
  <c r="B583" i="7"/>
  <c r="G582" i="7"/>
  <c r="F582" i="7"/>
  <c r="J582" i="7" s="1"/>
  <c r="C582" i="7"/>
  <c r="B582" i="7"/>
  <c r="J581" i="7"/>
  <c r="G581" i="7"/>
  <c r="F581" i="7"/>
  <c r="C581" i="7"/>
  <c r="B581" i="7"/>
  <c r="G580" i="7"/>
  <c r="F580" i="7"/>
  <c r="J580" i="7" s="1"/>
  <c r="C580" i="7"/>
  <c r="B580" i="7"/>
  <c r="G579" i="7"/>
  <c r="F579" i="7"/>
  <c r="J579" i="7" s="1"/>
  <c r="D579" i="7"/>
  <c r="C579" i="7"/>
  <c r="B579" i="7"/>
  <c r="A579" i="7"/>
  <c r="A580" i="7" s="1"/>
  <c r="A581" i="7" s="1"/>
  <c r="A582" i="7" s="1"/>
  <c r="A583" i="7" s="1"/>
  <c r="J578" i="7"/>
  <c r="G578" i="7"/>
  <c r="D578" i="7"/>
  <c r="C578" i="7"/>
  <c r="B578" i="7"/>
  <c r="A578" i="7"/>
  <c r="G577" i="7"/>
  <c r="F577" i="7"/>
  <c r="J577" i="7" s="1"/>
  <c r="C577" i="7"/>
  <c r="B577" i="7"/>
  <c r="G576" i="7"/>
  <c r="F576" i="7"/>
  <c r="J576" i="7" s="1"/>
  <c r="C576" i="7"/>
  <c r="B576" i="7"/>
  <c r="G575" i="7"/>
  <c r="F575" i="7"/>
  <c r="J575" i="7" s="1"/>
  <c r="C575" i="7"/>
  <c r="B575" i="7"/>
  <c r="G574" i="7"/>
  <c r="F574" i="7"/>
  <c r="J574" i="7" s="1"/>
  <c r="C574" i="7"/>
  <c r="B574" i="7"/>
  <c r="G573" i="7"/>
  <c r="F573" i="7"/>
  <c r="J573" i="7" s="1"/>
  <c r="D573" i="7"/>
  <c r="C573" i="7"/>
  <c r="B573" i="7"/>
  <c r="A573" i="7"/>
  <c r="A574" i="7" s="1"/>
  <c r="A575" i="7" s="1"/>
  <c r="A576" i="7" s="1"/>
  <c r="A577" i="7" s="1"/>
  <c r="J572" i="7"/>
  <c r="G572" i="7"/>
  <c r="D572" i="7"/>
  <c r="C572" i="7"/>
  <c r="B572" i="7"/>
  <c r="A572" i="7"/>
  <c r="G571" i="7"/>
  <c r="F571" i="7"/>
  <c r="J571" i="7" s="1"/>
  <c r="C571" i="7"/>
  <c r="B571" i="7"/>
  <c r="G570" i="7"/>
  <c r="F570" i="7"/>
  <c r="J570" i="7" s="1"/>
  <c r="C570" i="7"/>
  <c r="B570" i="7"/>
  <c r="J569" i="7"/>
  <c r="G569" i="7"/>
  <c r="F569" i="7"/>
  <c r="C569" i="7"/>
  <c r="B569" i="7"/>
  <c r="G568" i="7"/>
  <c r="F568" i="7"/>
  <c r="J568" i="7" s="1"/>
  <c r="C568" i="7"/>
  <c r="B568" i="7"/>
  <c r="G567" i="7"/>
  <c r="F567" i="7"/>
  <c r="J567" i="7" s="1"/>
  <c r="D567" i="7"/>
  <c r="C567" i="7"/>
  <c r="B567" i="7"/>
  <c r="J566" i="7"/>
  <c r="G566" i="7"/>
  <c r="D566" i="7"/>
  <c r="C566" i="7"/>
  <c r="B566" i="7"/>
  <c r="A566" i="7"/>
  <c r="A567" i="7" s="1"/>
  <c r="A568" i="7" s="1"/>
  <c r="A569" i="7" s="1"/>
  <c r="A570" i="7" s="1"/>
  <c r="A571" i="7" s="1"/>
  <c r="G565" i="7"/>
  <c r="F565" i="7"/>
  <c r="J565" i="7" s="1"/>
  <c r="C565" i="7"/>
  <c r="B565" i="7"/>
  <c r="G564" i="7"/>
  <c r="F564" i="7"/>
  <c r="J564" i="7" s="1"/>
  <c r="C564" i="7"/>
  <c r="B564" i="7"/>
  <c r="G563" i="7"/>
  <c r="F563" i="7"/>
  <c r="J563" i="7" s="1"/>
  <c r="C563" i="7"/>
  <c r="B563" i="7"/>
  <c r="G562" i="7"/>
  <c r="F562" i="7"/>
  <c r="J562" i="7" s="1"/>
  <c r="C562" i="7"/>
  <c r="B562" i="7"/>
  <c r="G561" i="7"/>
  <c r="F561" i="7"/>
  <c r="J561" i="7" s="1"/>
  <c r="D561" i="7"/>
  <c r="C561" i="7"/>
  <c r="B561" i="7"/>
  <c r="J560" i="7"/>
  <c r="G560" i="7"/>
  <c r="D560" i="7"/>
  <c r="C560" i="7"/>
  <c r="B560" i="7"/>
  <c r="A560" i="7"/>
  <c r="A561" i="7" s="1"/>
  <c r="A562" i="7" s="1"/>
  <c r="A563" i="7" s="1"/>
  <c r="A564" i="7" s="1"/>
  <c r="A565" i="7" s="1"/>
  <c r="G559" i="7"/>
  <c r="C559" i="7"/>
  <c r="B559" i="7"/>
  <c r="G558" i="7"/>
  <c r="C558" i="7"/>
  <c r="B558" i="7"/>
  <c r="G557" i="7"/>
  <c r="C557" i="7"/>
  <c r="B557" i="7"/>
  <c r="G556" i="7"/>
  <c r="C556" i="7"/>
  <c r="B556" i="7"/>
  <c r="G555" i="7"/>
  <c r="C555" i="7"/>
  <c r="B555" i="7"/>
  <c r="J554" i="7"/>
  <c r="G554" i="7"/>
  <c r="F554" i="7"/>
  <c r="F555" i="7" s="1"/>
  <c r="C554" i="7"/>
  <c r="B554" i="7"/>
  <c r="G553" i="7"/>
  <c r="C553" i="7"/>
  <c r="B553" i="7"/>
  <c r="G552" i="7"/>
  <c r="C552" i="7"/>
  <c r="B552" i="7"/>
  <c r="G551" i="7"/>
  <c r="C551" i="7"/>
  <c r="B551" i="7"/>
  <c r="G550" i="7"/>
  <c r="C550" i="7"/>
  <c r="B550" i="7"/>
  <c r="G549" i="7"/>
  <c r="C549" i="7"/>
  <c r="B549" i="7"/>
  <c r="G548" i="7"/>
  <c r="F548" i="7"/>
  <c r="J548" i="7" s="1"/>
  <c r="C548" i="7"/>
  <c r="B548" i="7"/>
  <c r="G547" i="7"/>
  <c r="B547" i="7"/>
  <c r="G546" i="7"/>
  <c r="C546" i="7"/>
  <c r="B546" i="7"/>
  <c r="G545" i="7"/>
  <c r="C545" i="7"/>
  <c r="B545" i="7"/>
  <c r="G544" i="7"/>
  <c r="C544" i="7"/>
  <c r="B544" i="7"/>
  <c r="G543" i="7"/>
  <c r="C543" i="7"/>
  <c r="B543" i="7"/>
  <c r="J542" i="7"/>
  <c r="G542" i="7"/>
  <c r="F543" i="7" s="1"/>
  <c r="F542" i="7"/>
  <c r="C542" i="7"/>
  <c r="B542" i="7"/>
  <c r="G541" i="7"/>
  <c r="C541" i="7"/>
  <c r="B541" i="7"/>
  <c r="G540" i="7"/>
  <c r="D540" i="7"/>
  <c r="C540" i="7"/>
  <c r="B540" i="7"/>
  <c r="G539" i="7"/>
  <c r="D539" i="7"/>
  <c r="C539" i="7"/>
  <c r="B539" i="7"/>
  <c r="G538" i="7"/>
  <c r="D538" i="7"/>
  <c r="C538" i="7"/>
  <c r="B538" i="7"/>
  <c r="G537" i="7"/>
  <c r="D537" i="7"/>
  <c r="C537" i="7"/>
  <c r="B537" i="7"/>
  <c r="G536" i="7"/>
  <c r="C536" i="7"/>
  <c r="B536" i="7"/>
  <c r="G535" i="7"/>
  <c r="F535" i="7"/>
  <c r="J535" i="7" s="1"/>
  <c r="C535" i="7"/>
  <c r="B535" i="7"/>
  <c r="G534" i="7"/>
  <c r="C534" i="7"/>
  <c r="B534" i="7"/>
  <c r="G533" i="7"/>
  <c r="C533" i="7"/>
  <c r="B533" i="7"/>
  <c r="G532" i="7"/>
  <c r="C532" i="7"/>
  <c r="B532" i="7"/>
  <c r="G531" i="7"/>
  <c r="C531" i="7"/>
  <c r="B531" i="7"/>
  <c r="G530" i="7"/>
  <c r="C530" i="7"/>
  <c r="B530" i="7"/>
  <c r="G529" i="7"/>
  <c r="C529" i="7"/>
  <c r="B529" i="7"/>
  <c r="J528" i="7"/>
  <c r="G528" i="7"/>
  <c r="F528" i="7"/>
  <c r="B528" i="7"/>
  <c r="G527" i="7"/>
  <c r="C527" i="7"/>
  <c r="B527" i="7"/>
  <c r="G526" i="7"/>
  <c r="D526" i="7"/>
  <c r="C526" i="7"/>
  <c r="B526" i="7"/>
  <c r="G525" i="7"/>
  <c r="D525" i="7"/>
  <c r="C525" i="7"/>
  <c r="B525" i="7"/>
  <c r="G524" i="7"/>
  <c r="D524" i="7"/>
  <c r="C524" i="7"/>
  <c r="B524" i="7"/>
  <c r="G523" i="7"/>
  <c r="D523" i="7"/>
  <c r="C523" i="7"/>
  <c r="B523" i="7"/>
  <c r="G522" i="7"/>
  <c r="F522" i="7"/>
  <c r="J522" i="7" s="1"/>
  <c r="D522" i="7"/>
  <c r="C522" i="7"/>
  <c r="B522" i="7"/>
  <c r="G521" i="7"/>
  <c r="F521" i="7"/>
  <c r="J521" i="7" s="1"/>
  <c r="C521" i="7"/>
  <c r="B521" i="7"/>
  <c r="G520" i="7"/>
  <c r="D520" i="7"/>
  <c r="C520" i="7"/>
  <c r="B520" i="7"/>
  <c r="G519" i="7"/>
  <c r="D519" i="7"/>
  <c r="C519" i="7"/>
  <c r="B519" i="7"/>
  <c r="G518" i="7"/>
  <c r="D518" i="7"/>
  <c r="C518" i="7"/>
  <c r="B518" i="7"/>
  <c r="G517" i="7"/>
  <c r="D517" i="7"/>
  <c r="C517" i="7"/>
  <c r="B517" i="7"/>
  <c r="G516" i="7"/>
  <c r="D516" i="7"/>
  <c r="C516" i="7"/>
  <c r="B516" i="7"/>
  <c r="G515" i="7"/>
  <c r="F515" i="7"/>
  <c r="J515" i="7" s="1"/>
  <c r="D515" i="7"/>
  <c r="C515" i="7"/>
  <c r="B515" i="7"/>
  <c r="G514" i="7"/>
  <c r="D514" i="7"/>
  <c r="C514" i="7"/>
  <c r="B514" i="7"/>
  <c r="G513" i="7"/>
  <c r="D513" i="7"/>
  <c r="C513" i="7"/>
  <c r="B513" i="7"/>
  <c r="G512" i="7"/>
  <c r="D512" i="7"/>
  <c r="C512" i="7"/>
  <c r="B512" i="7"/>
  <c r="G511" i="7"/>
  <c r="D511" i="7"/>
  <c r="C511" i="7"/>
  <c r="B511" i="7"/>
  <c r="A511" i="7"/>
  <c r="A513" i="7" s="1"/>
  <c r="G510" i="7"/>
  <c r="F510" i="7"/>
  <c r="F511" i="7" s="1"/>
  <c r="D510" i="7"/>
  <c r="C510" i="7"/>
  <c r="B510" i="7"/>
  <c r="A510" i="7"/>
  <c r="J509" i="7"/>
  <c r="G509" i="7"/>
  <c r="D509" i="7"/>
  <c r="C509" i="7"/>
  <c r="B509" i="7"/>
  <c r="A509" i="7"/>
  <c r="G508" i="7"/>
  <c r="C508" i="7"/>
  <c r="B508" i="7"/>
  <c r="G507" i="7"/>
  <c r="F507" i="7"/>
  <c r="F508" i="7" s="1"/>
  <c r="J508" i="7" s="1"/>
  <c r="C507" i="7"/>
  <c r="B507" i="7"/>
  <c r="G506" i="7"/>
  <c r="C506" i="7"/>
  <c r="B506" i="7"/>
  <c r="G505" i="7"/>
  <c r="F505" i="7"/>
  <c r="J505" i="7" s="1"/>
  <c r="C505" i="7"/>
  <c r="B505" i="7"/>
  <c r="G504" i="7"/>
  <c r="C504" i="7"/>
  <c r="B504" i="7"/>
  <c r="G503" i="7"/>
  <c r="F503" i="7"/>
  <c r="F504" i="7" s="1"/>
  <c r="J504" i="7" s="1"/>
  <c r="C503" i="7"/>
  <c r="B503" i="7"/>
  <c r="G502" i="7"/>
  <c r="D502" i="7"/>
  <c r="C502" i="7"/>
  <c r="B502" i="7"/>
  <c r="G501" i="7"/>
  <c r="F501" i="7"/>
  <c r="J501" i="7" s="1"/>
  <c r="C501" i="7"/>
  <c r="B501" i="7"/>
  <c r="G500" i="7"/>
  <c r="C500" i="7"/>
  <c r="B500" i="7"/>
  <c r="G499" i="7"/>
  <c r="F499" i="7"/>
  <c r="F500" i="7" s="1"/>
  <c r="J500" i="7" s="1"/>
  <c r="C499" i="7"/>
  <c r="B499" i="7"/>
  <c r="G498" i="7"/>
  <c r="C498" i="7"/>
  <c r="B498" i="7"/>
  <c r="G497" i="7"/>
  <c r="F497" i="7"/>
  <c r="K497" i="7" s="1"/>
  <c r="C497" i="7"/>
  <c r="B497" i="7"/>
  <c r="G496" i="7"/>
  <c r="D496" i="7"/>
  <c r="C496" i="7"/>
  <c r="B496" i="7"/>
  <c r="G495" i="7"/>
  <c r="F495" i="7"/>
  <c r="J495" i="7" s="1"/>
  <c r="D495" i="7"/>
  <c r="C495" i="7"/>
  <c r="B495" i="7"/>
  <c r="G494" i="7"/>
  <c r="D494" i="7"/>
  <c r="C494" i="7"/>
  <c r="B494" i="7"/>
  <c r="J493" i="7"/>
  <c r="G493" i="7"/>
  <c r="F494" i="7" s="1"/>
  <c r="J494" i="7" s="1"/>
  <c r="D493" i="7"/>
  <c r="C493" i="7"/>
  <c r="B493" i="7"/>
  <c r="A493" i="7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G492" i="7"/>
  <c r="F492" i="7"/>
  <c r="J492" i="7" s="1"/>
  <c r="C492" i="7"/>
  <c r="B492" i="7"/>
  <c r="J491" i="7"/>
  <c r="G491" i="7"/>
  <c r="F491" i="7"/>
  <c r="C491" i="7"/>
  <c r="B491" i="7"/>
  <c r="G490" i="7"/>
  <c r="F490" i="7"/>
  <c r="J490" i="7" s="1"/>
  <c r="C490" i="7"/>
  <c r="B490" i="7"/>
  <c r="G489" i="7"/>
  <c r="F489" i="7"/>
  <c r="J489" i="7" s="1"/>
  <c r="C489" i="7"/>
  <c r="B489" i="7"/>
  <c r="G488" i="7"/>
  <c r="F488" i="7"/>
  <c r="J488" i="7" s="1"/>
  <c r="D488" i="7"/>
  <c r="C488" i="7"/>
  <c r="B488" i="7"/>
  <c r="A488" i="7"/>
  <c r="A489" i="7" s="1"/>
  <c r="A490" i="7" s="1"/>
  <c r="A491" i="7" s="1"/>
  <c r="A492" i="7" s="1"/>
  <c r="J487" i="7"/>
  <c r="G487" i="7"/>
  <c r="D487" i="7"/>
  <c r="C487" i="7"/>
  <c r="B487" i="7"/>
  <c r="A487" i="7"/>
  <c r="G486" i="7"/>
  <c r="F486" i="7"/>
  <c r="J486" i="7" s="1"/>
  <c r="C486" i="7"/>
  <c r="B486" i="7"/>
  <c r="G485" i="7"/>
  <c r="F485" i="7"/>
  <c r="J485" i="7" s="1"/>
  <c r="C485" i="7"/>
  <c r="B485" i="7"/>
  <c r="J484" i="7"/>
  <c r="G484" i="7"/>
  <c r="F484" i="7"/>
  <c r="C484" i="7"/>
  <c r="B484" i="7"/>
  <c r="G483" i="7"/>
  <c r="F483" i="7"/>
  <c r="J483" i="7" s="1"/>
  <c r="C483" i="7"/>
  <c r="B483" i="7"/>
  <c r="G482" i="7"/>
  <c r="F482" i="7"/>
  <c r="J482" i="7" s="1"/>
  <c r="D482" i="7"/>
  <c r="C482" i="7"/>
  <c r="B482" i="7"/>
  <c r="J481" i="7"/>
  <c r="G481" i="7"/>
  <c r="D481" i="7"/>
  <c r="C481" i="7"/>
  <c r="B481" i="7"/>
  <c r="A481" i="7"/>
  <c r="A482" i="7" s="1"/>
  <c r="A483" i="7" s="1"/>
  <c r="A484" i="7" s="1"/>
  <c r="A485" i="7" s="1"/>
  <c r="A486" i="7" s="1"/>
  <c r="G480" i="7"/>
  <c r="F480" i="7"/>
  <c r="J480" i="7" s="1"/>
  <c r="C480" i="7"/>
  <c r="B480" i="7"/>
  <c r="G479" i="7"/>
  <c r="F479" i="7"/>
  <c r="J479" i="7" s="1"/>
  <c r="C479" i="7"/>
  <c r="B479" i="7"/>
  <c r="J478" i="7"/>
  <c r="G478" i="7"/>
  <c r="F478" i="7"/>
  <c r="C478" i="7"/>
  <c r="B478" i="7"/>
  <c r="G477" i="7"/>
  <c r="F477" i="7"/>
  <c r="J477" i="7" s="1"/>
  <c r="C477" i="7"/>
  <c r="B477" i="7"/>
  <c r="G476" i="7"/>
  <c r="F476" i="7"/>
  <c r="J476" i="7" s="1"/>
  <c r="D476" i="7"/>
  <c r="C476" i="7"/>
  <c r="B476" i="7"/>
  <c r="J475" i="7"/>
  <c r="G475" i="7"/>
  <c r="D475" i="7"/>
  <c r="C475" i="7"/>
  <c r="B475" i="7"/>
  <c r="A475" i="7"/>
  <c r="A476" i="7" s="1"/>
  <c r="A477" i="7" s="1"/>
  <c r="A478" i="7" s="1"/>
  <c r="A479" i="7" s="1"/>
  <c r="A480" i="7" s="1"/>
  <c r="G474" i="7"/>
  <c r="F474" i="7"/>
  <c r="J474" i="7" s="1"/>
  <c r="C474" i="7"/>
  <c r="B474" i="7"/>
  <c r="G473" i="7"/>
  <c r="F473" i="7"/>
  <c r="J473" i="7" s="1"/>
  <c r="C473" i="7"/>
  <c r="B473" i="7"/>
  <c r="G472" i="7"/>
  <c r="F472" i="7"/>
  <c r="J472" i="7" s="1"/>
  <c r="C472" i="7"/>
  <c r="B472" i="7"/>
  <c r="G471" i="7"/>
  <c r="F471" i="7"/>
  <c r="J471" i="7" s="1"/>
  <c r="C471" i="7"/>
  <c r="B471" i="7"/>
  <c r="G470" i="7"/>
  <c r="F470" i="7"/>
  <c r="J470" i="7" s="1"/>
  <c r="D470" i="7"/>
  <c r="C470" i="7"/>
  <c r="B470" i="7"/>
  <c r="J469" i="7"/>
  <c r="G469" i="7"/>
  <c r="D469" i="7"/>
  <c r="C469" i="7"/>
  <c r="B469" i="7"/>
  <c r="A469" i="7"/>
  <c r="A470" i="7" s="1"/>
  <c r="A471" i="7" s="1"/>
  <c r="A472" i="7" s="1"/>
  <c r="A473" i="7" s="1"/>
  <c r="A474" i="7" s="1"/>
  <c r="G468" i="7"/>
  <c r="C468" i="7"/>
  <c r="B468" i="7"/>
  <c r="G467" i="7"/>
  <c r="C467" i="7"/>
  <c r="B467" i="7"/>
  <c r="G466" i="7"/>
  <c r="C466" i="7"/>
  <c r="B466" i="7"/>
  <c r="G465" i="7"/>
  <c r="C465" i="7"/>
  <c r="B465" i="7"/>
  <c r="G464" i="7"/>
  <c r="C464" i="7"/>
  <c r="B464" i="7"/>
  <c r="G463" i="7"/>
  <c r="F463" i="7"/>
  <c r="F464" i="7" s="1"/>
  <c r="C463" i="7"/>
  <c r="B463" i="7"/>
  <c r="G462" i="7"/>
  <c r="C462" i="7"/>
  <c r="B462" i="7"/>
  <c r="G461" i="7"/>
  <c r="C461" i="7"/>
  <c r="B461" i="7"/>
  <c r="G460" i="7"/>
  <c r="C460" i="7"/>
  <c r="B460" i="7"/>
  <c r="G459" i="7"/>
  <c r="C459" i="7"/>
  <c r="B459" i="7"/>
  <c r="G458" i="7"/>
  <c r="C458" i="7"/>
  <c r="B458" i="7"/>
  <c r="G457" i="7"/>
  <c r="F457" i="7"/>
  <c r="J457" i="7" s="1"/>
  <c r="C457" i="7"/>
  <c r="B457" i="7"/>
  <c r="G456" i="7"/>
  <c r="B456" i="7"/>
  <c r="G455" i="7"/>
  <c r="C455" i="7"/>
  <c r="B455" i="7"/>
  <c r="G454" i="7"/>
  <c r="C454" i="7"/>
  <c r="B454" i="7"/>
  <c r="G453" i="7"/>
  <c r="C453" i="7"/>
  <c r="B453" i="7"/>
  <c r="G452" i="7"/>
  <c r="C452" i="7"/>
  <c r="B452" i="7"/>
  <c r="J451" i="7"/>
  <c r="G451" i="7"/>
  <c r="F452" i="7" s="1"/>
  <c r="F451" i="7"/>
  <c r="C451" i="7"/>
  <c r="B451" i="7"/>
  <c r="G450" i="7"/>
  <c r="C450" i="7"/>
  <c r="B450" i="7"/>
  <c r="G449" i="7"/>
  <c r="D449" i="7"/>
  <c r="C449" i="7"/>
  <c r="B449" i="7"/>
  <c r="G448" i="7"/>
  <c r="D448" i="7"/>
  <c r="C448" i="7"/>
  <c r="B448" i="7"/>
  <c r="G447" i="7"/>
  <c r="D447" i="7"/>
  <c r="C447" i="7"/>
  <c r="B447" i="7"/>
  <c r="G446" i="7"/>
  <c r="D446" i="7"/>
  <c r="C446" i="7"/>
  <c r="B446" i="7"/>
  <c r="G445" i="7"/>
  <c r="C445" i="7"/>
  <c r="B445" i="7"/>
  <c r="G444" i="7"/>
  <c r="F444" i="7"/>
  <c r="F445" i="7" s="1"/>
  <c r="C444" i="7"/>
  <c r="B444" i="7"/>
  <c r="G443" i="7"/>
  <c r="C443" i="7"/>
  <c r="B443" i="7"/>
  <c r="G442" i="7"/>
  <c r="C442" i="7"/>
  <c r="B442" i="7"/>
  <c r="G441" i="7"/>
  <c r="C441" i="7"/>
  <c r="B441" i="7"/>
  <c r="G440" i="7"/>
  <c r="C440" i="7"/>
  <c r="B440" i="7"/>
  <c r="G439" i="7"/>
  <c r="C439" i="7"/>
  <c r="B439" i="7"/>
  <c r="G438" i="7"/>
  <c r="C438" i="7"/>
  <c r="B438" i="7"/>
  <c r="G437" i="7"/>
  <c r="F437" i="7"/>
  <c r="J437" i="7" s="1"/>
  <c r="B437" i="7"/>
  <c r="G436" i="7"/>
  <c r="C436" i="7"/>
  <c r="B436" i="7"/>
  <c r="G435" i="7"/>
  <c r="D435" i="7"/>
  <c r="C435" i="7"/>
  <c r="B435" i="7"/>
  <c r="G434" i="7"/>
  <c r="D434" i="7"/>
  <c r="C434" i="7"/>
  <c r="B434" i="7"/>
  <c r="G433" i="7"/>
  <c r="D433" i="7"/>
  <c r="C433" i="7"/>
  <c r="B433" i="7"/>
  <c r="G432" i="7"/>
  <c r="D432" i="7"/>
  <c r="C432" i="7"/>
  <c r="B432" i="7"/>
  <c r="G431" i="7"/>
  <c r="D431" i="7"/>
  <c r="C431" i="7"/>
  <c r="B431" i="7"/>
  <c r="G430" i="7"/>
  <c r="F430" i="7"/>
  <c r="F431" i="7" s="1"/>
  <c r="C430" i="7"/>
  <c r="B430" i="7"/>
  <c r="G429" i="7"/>
  <c r="D429" i="7"/>
  <c r="C429" i="7"/>
  <c r="B429" i="7"/>
  <c r="G428" i="7"/>
  <c r="D428" i="7"/>
  <c r="C428" i="7"/>
  <c r="B428" i="7"/>
  <c r="G427" i="7"/>
  <c r="D427" i="7"/>
  <c r="C427" i="7"/>
  <c r="B427" i="7"/>
  <c r="G426" i="7"/>
  <c r="D426" i="7"/>
  <c r="C426" i="7"/>
  <c r="B426" i="7"/>
  <c r="G425" i="7"/>
  <c r="D425" i="7"/>
  <c r="C425" i="7"/>
  <c r="B425" i="7"/>
  <c r="G424" i="7"/>
  <c r="F424" i="7"/>
  <c r="F425" i="7" s="1"/>
  <c r="D424" i="7"/>
  <c r="C424" i="7"/>
  <c r="B424" i="7"/>
  <c r="G423" i="7"/>
  <c r="D423" i="7"/>
  <c r="C423" i="7"/>
  <c r="B423" i="7"/>
  <c r="G422" i="7"/>
  <c r="D422" i="7"/>
  <c r="C422" i="7"/>
  <c r="B422" i="7"/>
  <c r="G421" i="7"/>
  <c r="D421" i="7"/>
  <c r="C421" i="7"/>
  <c r="B421" i="7"/>
  <c r="G420" i="7"/>
  <c r="D420" i="7"/>
  <c r="C420" i="7"/>
  <c r="B420" i="7"/>
  <c r="G419" i="7"/>
  <c r="F419" i="7"/>
  <c r="F420" i="7" s="1"/>
  <c r="D419" i="7"/>
  <c r="C419" i="7"/>
  <c r="B419" i="7"/>
  <c r="J418" i="7"/>
  <c r="G418" i="7"/>
  <c r="D418" i="7"/>
  <c r="C418" i="7"/>
  <c r="B418" i="7"/>
  <c r="A418" i="7"/>
  <c r="A419" i="7" s="1"/>
  <c r="A420" i="7" s="1"/>
  <c r="G417" i="7"/>
  <c r="C417" i="7"/>
  <c r="B417" i="7"/>
  <c r="G416" i="7"/>
  <c r="F416" i="7"/>
  <c r="F417" i="7" s="1"/>
  <c r="J417" i="7" s="1"/>
  <c r="C416" i="7"/>
  <c r="B416" i="7"/>
  <c r="G415" i="7"/>
  <c r="C415" i="7"/>
  <c r="B415" i="7"/>
  <c r="G414" i="7"/>
  <c r="F414" i="7"/>
  <c r="J414" i="7" s="1"/>
  <c r="C414" i="7"/>
  <c r="B414" i="7"/>
  <c r="G413" i="7"/>
  <c r="C413" i="7"/>
  <c r="B413" i="7"/>
  <c r="G412" i="7"/>
  <c r="F413" i="7" s="1"/>
  <c r="J413" i="7" s="1"/>
  <c r="F412" i="7"/>
  <c r="J412" i="7" s="1"/>
  <c r="C412" i="7"/>
  <c r="B412" i="7"/>
  <c r="G411" i="7"/>
  <c r="D411" i="7"/>
  <c r="C411" i="7"/>
  <c r="B411" i="7"/>
  <c r="G410" i="7"/>
  <c r="F410" i="7"/>
  <c r="J410" i="7" s="1"/>
  <c r="C410" i="7"/>
  <c r="B410" i="7"/>
  <c r="G409" i="7"/>
  <c r="C409" i="7"/>
  <c r="B409" i="7"/>
  <c r="G408" i="7"/>
  <c r="F408" i="7"/>
  <c r="F409" i="7" s="1"/>
  <c r="J409" i="7" s="1"/>
  <c r="C408" i="7"/>
  <c r="B408" i="7"/>
  <c r="G407" i="7"/>
  <c r="C407" i="7"/>
  <c r="B407" i="7"/>
  <c r="G406" i="7"/>
  <c r="F406" i="7"/>
  <c r="J406" i="7" s="1"/>
  <c r="C406" i="7"/>
  <c r="B406" i="7"/>
  <c r="G405" i="7"/>
  <c r="D405" i="7"/>
  <c r="C405" i="7"/>
  <c r="B405" i="7"/>
  <c r="G404" i="7"/>
  <c r="F404" i="7"/>
  <c r="J404" i="7" s="1"/>
  <c r="D404" i="7"/>
  <c r="C404" i="7"/>
  <c r="B404" i="7"/>
  <c r="G403" i="7"/>
  <c r="D403" i="7"/>
  <c r="C403" i="7"/>
  <c r="B403" i="7"/>
  <c r="J402" i="7"/>
  <c r="G402" i="7"/>
  <c r="F403" i="7" s="1"/>
  <c r="J403" i="7" s="1"/>
  <c r="D402" i="7"/>
  <c r="C402" i="7"/>
  <c r="B402" i="7"/>
  <c r="A402" i="7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G401" i="7"/>
  <c r="F401" i="7"/>
  <c r="J401" i="7" s="1"/>
  <c r="C401" i="7"/>
  <c r="B401" i="7"/>
  <c r="G400" i="7"/>
  <c r="F400" i="7"/>
  <c r="J400" i="7" s="1"/>
  <c r="C400" i="7"/>
  <c r="B400" i="7"/>
  <c r="J399" i="7"/>
  <c r="G399" i="7"/>
  <c r="F399" i="7"/>
  <c r="C399" i="7"/>
  <c r="B399" i="7"/>
  <c r="G398" i="7"/>
  <c r="F398" i="7"/>
  <c r="J398" i="7" s="1"/>
  <c r="C398" i="7"/>
  <c r="B398" i="7"/>
  <c r="G397" i="7"/>
  <c r="F397" i="7"/>
  <c r="J397" i="7" s="1"/>
  <c r="D397" i="7"/>
  <c r="C397" i="7"/>
  <c r="B397" i="7"/>
  <c r="A397" i="7"/>
  <c r="A398" i="7" s="1"/>
  <c r="A399" i="7" s="1"/>
  <c r="A400" i="7" s="1"/>
  <c r="A401" i="7" s="1"/>
  <c r="J396" i="7"/>
  <c r="G396" i="7"/>
  <c r="D396" i="7"/>
  <c r="C396" i="7"/>
  <c r="B396" i="7"/>
  <c r="A396" i="7"/>
  <c r="G395" i="7"/>
  <c r="F395" i="7"/>
  <c r="J395" i="7" s="1"/>
  <c r="C395" i="7"/>
  <c r="B395" i="7"/>
  <c r="G394" i="7"/>
  <c r="F394" i="7"/>
  <c r="J394" i="7" s="1"/>
  <c r="C394" i="7"/>
  <c r="B394" i="7"/>
  <c r="G393" i="7"/>
  <c r="F393" i="7"/>
  <c r="J393" i="7" s="1"/>
  <c r="C393" i="7"/>
  <c r="B393" i="7"/>
  <c r="G392" i="7"/>
  <c r="F392" i="7"/>
  <c r="J392" i="7" s="1"/>
  <c r="C392" i="7"/>
  <c r="B392" i="7"/>
  <c r="G391" i="7"/>
  <c r="F391" i="7"/>
  <c r="J391" i="7" s="1"/>
  <c r="D391" i="7"/>
  <c r="C391" i="7"/>
  <c r="B391" i="7"/>
  <c r="A391" i="7"/>
  <c r="A392" i="7" s="1"/>
  <c r="A393" i="7" s="1"/>
  <c r="A394" i="7" s="1"/>
  <c r="A395" i="7" s="1"/>
  <c r="J390" i="7"/>
  <c r="G390" i="7"/>
  <c r="D390" i="7"/>
  <c r="C390" i="7"/>
  <c r="B390" i="7"/>
  <c r="A390" i="7"/>
  <c r="G389" i="7"/>
  <c r="F389" i="7"/>
  <c r="J389" i="7" s="1"/>
  <c r="C389" i="7"/>
  <c r="B389" i="7"/>
  <c r="G388" i="7"/>
  <c r="F388" i="7"/>
  <c r="J388" i="7" s="1"/>
  <c r="C388" i="7"/>
  <c r="B388" i="7"/>
  <c r="J387" i="7"/>
  <c r="G387" i="7"/>
  <c r="F387" i="7"/>
  <c r="C387" i="7"/>
  <c r="B387" i="7"/>
  <c r="G386" i="7"/>
  <c r="F386" i="7"/>
  <c r="J386" i="7" s="1"/>
  <c r="C386" i="7"/>
  <c r="B386" i="7"/>
  <c r="G385" i="7"/>
  <c r="F385" i="7"/>
  <c r="J385" i="7" s="1"/>
  <c r="D385" i="7"/>
  <c r="C385" i="7"/>
  <c r="B385" i="7"/>
  <c r="A385" i="7"/>
  <c r="A386" i="7" s="1"/>
  <c r="A387" i="7" s="1"/>
  <c r="A388" i="7" s="1"/>
  <c r="A389" i="7" s="1"/>
  <c r="J384" i="7"/>
  <c r="G384" i="7"/>
  <c r="D384" i="7"/>
  <c r="C384" i="7"/>
  <c r="B384" i="7"/>
  <c r="A384" i="7"/>
  <c r="G383" i="7"/>
  <c r="F383" i="7"/>
  <c r="J383" i="7" s="1"/>
  <c r="C383" i="7"/>
  <c r="B383" i="7"/>
  <c r="G382" i="7"/>
  <c r="F382" i="7"/>
  <c r="J382" i="7" s="1"/>
  <c r="C382" i="7"/>
  <c r="B382" i="7"/>
  <c r="J381" i="7"/>
  <c r="G381" i="7"/>
  <c r="F381" i="7"/>
  <c r="C381" i="7"/>
  <c r="B381" i="7"/>
  <c r="G380" i="7"/>
  <c r="F380" i="7"/>
  <c r="J380" i="7" s="1"/>
  <c r="C380" i="7"/>
  <c r="B380" i="7"/>
  <c r="G379" i="7"/>
  <c r="F379" i="7"/>
  <c r="J379" i="7" s="1"/>
  <c r="D379" i="7"/>
  <c r="C379" i="7"/>
  <c r="B379" i="7"/>
  <c r="J378" i="7"/>
  <c r="G378" i="7"/>
  <c r="D378" i="7"/>
  <c r="C378" i="7"/>
  <c r="B378" i="7"/>
  <c r="A378" i="7"/>
  <c r="A379" i="7" s="1"/>
  <c r="A380" i="7" s="1"/>
  <c r="A381" i="7" s="1"/>
  <c r="A382" i="7" s="1"/>
  <c r="A383" i="7" s="1"/>
  <c r="G377" i="7"/>
  <c r="C377" i="7"/>
  <c r="B377" i="7"/>
  <c r="G376" i="7"/>
  <c r="C376" i="7"/>
  <c r="B376" i="7"/>
  <c r="G375" i="7"/>
  <c r="C375" i="7"/>
  <c r="B375" i="7"/>
  <c r="G374" i="7"/>
  <c r="C374" i="7"/>
  <c r="B374" i="7"/>
  <c r="G373" i="7"/>
  <c r="C373" i="7"/>
  <c r="B373" i="7"/>
  <c r="J372" i="7"/>
  <c r="G372" i="7"/>
  <c r="F372" i="7"/>
  <c r="F373" i="7" s="1"/>
  <c r="C372" i="7"/>
  <c r="B372" i="7"/>
  <c r="G371" i="7"/>
  <c r="C371" i="7"/>
  <c r="B371" i="7"/>
  <c r="G370" i="7"/>
  <c r="C370" i="7"/>
  <c r="B370" i="7"/>
  <c r="G369" i="7"/>
  <c r="C369" i="7"/>
  <c r="B369" i="7"/>
  <c r="G368" i="7"/>
  <c r="C368" i="7"/>
  <c r="B368" i="7"/>
  <c r="G367" i="7"/>
  <c r="C367" i="7"/>
  <c r="B367" i="7"/>
  <c r="G366" i="7"/>
  <c r="F366" i="7"/>
  <c r="F367" i="7" s="1"/>
  <c r="F368" i="7" s="1"/>
  <c r="C366" i="7"/>
  <c r="B366" i="7"/>
  <c r="G365" i="7"/>
  <c r="B365" i="7"/>
  <c r="G364" i="7"/>
  <c r="C364" i="7"/>
  <c r="B364" i="7"/>
  <c r="G363" i="7"/>
  <c r="C363" i="7"/>
  <c r="B363" i="7"/>
  <c r="G362" i="7"/>
  <c r="C362" i="7"/>
  <c r="B362" i="7"/>
  <c r="G361" i="7"/>
  <c r="C361" i="7"/>
  <c r="B361" i="7"/>
  <c r="J360" i="7"/>
  <c r="G360" i="7"/>
  <c r="F360" i="7"/>
  <c r="C360" i="7"/>
  <c r="B360" i="7"/>
  <c r="G359" i="7"/>
  <c r="C359" i="7"/>
  <c r="B359" i="7"/>
  <c r="G358" i="7"/>
  <c r="D358" i="7"/>
  <c r="C358" i="7"/>
  <c r="B358" i="7"/>
  <c r="G357" i="7"/>
  <c r="D357" i="7"/>
  <c r="C357" i="7"/>
  <c r="B357" i="7"/>
  <c r="G356" i="7"/>
  <c r="D356" i="7"/>
  <c r="C356" i="7"/>
  <c r="B356" i="7"/>
  <c r="G355" i="7"/>
  <c r="D355" i="7"/>
  <c r="C355" i="7"/>
  <c r="B355" i="7"/>
  <c r="G354" i="7"/>
  <c r="C354" i="7"/>
  <c r="B354" i="7"/>
  <c r="G353" i="7"/>
  <c r="F353" i="7"/>
  <c r="F354" i="7" s="1"/>
  <c r="C353" i="7"/>
  <c r="B353" i="7"/>
  <c r="G352" i="7"/>
  <c r="C352" i="7"/>
  <c r="B352" i="7"/>
  <c r="G351" i="7"/>
  <c r="C351" i="7"/>
  <c r="B351" i="7"/>
  <c r="G350" i="7"/>
  <c r="C350" i="7"/>
  <c r="B350" i="7"/>
  <c r="G349" i="7"/>
  <c r="C349" i="7"/>
  <c r="B349" i="7"/>
  <c r="G348" i="7"/>
  <c r="C348" i="7"/>
  <c r="B348" i="7"/>
  <c r="G347" i="7"/>
  <c r="C347" i="7"/>
  <c r="B347" i="7"/>
  <c r="G346" i="7"/>
  <c r="F347" i="7" s="1"/>
  <c r="F346" i="7"/>
  <c r="J346" i="7" s="1"/>
  <c r="B346" i="7"/>
  <c r="G345" i="7"/>
  <c r="C345" i="7"/>
  <c r="B345" i="7"/>
  <c r="G344" i="7"/>
  <c r="D344" i="7"/>
  <c r="C344" i="7"/>
  <c r="B344" i="7"/>
  <c r="G343" i="7"/>
  <c r="D343" i="7"/>
  <c r="C343" i="7"/>
  <c r="B343" i="7"/>
  <c r="G342" i="7"/>
  <c r="D342" i="7"/>
  <c r="C342" i="7"/>
  <c r="B342" i="7"/>
  <c r="G341" i="7"/>
  <c r="D341" i="7"/>
  <c r="C341" i="7"/>
  <c r="B341" i="7"/>
  <c r="G340" i="7"/>
  <c r="D340" i="7"/>
  <c r="C340" i="7"/>
  <c r="B340" i="7"/>
  <c r="G339" i="7"/>
  <c r="F339" i="7"/>
  <c r="F340" i="7" s="1"/>
  <c r="J340" i="7" s="1"/>
  <c r="C339" i="7"/>
  <c r="B339" i="7"/>
  <c r="G338" i="7"/>
  <c r="D338" i="7"/>
  <c r="C338" i="7"/>
  <c r="B338" i="7"/>
  <c r="G337" i="7"/>
  <c r="D337" i="7"/>
  <c r="C337" i="7"/>
  <c r="B337" i="7"/>
  <c r="G336" i="7"/>
  <c r="D336" i="7"/>
  <c r="C336" i="7"/>
  <c r="B336" i="7"/>
  <c r="G335" i="7"/>
  <c r="D335" i="7"/>
  <c r="C335" i="7"/>
  <c r="B335" i="7"/>
  <c r="G334" i="7"/>
  <c r="D334" i="7"/>
  <c r="C334" i="7"/>
  <c r="B334" i="7"/>
  <c r="G333" i="7"/>
  <c r="F333" i="7"/>
  <c r="J333" i="7" s="1"/>
  <c r="D333" i="7"/>
  <c r="C333" i="7"/>
  <c r="B333" i="7"/>
  <c r="G332" i="7"/>
  <c r="D332" i="7"/>
  <c r="C332" i="7"/>
  <c r="B332" i="7"/>
  <c r="G331" i="7"/>
  <c r="D331" i="7"/>
  <c r="C331" i="7"/>
  <c r="B331" i="7"/>
  <c r="G330" i="7"/>
  <c r="D330" i="7"/>
  <c r="C330" i="7"/>
  <c r="B330" i="7"/>
  <c r="G329" i="7"/>
  <c r="D329" i="7"/>
  <c r="C329" i="7"/>
  <c r="B329" i="7"/>
  <c r="G328" i="7"/>
  <c r="F328" i="7"/>
  <c r="J328" i="7" s="1"/>
  <c r="D328" i="7"/>
  <c r="C328" i="7"/>
  <c r="B328" i="7"/>
  <c r="J327" i="7"/>
  <c r="G327" i="7"/>
  <c r="D327" i="7"/>
  <c r="C327" i="7"/>
  <c r="B327" i="7"/>
  <c r="A327" i="7"/>
  <c r="A328" i="7" s="1"/>
  <c r="A329" i="7" s="1"/>
  <c r="G326" i="7"/>
  <c r="C326" i="7"/>
  <c r="B326" i="7"/>
  <c r="G325" i="7"/>
  <c r="F325" i="7"/>
  <c r="F326" i="7" s="1"/>
  <c r="J326" i="7" s="1"/>
  <c r="C325" i="7"/>
  <c r="B325" i="7"/>
  <c r="G324" i="7"/>
  <c r="C324" i="7"/>
  <c r="B324" i="7"/>
  <c r="G323" i="7"/>
  <c r="F323" i="7"/>
  <c r="J323" i="7" s="1"/>
  <c r="C323" i="7"/>
  <c r="B323" i="7"/>
  <c r="G322" i="7"/>
  <c r="C322" i="7"/>
  <c r="B322" i="7"/>
  <c r="G321" i="7"/>
  <c r="F321" i="7"/>
  <c r="J321" i="7" s="1"/>
  <c r="C321" i="7"/>
  <c r="B321" i="7"/>
  <c r="G320" i="7"/>
  <c r="D320" i="7"/>
  <c r="C320" i="7"/>
  <c r="B320" i="7"/>
  <c r="G319" i="7"/>
  <c r="F319" i="7"/>
  <c r="J319" i="7" s="1"/>
  <c r="C319" i="7"/>
  <c r="B319" i="7"/>
  <c r="G318" i="7"/>
  <c r="C318" i="7"/>
  <c r="B318" i="7"/>
  <c r="G317" i="7"/>
  <c r="F317" i="7"/>
  <c r="F318" i="7" s="1"/>
  <c r="J318" i="7" s="1"/>
  <c r="C317" i="7"/>
  <c r="B317" i="7"/>
  <c r="G316" i="7"/>
  <c r="C316" i="7"/>
  <c r="B316" i="7"/>
  <c r="G315" i="7"/>
  <c r="F315" i="7"/>
  <c r="J315" i="7" s="1"/>
  <c r="C315" i="7"/>
  <c r="B315" i="7"/>
  <c r="G314" i="7"/>
  <c r="D314" i="7"/>
  <c r="C314" i="7"/>
  <c r="B314" i="7"/>
  <c r="G313" i="7"/>
  <c r="F313" i="7"/>
  <c r="J313" i="7" s="1"/>
  <c r="D313" i="7"/>
  <c r="C313" i="7"/>
  <c r="B313" i="7"/>
  <c r="A313" i="7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G312" i="7"/>
  <c r="F312" i="7"/>
  <c r="J312" i="7" s="1"/>
  <c r="D312" i="7"/>
  <c r="C312" i="7"/>
  <c r="B312" i="7"/>
  <c r="A312" i="7"/>
  <c r="J311" i="7"/>
  <c r="G311" i="7"/>
  <c r="D311" i="7"/>
  <c r="C311" i="7"/>
  <c r="B311" i="7"/>
  <c r="A311" i="7"/>
  <c r="G310" i="7"/>
  <c r="F310" i="7"/>
  <c r="J310" i="7" s="1"/>
  <c r="C310" i="7"/>
  <c r="B310" i="7"/>
  <c r="G309" i="7"/>
  <c r="F309" i="7"/>
  <c r="J309" i="7" s="1"/>
  <c r="C309" i="7"/>
  <c r="B309" i="7"/>
  <c r="G308" i="7"/>
  <c r="F308" i="7"/>
  <c r="J308" i="7" s="1"/>
  <c r="C308" i="7"/>
  <c r="B308" i="7"/>
  <c r="G307" i="7"/>
  <c r="F307" i="7"/>
  <c r="J307" i="7" s="1"/>
  <c r="C307" i="7"/>
  <c r="B307" i="7"/>
  <c r="G306" i="7"/>
  <c r="F306" i="7"/>
  <c r="J306" i="7" s="1"/>
  <c r="D306" i="7"/>
  <c r="C306" i="7"/>
  <c r="B306" i="7"/>
  <c r="A306" i="7"/>
  <c r="A307" i="7" s="1"/>
  <c r="A308" i="7" s="1"/>
  <c r="A309" i="7" s="1"/>
  <c r="A310" i="7" s="1"/>
  <c r="J305" i="7"/>
  <c r="G305" i="7"/>
  <c r="D305" i="7"/>
  <c r="C305" i="7"/>
  <c r="B305" i="7"/>
  <c r="A305" i="7"/>
  <c r="G304" i="7"/>
  <c r="F304" i="7"/>
  <c r="J304" i="7" s="1"/>
  <c r="C304" i="7"/>
  <c r="B304" i="7"/>
  <c r="G303" i="7"/>
  <c r="F303" i="7"/>
  <c r="J303" i="7" s="1"/>
  <c r="C303" i="7"/>
  <c r="B303" i="7"/>
  <c r="J302" i="7"/>
  <c r="G302" i="7"/>
  <c r="F302" i="7"/>
  <c r="C302" i="7"/>
  <c r="B302" i="7"/>
  <c r="G301" i="7"/>
  <c r="F301" i="7"/>
  <c r="J301" i="7" s="1"/>
  <c r="C301" i="7"/>
  <c r="B301" i="7"/>
  <c r="G300" i="7"/>
  <c r="F300" i="7"/>
  <c r="J300" i="7" s="1"/>
  <c r="D300" i="7"/>
  <c r="C300" i="7"/>
  <c r="B300" i="7"/>
  <c r="J299" i="7"/>
  <c r="G299" i="7"/>
  <c r="D299" i="7"/>
  <c r="C299" i="7"/>
  <c r="B299" i="7"/>
  <c r="A299" i="7"/>
  <c r="A300" i="7" s="1"/>
  <c r="A301" i="7" s="1"/>
  <c r="A302" i="7" s="1"/>
  <c r="A303" i="7" s="1"/>
  <c r="A304" i="7" s="1"/>
  <c r="G298" i="7"/>
  <c r="F298" i="7"/>
  <c r="J298" i="7" s="1"/>
  <c r="C298" i="7"/>
  <c r="B298" i="7"/>
  <c r="G297" i="7"/>
  <c r="F297" i="7"/>
  <c r="J297" i="7" s="1"/>
  <c r="C297" i="7"/>
  <c r="B297" i="7"/>
  <c r="J296" i="7"/>
  <c r="G296" i="7"/>
  <c r="F296" i="7"/>
  <c r="C296" i="7"/>
  <c r="B296" i="7"/>
  <c r="G295" i="7"/>
  <c r="F295" i="7"/>
  <c r="J295" i="7" s="1"/>
  <c r="C295" i="7"/>
  <c r="B295" i="7"/>
  <c r="G294" i="7"/>
  <c r="F294" i="7"/>
  <c r="J294" i="7" s="1"/>
  <c r="D294" i="7"/>
  <c r="C294" i="7"/>
  <c r="B294" i="7"/>
  <c r="J293" i="7"/>
  <c r="G293" i="7"/>
  <c r="D293" i="7"/>
  <c r="C293" i="7"/>
  <c r="B293" i="7"/>
  <c r="A293" i="7"/>
  <c r="A294" i="7" s="1"/>
  <c r="A295" i="7" s="1"/>
  <c r="A296" i="7" s="1"/>
  <c r="A297" i="7" s="1"/>
  <c r="A298" i="7" s="1"/>
  <c r="G292" i="7"/>
  <c r="F292" i="7"/>
  <c r="J292" i="7" s="1"/>
  <c r="C292" i="7"/>
  <c r="B292" i="7"/>
  <c r="G291" i="7"/>
  <c r="F291" i="7"/>
  <c r="J291" i="7" s="1"/>
  <c r="C291" i="7"/>
  <c r="B291" i="7"/>
  <c r="G290" i="7"/>
  <c r="F290" i="7"/>
  <c r="J290" i="7" s="1"/>
  <c r="C290" i="7"/>
  <c r="B290" i="7"/>
  <c r="G289" i="7"/>
  <c r="F289" i="7"/>
  <c r="J289" i="7" s="1"/>
  <c r="C289" i="7"/>
  <c r="B289" i="7"/>
  <c r="G288" i="7"/>
  <c r="F288" i="7"/>
  <c r="J288" i="7" s="1"/>
  <c r="D288" i="7"/>
  <c r="C288" i="7"/>
  <c r="B288" i="7"/>
  <c r="A288" i="7"/>
  <c r="A289" i="7" s="1"/>
  <c r="A290" i="7" s="1"/>
  <c r="A291" i="7" s="1"/>
  <c r="A292" i="7" s="1"/>
  <c r="J287" i="7"/>
  <c r="G287" i="7"/>
  <c r="D287" i="7"/>
  <c r="C287" i="7"/>
  <c r="B287" i="7"/>
  <c r="A287" i="7"/>
  <c r="G286" i="7"/>
  <c r="F286" i="7"/>
  <c r="J286" i="7" s="1"/>
  <c r="C286" i="7"/>
  <c r="B286" i="7"/>
  <c r="G285" i="7"/>
  <c r="F285" i="7"/>
  <c r="J285" i="7" s="1"/>
  <c r="C285" i="7"/>
  <c r="B285" i="7"/>
  <c r="J284" i="7"/>
  <c r="G284" i="7"/>
  <c r="F284" i="7"/>
  <c r="C284" i="7"/>
  <c r="B284" i="7"/>
  <c r="G283" i="7"/>
  <c r="F283" i="7"/>
  <c r="J283" i="7" s="1"/>
  <c r="C283" i="7"/>
  <c r="B283" i="7"/>
  <c r="G282" i="7"/>
  <c r="F282" i="7"/>
  <c r="J282" i="7" s="1"/>
  <c r="D282" i="7"/>
  <c r="C282" i="7"/>
  <c r="B282" i="7"/>
  <c r="J281" i="7"/>
  <c r="G281" i="7"/>
  <c r="D281" i="7"/>
  <c r="C281" i="7"/>
  <c r="B281" i="7"/>
  <c r="A281" i="7"/>
  <c r="A282" i="7" s="1"/>
  <c r="A283" i="7" s="1"/>
  <c r="A284" i="7" s="1"/>
  <c r="A285" i="7" s="1"/>
  <c r="A286" i="7" s="1"/>
  <c r="G280" i="7"/>
  <c r="F280" i="7"/>
  <c r="J280" i="7" s="1"/>
  <c r="C280" i="7"/>
  <c r="B280" i="7"/>
  <c r="G279" i="7"/>
  <c r="F279" i="7"/>
  <c r="J279" i="7" s="1"/>
  <c r="C279" i="7"/>
  <c r="B279" i="7"/>
  <c r="G278" i="7"/>
  <c r="F278" i="7"/>
  <c r="J278" i="7" s="1"/>
  <c r="C278" i="7"/>
  <c r="B278" i="7"/>
  <c r="G277" i="7"/>
  <c r="F277" i="7"/>
  <c r="J277" i="7" s="1"/>
  <c r="C277" i="7"/>
  <c r="B277" i="7"/>
  <c r="G276" i="7"/>
  <c r="F276" i="7"/>
  <c r="J276" i="7" s="1"/>
  <c r="D276" i="7"/>
  <c r="C276" i="7"/>
  <c r="B276" i="7"/>
  <c r="A276" i="7"/>
  <c r="A277" i="7" s="1"/>
  <c r="A278" i="7" s="1"/>
  <c r="A279" i="7" s="1"/>
  <c r="A280" i="7" s="1"/>
  <c r="J275" i="7"/>
  <c r="G275" i="7"/>
  <c r="D275" i="7"/>
  <c r="C275" i="7"/>
  <c r="B275" i="7"/>
  <c r="A275" i="7"/>
  <c r="G274" i="7"/>
  <c r="C274" i="7"/>
  <c r="B274" i="7"/>
  <c r="G273" i="7"/>
  <c r="C273" i="7"/>
  <c r="B273" i="7"/>
  <c r="G272" i="7"/>
  <c r="C272" i="7"/>
  <c r="B272" i="7"/>
  <c r="G271" i="7"/>
  <c r="C271" i="7"/>
  <c r="B271" i="7"/>
  <c r="G270" i="7"/>
  <c r="C270" i="7"/>
  <c r="B270" i="7"/>
  <c r="J269" i="7"/>
  <c r="G269" i="7"/>
  <c r="F269" i="7"/>
  <c r="F270" i="7" s="1"/>
  <c r="C269" i="7"/>
  <c r="B269" i="7"/>
  <c r="G268" i="7"/>
  <c r="C268" i="7"/>
  <c r="B268" i="7"/>
  <c r="G267" i="7"/>
  <c r="C267" i="7"/>
  <c r="B267" i="7"/>
  <c r="G266" i="7"/>
  <c r="C266" i="7"/>
  <c r="B266" i="7"/>
  <c r="G265" i="7"/>
  <c r="C265" i="7"/>
  <c r="B265" i="7"/>
  <c r="G264" i="7"/>
  <c r="C264" i="7"/>
  <c r="B264" i="7"/>
  <c r="G263" i="7"/>
  <c r="F263" i="7"/>
  <c r="J263" i="7" s="1"/>
  <c r="C263" i="7"/>
  <c r="B263" i="7"/>
  <c r="G262" i="7"/>
  <c r="B262" i="7"/>
  <c r="G261" i="7"/>
  <c r="C261" i="7"/>
  <c r="B261" i="7"/>
  <c r="G260" i="7"/>
  <c r="C260" i="7"/>
  <c r="B260" i="7"/>
  <c r="G259" i="7"/>
  <c r="C259" i="7"/>
  <c r="B259" i="7"/>
  <c r="G258" i="7"/>
  <c r="C258" i="7"/>
  <c r="B258" i="7"/>
  <c r="G257" i="7"/>
  <c r="F257" i="7"/>
  <c r="F258" i="7" s="1"/>
  <c r="C257" i="7"/>
  <c r="B257" i="7"/>
  <c r="G256" i="7"/>
  <c r="C256" i="7"/>
  <c r="B256" i="7"/>
  <c r="G255" i="7"/>
  <c r="D255" i="7"/>
  <c r="C255" i="7"/>
  <c r="B255" i="7"/>
  <c r="G254" i="7"/>
  <c r="D254" i="7"/>
  <c r="C254" i="7"/>
  <c r="B254" i="7"/>
  <c r="G253" i="7"/>
  <c r="D253" i="7"/>
  <c r="C253" i="7"/>
  <c r="B253" i="7"/>
  <c r="G252" i="7"/>
  <c r="D252" i="7"/>
  <c r="C252" i="7"/>
  <c r="B252" i="7"/>
  <c r="G251" i="7"/>
  <c r="C251" i="7"/>
  <c r="B251" i="7"/>
  <c r="J250" i="7"/>
  <c r="G250" i="7"/>
  <c r="F250" i="7"/>
  <c r="C250" i="7"/>
  <c r="B250" i="7"/>
  <c r="G249" i="7"/>
  <c r="C249" i="7"/>
  <c r="B249" i="7"/>
  <c r="G248" i="7"/>
  <c r="C248" i="7"/>
  <c r="B248" i="7"/>
  <c r="G247" i="7"/>
  <c r="C247" i="7"/>
  <c r="B247" i="7"/>
  <c r="G246" i="7"/>
  <c r="C246" i="7"/>
  <c r="B246" i="7"/>
  <c r="G245" i="7"/>
  <c r="C245" i="7"/>
  <c r="B245" i="7"/>
  <c r="G244" i="7"/>
  <c r="C244" i="7"/>
  <c r="B244" i="7"/>
  <c r="G243" i="7"/>
  <c r="F243" i="7"/>
  <c r="F244" i="7" s="1"/>
  <c r="B243" i="7"/>
  <c r="G242" i="7"/>
  <c r="C242" i="7"/>
  <c r="B242" i="7"/>
  <c r="G241" i="7"/>
  <c r="D241" i="7"/>
  <c r="C241" i="7"/>
  <c r="B241" i="7"/>
  <c r="G240" i="7"/>
  <c r="D240" i="7"/>
  <c r="C240" i="7"/>
  <c r="B240" i="7"/>
  <c r="G239" i="7"/>
  <c r="D239" i="7"/>
  <c r="C239" i="7"/>
  <c r="B239" i="7"/>
  <c r="G238" i="7"/>
  <c r="D238" i="7"/>
  <c r="C238" i="7"/>
  <c r="B238" i="7"/>
  <c r="G237" i="7"/>
  <c r="F237" i="7"/>
  <c r="J237" i="7" s="1"/>
  <c r="D237" i="7"/>
  <c r="C237" i="7"/>
  <c r="B237" i="7"/>
  <c r="J236" i="7"/>
  <c r="G236" i="7"/>
  <c r="F236" i="7"/>
  <c r="C236" i="7"/>
  <c r="B236" i="7"/>
  <c r="G235" i="7"/>
  <c r="D235" i="7"/>
  <c r="C235" i="7"/>
  <c r="B235" i="7"/>
  <c r="G234" i="7"/>
  <c r="D234" i="7"/>
  <c r="C234" i="7"/>
  <c r="B234" i="7"/>
  <c r="G233" i="7"/>
  <c r="D233" i="7"/>
  <c r="C233" i="7"/>
  <c r="B233" i="7"/>
  <c r="G232" i="7"/>
  <c r="D232" i="7"/>
  <c r="C232" i="7"/>
  <c r="B232" i="7"/>
  <c r="G231" i="7"/>
  <c r="D231" i="7"/>
  <c r="C231" i="7"/>
  <c r="B231" i="7"/>
  <c r="G230" i="7"/>
  <c r="F230" i="7"/>
  <c r="J230" i="7" s="1"/>
  <c r="D230" i="7"/>
  <c r="C230" i="7"/>
  <c r="B230" i="7"/>
  <c r="G229" i="7"/>
  <c r="D229" i="7"/>
  <c r="C229" i="7"/>
  <c r="B229" i="7"/>
  <c r="G228" i="7"/>
  <c r="D228" i="7"/>
  <c r="C228" i="7"/>
  <c r="B228" i="7"/>
  <c r="G227" i="7"/>
  <c r="D227" i="7"/>
  <c r="C227" i="7"/>
  <c r="B227" i="7"/>
  <c r="G226" i="7"/>
  <c r="F226" i="7"/>
  <c r="J226" i="7" s="1"/>
  <c r="D226" i="7"/>
  <c r="C226" i="7"/>
  <c r="B226" i="7"/>
  <c r="G225" i="7"/>
  <c r="F225" i="7"/>
  <c r="J225" i="7" s="1"/>
  <c r="D225" i="7"/>
  <c r="C225" i="7"/>
  <c r="B225" i="7"/>
  <c r="J224" i="7"/>
  <c r="G224" i="7"/>
  <c r="D224" i="7"/>
  <c r="C224" i="7"/>
  <c r="B224" i="7"/>
  <c r="A224" i="7"/>
  <c r="A225" i="7" s="1"/>
  <c r="A226" i="7" s="1"/>
  <c r="G223" i="7"/>
  <c r="C223" i="7"/>
  <c r="B223" i="7"/>
  <c r="G222" i="7"/>
  <c r="F222" i="7"/>
  <c r="F223" i="7" s="1"/>
  <c r="J223" i="7" s="1"/>
  <c r="C222" i="7"/>
  <c r="B222" i="7"/>
  <c r="G221" i="7"/>
  <c r="C221" i="7"/>
  <c r="B221" i="7"/>
  <c r="G220" i="7"/>
  <c r="F220" i="7"/>
  <c r="J220" i="7" s="1"/>
  <c r="C220" i="7"/>
  <c r="B220" i="7"/>
  <c r="G219" i="7"/>
  <c r="C219" i="7"/>
  <c r="B219" i="7"/>
  <c r="G218" i="7"/>
  <c r="F218" i="7"/>
  <c r="F219" i="7" s="1"/>
  <c r="J219" i="7" s="1"/>
  <c r="C218" i="7"/>
  <c r="B218" i="7"/>
  <c r="G217" i="7"/>
  <c r="D217" i="7"/>
  <c r="C217" i="7"/>
  <c r="B217" i="7"/>
  <c r="G216" i="7"/>
  <c r="F216" i="7"/>
  <c r="J216" i="7" s="1"/>
  <c r="C216" i="7"/>
  <c r="B216" i="7"/>
  <c r="G215" i="7"/>
  <c r="C215" i="7"/>
  <c r="B215" i="7"/>
  <c r="G214" i="7"/>
  <c r="F214" i="7"/>
  <c r="F215" i="7" s="1"/>
  <c r="J215" i="7" s="1"/>
  <c r="C214" i="7"/>
  <c r="B214" i="7"/>
  <c r="G213" i="7"/>
  <c r="C213" i="7"/>
  <c r="B213" i="7"/>
  <c r="G212" i="7"/>
  <c r="F212" i="7"/>
  <c r="J212" i="7" s="1"/>
  <c r="C212" i="7"/>
  <c r="B212" i="7"/>
  <c r="G211" i="7"/>
  <c r="D211" i="7"/>
  <c r="C211" i="7"/>
  <c r="B211" i="7"/>
  <c r="A211" i="7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G210" i="7"/>
  <c r="F210" i="7"/>
  <c r="J210" i="7" s="1"/>
  <c r="D210" i="7"/>
  <c r="C210" i="7"/>
  <c r="B210" i="7"/>
  <c r="A210" i="7"/>
  <c r="G209" i="7"/>
  <c r="D209" i="7"/>
  <c r="C209" i="7"/>
  <c r="B209" i="7"/>
  <c r="A209" i="7"/>
  <c r="J208" i="7"/>
  <c r="G208" i="7"/>
  <c r="F209" i="7" s="1"/>
  <c r="J209" i="7" s="1"/>
  <c r="D208" i="7"/>
  <c r="C208" i="7"/>
  <c r="B208" i="7"/>
  <c r="A208" i="7"/>
  <c r="G207" i="7"/>
  <c r="F207" i="7"/>
  <c r="J207" i="7" s="1"/>
  <c r="C207" i="7"/>
  <c r="B207" i="7"/>
  <c r="G206" i="7"/>
  <c r="F206" i="7"/>
  <c r="J206" i="7" s="1"/>
  <c r="C206" i="7"/>
  <c r="B206" i="7"/>
  <c r="J205" i="7"/>
  <c r="G205" i="7"/>
  <c r="F205" i="7"/>
  <c r="C205" i="7"/>
  <c r="B205" i="7"/>
  <c r="G204" i="7"/>
  <c r="F204" i="7"/>
  <c r="J204" i="7" s="1"/>
  <c r="C204" i="7"/>
  <c r="B204" i="7"/>
  <c r="G203" i="7"/>
  <c r="F203" i="7"/>
  <c r="J203" i="7" s="1"/>
  <c r="D203" i="7"/>
  <c r="C203" i="7"/>
  <c r="B203" i="7"/>
  <c r="J202" i="7"/>
  <c r="G202" i="7"/>
  <c r="D202" i="7"/>
  <c r="C202" i="7"/>
  <c r="B202" i="7"/>
  <c r="A202" i="7"/>
  <c r="A203" i="7" s="1"/>
  <c r="A204" i="7" s="1"/>
  <c r="A205" i="7" s="1"/>
  <c r="A206" i="7" s="1"/>
  <c r="A207" i="7" s="1"/>
  <c r="G201" i="7"/>
  <c r="F201" i="7"/>
  <c r="J201" i="7" s="1"/>
  <c r="C201" i="7"/>
  <c r="B201" i="7"/>
  <c r="G200" i="7"/>
  <c r="F200" i="7"/>
  <c r="J200" i="7" s="1"/>
  <c r="C200" i="7"/>
  <c r="B200" i="7"/>
  <c r="G199" i="7"/>
  <c r="F199" i="7"/>
  <c r="J199" i="7" s="1"/>
  <c r="C199" i="7"/>
  <c r="B199" i="7"/>
  <c r="G198" i="7"/>
  <c r="F198" i="7"/>
  <c r="J198" i="7" s="1"/>
  <c r="C198" i="7"/>
  <c r="B198" i="7"/>
  <c r="A198" i="7"/>
  <c r="A199" i="7" s="1"/>
  <c r="A200" i="7" s="1"/>
  <c r="A201" i="7" s="1"/>
  <c r="G197" i="7"/>
  <c r="F197" i="7"/>
  <c r="J197" i="7" s="1"/>
  <c r="D197" i="7"/>
  <c r="C197" i="7"/>
  <c r="B197" i="7"/>
  <c r="A197" i="7"/>
  <c r="J196" i="7"/>
  <c r="G196" i="7"/>
  <c r="D196" i="7"/>
  <c r="C196" i="7"/>
  <c r="B196" i="7"/>
  <c r="A196" i="7"/>
  <c r="G195" i="7"/>
  <c r="F195" i="7"/>
  <c r="J195" i="7" s="1"/>
  <c r="C195" i="7"/>
  <c r="B195" i="7"/>
  <c r="G194" i="7"/>
  <c r="F194" i="7"/>
  <c r="J194" i="7" s="1"/>
  <c r="C194" i="7"/>
  <c r="B194" i="7"/>
  <c r="G193" i="7"/>
  <c r="F193" i="7"/>
  <c r="J193" i="7" s="1"/>
  <c r="C193" i="7"/>
  <c r="B193" i="7"/>
  <c r="G192" i="7"/>
  <c r="F192" i="7"/>
  <c r="J192" i="7" s="1"/>
  <c r="C192" i="7"/>
  <c r="B192" i="7"/>
  <c r="G191" i="7"/>
  <c r="F191" i="7"/>
  <c r="J191" i="7" s="1"/>
  <c r="D191" i="7"/>
  <c r="C191" i="7"/>
  <c r="B191" i="7"/>
  <c r="J190" i="7"/>
  <c r="G190" i="7"/>
  <c r="D190" i="7"/>
  <c r="C190" i="7"/>
  <c r="B190" i="7"/>
  <c r="A190" i="7"/>
  <c r="A191" i="7" s="1"/>
  <c r="A192" i="7" s="1"/>
  <c r="A193" i="7" s="1"/>
  <c r="A194" i="7" s="1"/>
  <c r="A195" i="7" s="1"/>
  <c r="G189" i="7"/>
  <c r="F189" i="7"/>
  <c r="J189" i="7" s="1"/>
  <c r="C189" i="7"/>
  <c r="B189" i="7"/>
  <c r="G188" i="7"/>
  <c r="F188" i="7"/>
  <c r="J188" i="7" s="1"/>
  <c r="C188" i="7"/>
  <c r="B188" i="7"/>
  <c r="G187" i="7"/>
  <c r="F187" i="7"/>
  <c r="J187" i="7" s="1"/>
  <c r="C187" i="7"/>
  <c r="B187" i="7"/>
  <c r="G186" i="7"/>
  <c r="F186" i="7"/>
  <c r="J186" i="7" s="1"/>
  <c r="C186" i="7"/>
  <c r="B186" i="7"/>
  <c r="G185" i="7"/>
  <c r="F185" i="7"/>
  <c r="J185" i="7" s="1"/>
  <c r="D185" i="7"/>
  <c r="C185" i="7"/>
  <c r="B185" i="7"/>
  <c r="A185" i="7"/>
  <c r="A186" i="7" s="1"/>
  <c r="A187" i="7" s="1"/>
  <c r="A188" i="7" s="1"/>
  <c r="A189" i="7" s="1"/>
  <c r="J184" i="7"/>
  <c r="G184" i="7"/>
  <c r="D184" i="7"/>
  <c r="C184" i="7"/>
  <c r="B184" i="7"/>
  <c r="A184" i="7"/>
  <c r="G183" i="7"/>
  <c r="C183" i="7"/>
  <c r="B183" i="7"/>
  <c r="G182" i="7"/>
  <c r="C182" i="7"/>
  <c r="B182" i="7"/>
  <c r="G181" i="7"/>
  <c r="C181" i="7"/>
  <c r="B181" i="7"/>
  <c r="G180" i="7"/>
  <c r="C180" i="7"/>
  <c r="B180" i="7"/>
  <c r="G179" i="7"/>
  <c r="C179" i="7"/>
  <c r="B179" i="7"/>
  <c r="J178" i="7"/>
  <c r="G178" i="7"/>
  <c r="F178" i="7"/>
  <c r="F179" i="7" s="1"/>
  <c r="C178" i="7"/>
  <c r="B178" i="7"/>
  <c r="G177" i="7"/>
  <c r="C177" i="7"/>
  <c r="B177" i="7"/>
  <c r="G176" i="7"/>
  <c r="C176" i="7"/>
  <c r="B176" i="7"/>
  <c r="G175" i="7"/>
  <c r="C175" i="7"/>
  <c r="B175" i="7"/>
  <c r="G174" i="7"/>
  <c r="C174" i="7"/>
  <c r="B174" i="7"/>
  <c r="G173" i="7"/>
  <c r="C173" i="7"/>
  <c r="B173" i="7"/>
  <c r="G172" i="7"/>
  <c r="F172" i="7"/>
  <c r="J172" i="7" s="1"/>
  <c r="C172" i="7"/>
  <c r="B172" i="7"/>
  <c r="G171" i="7"/>
  <c r="B171" i="7"/>
  <c r="G170" i="7"/>
  <c r="C170" i="7"/>
  <c r="B170" i="7"/>
  <c r="G169" i="7"/>
  <c r="C169" i="7"/>
  <c r="B169" i="7"/>
  <c r="G168" i="7"/>
  <c r="C168" i="7"/>
  <c r="B168" i="7"/>
  <c r="G167" i="7"/>
  <c r="C167" i="7"/>
  <c r="B167" i="7"/>
  <c r="G166" i="7"/>
  <c r="F166" i="7"/>
  <c r="F167" i="7" s="1"/>
  <c r="C166" i="7"/>
  <c r="B166" i="7"/>
  <c r="G165" i="7"/>
  <c r="C165" i="7"/>
  <c r="B165" i="7"/>
  <c r="G164" i="7"/>
  <c r="D164" i="7"/>
  <c r="C164" i="7"/>
  <c r="B164" i="7"/>
  <c r="G163" i="7"/>
  <c r="D163" i="7"/>
  <c r="C163" i="7"/>
  <c r="B163" i="7"/>
  <c r="G162" i="7"/>
  <c r="D162" i="7"/>
  <c r="C162" i="7"/>
  <c r="B162" i="7"/>
  <c r="G161" i="7"/>
  <c r="D161" i="7"/>
  <c r="C161" i="7"/>
  <c r="B161" i="7"/>
  <c r="G160" i="7"/>
  <c r="F160" i="7"/>
  <c r="F161" i="7" s="1"/>
  <c r="C160" i="7"/>
  <c r="B160" i="7"/>
  <c r="G159" i="7"/>
  <c r="F159" i="7"/>
  <c r="J159" i="7" s="1"/>
  <c r="C159" i="7"/>
  <c r="B159" i="7"/>
  <c r="G158" i="7"/>
  <c r="C158" i="7"/>
  <c r="B158" i="7"/>
  <c r="G157" i="7"/>
  <c r="C157" i="7"/>
  <c r="B157" i="7"/>
  <c r="G156" i="7"/>
  <c r="C156" i="7"/>
  <c r="B156" i="7"/>
  <c r="G155" i="7"/>
  <c r="C155" i="7"/>
  <c r="B155" i="7"/>
  <c r="G154" i="7"/>
  <c r="C154" i="7"/>
  <c r="B154" i="7"/>
  <c r="G153" i="7"/>
  <c r="C153" i="7"/>
  <c r="B153" i="7"/>
  <c r="G152" i="7"/>
  <c r="F152" i="7"/>
  <c r="F153" i="7" s="1"/>
  <c r="B152" i="7"/>
  <c r="G151" i="7"/>
  <c r="C151" i="7"/>
  <c r="B151" i="7"/>
  <c r="G150" i="7"/>
  <c r="D150" i="7"/>
  <c r="C150" i="7"/>
  <c r="B150" i="7"/>
  <c r="G149" i="7"/>
  <c r="D149" i="7"/>
  <c r="C149" i="7"/>
  <c r="B149" i="7"/>
  <c r="G148" i="7"/>
  <c r="D148" i="7"/>
  <c r="C148" i="7"/>
  <c r="B148" i="7"/>
  <c r="G147" i="7"/>
  <c r="D147" i="7"/>
  <c r="C147" i="7"/>
  <c r="B147" i="7"/>
  <c r="G146" i="7"/>
  <c r="D146" i="7"/>
  <c r="C146" i="7"/>
  <c r="B146" i="7"/>
  <c r="J145" i="7"/>
  <c r="G145" i="7"/>
  <c r="F145" i="7"/>
  <c r="C145" i="7"/>
  <c r="B145" i="7"/>
  <c r="G144" i="7"/>
  <c r="D144" i="7"/>
  <c r="C144" i="7"/>
  <c r="B144" i="7"/>
  <c r="G143" i="7"/>
  <c r="D143" i="7"/>
  <c r="C143" i="7"/>
  <c r="B143" i="7"/>
  <c r="G142" i="7"/>
  <c r="D142" i="7"/>
  <c r="C142" i="7"/>
  <c r="B142" i="7"/>
  <c r="G141" i="7"/>
  <c r="D141" i="7"/>
  <c r="C141" i="7"/>
  <c r="B141" i="7"/>
  <c r="G140" i="7"/>
  <c r="F140" i="7"/>
  <c r="F141" i="7" s="1"/>
  <c r="D140" i="7"/>
  <c r="C140" i="7"/>
  <c r="B140" i="7"/>
  <c r="G139" i="7"/>
  <c r="F139" i="7"/>
  <c r="J139" i="7" s="1"/>
  <c r="D139" i="7"/>
  <c r="C139" i="7"/>
  <c r="B139" i="7"/>
  <c r="G138" i="7"/>
  <c r="D138" i="7"/>
  <c r="C138" i="7"/>
  <c r="B138" i="7"/>
  <c r="G137" i="7"/>
  <c r="D137" i="7"/>
  <c r="C137" i="7"/>
  <c r="B137" i="7"/>
  <c r="G136" i="7"/>
  <c r="D136" i="7"/>
  <c r="C136" i="7"/>
  <c r="B136" i="7"/>
  <c r="G135" i="7"/>
  <c r="D135" i="7"/>
  <c r="C135" i="7"/>
  <c r="B135" i="7"/>
  <c r="G134" i="7"/>
  <c r="D134" i="7"/>
  <c r="C134" i="7"/>
  <c r="B134" i="7"/>
  <c r="J133" i="7"/>
  <c r="G133" i="7"/>
  <c r="F134" i="7" s="1"/>
  <c r="D133" i="7"/>
  <c r="C133" i="7"/>
  <c r="B133" i="7"/>
  <c r="A133" i="7"/>
  <c r="A134" i="7" s="1"/>
  <c r="A135" i="7" s="1"/>
  <c r="G132" i="7"/>
  <c r="C132" i="7"/>
  <c r="B132" i="7"/>
  <c r="G131" i="7"/>
  <c r="F131" i="7"/>
  <c r="F132" i="7" s="1"/>
  <c r="J132" i="7" s="1"/>
  <c r="C131" i="7"/>
  <c r="B131" i="7"/>
  <c r="G130" i="7"/>
  <c r="C130" i="7"/>
  <c r="B130" i="7"/>
  <c r="G129" i="7"/>
  <c r="F129" i="7"/>
  <c r="J129" i="7" s="1"/>
  <c r="C129" i="7"/>
  <c r="B129" i="7"/>
  <c r="G128" i="7"/>
  <c r="C128" i="7"/>
  <c r="B128" i="7"/>
  <c r="G127" i="7"/>
  <c r="F127" i="7"/>
  <c r="F128" i="7" s="1"/>
  <c r="J128" i="7" s="1"/>
  <c r="C127" i="7"/>
  <c r="B127" i="7"/>
  <c r="G126" i="7"/>
  <c r="D126" i="7"/>
  <c r="C126" i="7"/>
  <c r="B126" i="7"/>
  <c r="J125" i="7"/>
  <c r="G125" i="7"/>
  <c r="F125" i="7"/>
  <c r="F126" i="7" s="1"/>
  <c r="J126" i="7" s="1"/>
  <c r="C125" i="7"/>
  <c r="B125" i="7"/>
  <c r="G124" i="7"/>
  <c r="C124" i="7"/>
  <c r="B124" i="7"/>
  <c r="J123" i="7"/>
  <c r="G123" i="7"/>
  <c r="F123" i="7"/>
  <c r="F124" i="7" s="1"/>
  <c r="J124" i="7" s="1"/>
  <c r="C123" i="7"/>
  <c r="B123" i="7"/>
  <c r="G122" i="7"/>
  <c r="F122" i="7"/>
  <c r="J122" i="7" s="1"/>
  <c r="C122" i="7"/>
  <c r="B122" i="7"/>
  <c r="J121" i="7"/>
  <c r="G121" i="7"/>
  <c r="F121" i="7"/>
  <c r="C121" i="7"/>
  <c r="B121" i="7"/>
  <c r="G120" i="7"/>
  <c r="D120" i="7"/>
  <c r="C120" i="7"/>
  <c r="B120" i="7"/>
  <c r="G119" i="7"/>
  <c r="F119" i="7"/>
  <c r="J119" i="7" s="1"/>
  <c r="D119" i="7"/>
  <c r="C119" i="7"/>
  <c r="B119" i="7"/>
  <c r="G118" i="7"/>
  <c r="D118" i="7"/>
  <c r="C118" i="7"/>
  <c r="B118" i="7"/>
  <c r="J117" i="7"/>
  <c r="G117" i="7"/>
  <c r="F118" i="7" s="1"/>
  <c r="J118" i="7" s="1"/>
  <c r="D117" i="7"/>
  <c r="C117" i="7"/>
  <c r="B117" i="7"/>
  <c r="A117" i="7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G116" i="7"/>
  <c r="F116" i="7"/>
  <c r="J116" i="7" s="1"/>
  <c r="C116" i="7"/>
  <c r="B116" i="7"/>
  <c r="G115" i="7"/>
  <c r="F115" i="7"/>
  <c r="J115" i="7" s="1"/>
  <c r="C115" i="7"/>
  <c r="B115" i="7"/>
  <c r="J114" i="7"/>
  <c r="G114" i="7"/>
  <c r="F114" i="7"/>
  <c r="C114" i="7"/>
  <c r="B114" i="7"/>
  <c r="G113" i="7"/>
  <c r="F113" i="7"/>
  <c r="J113" i="7" s="1"/>
  <c r="C113" i="7"/>
  <c r="B113" i="7"/>
  <c r="A113" i="7"/>
  <c r="A114" i="7" s="1"/>
  <c r="A115" i="7" s="1"/>
  <c r="A116" i="7" s="1"/>
  <c r="G112" i="7"/>
  <c r="F112" i="7"/>
  <c r="J112" i="7" s="1"/>
  <c r="D112" i="7"/>
  <c r="C112" i="7"/>
  <c r="B112" i="7"/>
  <c r="A112" i="7"/>
  <c r="J111" i="7"/>
  <c r="G111" i="7"/>
  <c r="D111" i="7"/>
  <c r="C111" i="7"/>
  <c r="B111" i="7"/>
  <c r="A111" i="7"/>
  <c r="G110" i="7"/>
  <c r="F110" i="7"/>
  <c r="J110" i="7" s="1"/>
  <c r="C110" i="7"/>
  <c r="B110" i="7"/>
  <c r="G109" i="7"/>
  <c r="F109" i="7"/>
  <c r="J109" i="7" s="1"/>
  <c r="C109" i="7"/>
  <c r="B109" i="7"/>
  <c r="G108" i="7"/>
  <c r="F108" i="7"/>
  <c r="J108" i="7" s="1"/>
  <c r="C108" i="7"/>
  <c r="B108" i="7"/>
  <c r="G107" i="7"/>
  <c r="F107" i="7"/>
  <c r="J107" i="7" s="1"/>
  <c r="C107" i="7"/>
  <c r="B107" i="7"/>
  <c r="G106" i="7"/>
  <c r="F106" i="7"/>
  <c r="J106" i="7" s="1"/>
  <c r="D106" i="7"/>
  <c r="C106" i="7"/>
  <c r="B106" i="7"/>
  <c r="A106" i="7"/>
  <c r="A107" i="7" s="1"/>
  <c r="A108" i="7" s="1"/>
  <c r="A109" i="7" s="1"/>
  <c r="A110" i="7" s="1"/>
  <c r="J105" i="7"/>
  <c r="G105" i="7"/>
  <c r="D105" i="7"/>
  <c r="C105" i="7"/>
  <c r="B105" i="7"/>
  <c r="A105" i="7"/>
  <c r="G104" i="7"/>
  <c r="F104" i="7"/>
  <c r="J104" i="7" s="1"/>
  <c r="C104" i="7"/>
  <c r="B104" i="7"/>
  <c r="J103" i="7"/>
  <c r="G103" i="7"/>
  <c r="F103" i="7"/>
  <c r="C103" i="7"/>
  <c r="B103" i="7"/>
  <c r="G102" i="7"/>
  <c r="F102" i="7"/>
  <c r="J102" i="7" s="1"/>
  <c r="C102" i="7"/>
  <c r="B102" i="7"/>
  <c r="G101" i="7"/>
  <c r="F101" i="7"/>
  <c r="J101" i="7" s="1"/>
  <c r="C101" i="7"/>
  <c r="B101" i="7"/>
  <c r="G100" i="7"/>
  <c r="F100" i="7"/>
  <c r="J100" i="7" s="1"/>
  <c r="D100" i="7"/>
  <c r="C100" i="7"/>
  <c r="B100" i="7"/>
  <c r="J99" i="7"/>
  <c r="G99" i="7"/>
  <c r="D99" i="7"/>
  <c r="C99" i="7"/>
  <c r="B99" i="7"/>
  <c r="A99" i="7"/>
  <c r="A100" i="7" s="1"/>
  <c r="A101" i="7" s="1"/>
  <c r="A102" i="7" s="1"/>
  <c r="A103" i="7" s="1"/>
  <c r="A104" i="7" s="1"/>
  <c r="G98" i="7"/>
  <c r="F98" i="7"/>
  <c r="J98" i="7" s="1"/>
  <c r="C98" i="7"/>
  <c r="B98" i="7"/>
  <c r="G97" i="7"/>
  <c r="F97" i="7"/>
  <c r="J97" i="7" s="1"/>
  <c r="C97" i="7"/>
  <c r="B97" i="7"/>
  <c r="G96" i="7"/>
  <c r="F96" i="7"/>
  <c r="J96" i="7" s="1"/>
  <c r="C96" i="7"/>
  <c r="B96" i="7"/>
  <c r="G95" i="7"/>
  <c r="F95" i="7"/>
  <c r="J95" i="7" s="1"/>
  <c r="C95" i="7"/>
  <c r="B95" i="7"/>
  <c r="G94" i="7"/>
  <c r="F94" i="7"/>
  <c r="J94" i="7" s="1"/>
  <c r="D94" i="7"/>
  <c r="C94" i="7"/>
  <c r="B94" i="7"/>
  <c r="A94" i="7"/>
  <c r="A95" i="7" s="1"/>
  <c r="A96" i="7" s="1"/>
  <c r="A97" i="7" s="1"/>
  <c r="A98" i="7" s="1"/>
  <c r="J93" i="7"/>
  <c r="G93" i="7"/>
  <c r="D93" i="7"/>
  <c r="C93" i="7"/>
  <c r="B93" i="7"/>
  <c r="A93" i="7"/>
  <c r="G92" i="7"/>
  <c r="C92" i="7"/>
  <c r="B92" i="7"/>
  <c r="G91" i="7"/>
  <c r="C91" i="7"/>
  <c r="B91" i="7"/>
  <c r="G90" i="7"/>
  <c r="C90" i="7"/>
  <c r="B90" i="7"/>
  <c r="G89" i="7"/>
  <c r="C89" i="7"/>
  <c r="B89" i="7"/>
  <c r="G88" i="7"/>
  <c r="C88" i="7"/>
  <c r="B88" i="7"/>
  <c r="J87" i="7"/>
  <c r="G87" i="7"/>
  <c r="F87" i="7"/>
  <c r="F88" i="7" s="1"/>
  <c r="C87" i="7"/>
  <c r="B87" i="7"/>
  <c r="G86" i="7"/>
  <c r="C86" i="7"/>
  <c r="B86" i="7"/>
  <c r="G85" i="7"/>
  <c r="C85" i="7"/>
  <c r="B85" i="7"/>
  <c r="G84" i="7"/>
  <c r="C84" i="7"/>
  <c r="B84" i="7"/>
  <c r="G83" i="7"/>
  <c r="C83" i="7"/>
  <c r="B83" i="7"/>
  <c r="G82" i="7"/>
  <c r="C82" i="7"/>
  <c r="B82" i="7"/>
  <c r="G81" i="7"/>
  <c r="F81" i="7"/>
  <c r="J81" i="7" s="1"/>
  <c r="C81" i="7"/>
  <c r="B81" i="7"/>
  <c r="G80" i="7"/>
  <c r="B80" i="7"/>
  <c r="G79" i="7"/>
  <c r="C79" i="7"/>
  <c r="B79" i="7"/>
  <c r="G78" i="7"/>
  <c r="C78" i="7"/>
  <c r="B78" i="7"/>
  <c r="G77" i="7"/>
  <c r="C77" i="7"/>
  <c r="B77" i="7"/>
  <c r="G76" i="7"/>
  <c r="C76" i="7"/>
  <c r="B76" i="7"/>
  <c r="G75" i="7"/>
  <c r="F75" i="7"/>
  <c r="F76" i="7" s="1"/>
  <c r="C75" i="7"/>
  <c r="B75" i="7"/>
  <c r="G74" i="7"/>
  <c r="C74" i="7"/>
  <c r="B74" i="7"/>
  <c r="G73" i="7"/>
  <c r="D73" i="7"/>
  <c r="C73" i="7"/>
  <c r="B73" i="7"/>
  <c r="G72" i="7"/>
  <c r="D72" i="7"/>
  <c r="C72" i="7"/>
  <c r="B72" i="7"/>
  <c r="G71" i="7"/>
  <c r="D71" i="7"/>
  <c r="C71" i="7"/>
  <c r="B71" i="7"/>
  <c r="G70" i="7"/>
  <c r="D70" i="7"/>
  <c r="C70" i="7"/>
  <c r="B70" i="7"/>
  <c r="G69" i="7"/>
  <c r="F69" i="7"/>
  <c r="F70" i="7" s="1"/>
  <c r="C69" i="7"/>
  <c r="B69" i="7"/>
  <c r="G68" i="7"/>
  <c r="F68" i="7"/>
  <c r="J68" i="7" s="1"/>
  <c r="C68" i="7"/>
  <c r="B68" i="7"/>
  <c r="G67" i="7"/>
  <c r="C67" i="7"/>
  <c r="B67" i="7"/>
  <c r="G66" i="7"/>
  <c r="C66" i="7"/>
  <c r="B66" i="7"/>
  <c r="G65" i="7"/>
  <c r="C65" i="7"/>
  <c r="B65" i="7"/>
  <c r="G64" i="7"/>
  <c r="C64" i="7"/>
  <c r="B64" i="7"/>
  <c r="G63" i="7"/>
  <c r="C63" i="7"/>
  <c r="B63" i="7"/>
  <c r="G62" i="7"/>
  <c r="C62" i="7"/>
  <c r="B62" i="7"/>
  <c r="G61" i="7"/>
  <c r="F61" i="7"/>
  <c r="F62" i="7" s="1"/>
  <c r="B61" i="7"/>
  <c r="G60" i="7"/>
  <c r="C60" i="7"/>
  <c r="B60" i="7"/>
  <c r="G59" i="7"/>
  <c r="D59" i="7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54" i="7"/>
  <c r="F54" i="7"/>
  <c r="F55" i="7" s="1"/>
  <c r="C54" i="7"/>
  <c r="B54" i="7"/>
  <c r="G53" i="7"/>
  <c r="D53" i="7"/>
  <c r="C53" i="7"/>
  <c r="B53" i="7"/>
  <c r="G52" i="7"/>
  <c r="D52" i="7"/>
  <c r="C52" i="7"/>
  <c r="B52" i="7"/>
  <c r="G51" i="7"/>
  <c r="D51" i="7"/>
  <c r="C51" i="7"/>
  <c r="B51" i="7"/>
  <c r="G50" i="7"/>
  <c r="D50" i="7"/>
  <c r="C50" i="7"/>
  <c r="B50" i="7"/>
  <c r="G49" i="7"/>
  <c r="D49" i="7"/>
  <c r="C49" i="7"/>
  <c r="B49" i="7"/>
  <c r="G48" i="7"/>
  <c r="F48" i="7"/>
  <c r="J48" i="7" s="1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D44" i="7"/>
  <c r="C44" i="7"/>
  <c r="B44" i="7"/>
  <c r="G43" i="7"/>
  <c r="D43" i="7"/>
  <c r="C43" i="7"/>
  <c r="B43" i="7"/>
  <c r="J42" i="7"/>
  <c r="G42" i="7"/>
  <c r="F43" i="7" s="1"/>
  <c r="D42" i="7"/>
  <c r="C42" i="7"/>
  <c r="B42" i="7"/>
  <c r="A42" i="7"/>
  <c r="A43" i="7" s="1"/>
  <c r="A44" i="7" s="1"/>
  <c r="G41" i="7"/>
  <c r="C41" i="7"/>
  <c r="B41" i="7"/>
  <c r="G40" i="7"/>
  <c r="F40" i="7"/>
  <c r="F41" i="7" s="1"/>
  <c r="J41" i="7" s="1"/>
  <c r="C40" i="7"/>
  <c r="B40" i="7"/>
  <c r="G39" i="7"/>
  <c r="C39" i="7"/>
  <c r="B39" i="7"/>
  <c r="G38" i="7"/>
  <c r="F38" i="7"/>
  <c r="J38" i="7" s="1"/>
  <c r="C38" i="7"/>
  <c r="B38" i="7"/>
  <c r="G37" i="7"/>
  <c r="C37" i="7"/>
  <c r="B37" i="7"/>
  <c r="G36" i="7"/>
  <c r="F36" i="7"/>
  <c r="F37" i="7" s="1"/>
  <c r="J37" i="7" s="1"/>
  <c r="C36" i="7"/>
  <c r="B36" i="7"/>
  <c r="G35" i="7"/>
  <c r="D35" i="7"/>
  <c r="C35" i="7"/>
  <c r="B35" i="7"/>
  <c r="J34" i="7"/>
  <c r="G34" i="7"/>
  <c r="F34" i="7"/>
  <c r="F35" i="7" s="1"/>
  <c r="J35" i="7" s="1"/>
  <c r="C34" i="7"/>
  <c r="B34" i="7"/>
  <c r="G33" i="7"/>
  <c r="F33" i="7"/>
  <c r="J33" i="7" s="1"/>
  <c r="C33" i="7"/>
  <c r="B33" i="7"/>
  <c r="J32" i="7"/>
  <c r="G32" i="7"/>
  <c r="F32" i="7"/>
  <c r="C32" i="7"/>
  <c r="B32" i="7"/>
  <c r="G31" i="7"/>
  <c r="F31" i="7"/>
  <c r="J31" i="7" s="1"/>
  <c r="C31" i="7"/>
  <c r="B31" i="7"/>
  <c r="J30" i="7"/>
  <c r="G30" i="7"/>
  <c r="F30" i="7"/>
  <c r="C30" i="7"/>
  <c r="B30" i="7"/>
  <c r="G29" i="7"/>
  <c r="F29" i="7"/>
  <c r="J29" i="7" s="1"/>
  <c r="D29" i="7"/>
  <c r="C29" i="7"/>
  <c r="B29" i="7"/>
  <c r="G28" i="7"/>
  <c r="F28" i="7"/>
  <c r="J28" i="7" s="1"/>
  <c r="D28" i="7"/>
  <c r="C28" i="7"/>
  <c r="B28" i="7"/>
  <c r="G27" i="7"/>
  <c r="D27" i="7"/>
  <c r="C27" i="7"/>
  <c r="B27" i="7"/>
  <c r="J26" i="7"/>
  <c r="G26" i="7"/>
  <c r="F27" i="7" s="1"/>
  <c r="J27" i="7" s="1"/>
  <c r="D26" i="7"/>
  <c r="C26" i="7"/>
  <c r="B26" i="7"/>
  <c r="A26" i="7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G25" i="7"/>
  <c r="F25" i="7"/>
  <c r="J25" i="7" s="1"/>
  <c r="C25" i="7"/>
  <c r="B25" i="7"/>
  <c r="G24" i="7"/>
  <c r="F24" i="7"/>
  <c r="J24" i="7" s="1"/>
  <c r="C24" i="7"/>
  <c r="B24" i="7"/>
  <c r="G23" i="7"/>
  <c r="F23" i="7"/>
  <c r="J23" i="7" s="1"/>
  <c r="C23" i="7"/>
  <c r="B23" i="7"/>
  <c r="G22" i="7"/>
  <c r="F22" i="7"/>
  <c r="J22" i="7" s="1"/>
  <c r="C22" i="7"/>
  <c r="B22" i="7"/>
  <c r="A22" i="7"/>
  <c r="A23" i="7" s="1"/>
  <c r="A24" i="7" s="1"/>
  <c r="A25" i="7" s="1"/>
  <c r="G21" i="7"/>
  <c r="F21" i="7"/>
  <c r="J21" i="7" s="1"/>
  <c r="D21" i="7"/>
  <c r="C21" i="7"/>
  <c r="B21" i="7"/>
  <c r="A21" i="7"/>
  <c r="J20" i="7"/>
  <c r="G20" i="7"/>
  <c r="D20" i="7"/>
  <c r="C20" i="7"/>
  <c r="B20" i="7"/>
  <c r="A20" i="7"/>
  <c r="G19" i="7"/>
  <c r="F19" i="7"/>
  <c r="J19" i="7" s="1"/>
  <c r="C19" i="7"/>
  <c r="B19" i="7"/>
  <c r="G18" i="7"/>
  <c r="F18" i="7"/>
  <c r="J18" i="7" s="1"/>
  <c r="C18" i="7"/>
  <c r="B18" i="7"/>
  <c r="G17" i="7"/>
  <c r="F17" i="7"/>
  <c r="J17" i="7" s="1"/>
  <c r="C17" i="7"/>
  <c r="B17" i="7"/>
  <c r="G16" i="7"/>
  <c r="F16" i="7"/>
  <c r="J16" i="7" s="1"/>
  <c r="C16" i="7"/>
  <c r="B16" i="7"/>
  <c r="A16" i="7"/>
  <c r="A17" i="7" s="1"/>
  <c r="A18" i="7" s="1"/>
  <c r="A19" i="7" s="1"/>
  <c r="G15" i="7"/>
  <c r="F15" i="7"/>
  <c r="J15" i="7" s="1"/>
  <c r="D15" i="7"/>
  <c r="C15" i="7"/>
  <c r="B15" i="7"/>
  <c r="A15" i="7"/>
  <c r="J14" i="7"/>
  <c r="G14" i="7"/>
  <c r="D14" i="7"/>
  <c r="C14" i="7"/>
  <c r="B14" i="7"/>
  <c r="A14" i="7"/>
  <c r="G13" i="7"/>
  <c r="F13" i="7"/>
  <c r="J13" i="7" s="1"/>
  <c r="C13" i="7"/>
  <c r="B13" i="7"/>
  <c r="G12" i="7"/>
  <c r="F12" i="7"/>
  <c r="J12" i="7" s="1"/>
  <c r="C12" i="7"/>
  <c r="B12" i="7"/>
  <c r="G11" i="7"/>
  <c r="F11" i="7"/>
  <c r="J11" i="7" s="1"/>
  <c r="C11" i="7"/>
  <c r="B11" i="7"/>
  <c r="G10" i="7"/>
  <c r="F10" i="7"/>
  <c r="J10" i="7" s="1"/>
  <c r="C10" i="7"/>
  <c r="B10" i="7"/>
  <c r="G9" i="7"/>
  <c r="F9" i="7"/>
  <c r="J9" i="7" s="1"/>
  <c r="D9" i="7"/>
  <c r="C9" i="7"/>
  <c r="B9" i="7"/>
  <c r="A9" i="7"/>
  <c r="A10" i="7" s="1"/>
  <c r="A11" i="7" s="1"/>
  <c r="A12" i="7" s="1"/>
  <c r="A13" i="7" s="1"/>
  <c r="J8" i="7"/>
  <c r="G8" i="7"/>
  <c r="D8" i="7"/>
  <c r="C8" i="7"/>
  <c r="B8" i="7"/>
  <c r="A8" i="7"/>
  <c r="G7" i="7"/>
  <c r="F7" i="7"/>
  <c r="J7" i="7" s="1"/>
  <c r="C7" i="7"/>
  <c r="B7" i="7"/>
  <c r="G6" i="7"/>
  <c r="F6" i="7"/>
  <c r="J6" i="7" s="1"/>
  <c r="C6" i="7"/>
  <c r="B6" i="7"/>
  <c r="G5" i="7"/>
  <c r="F5" i="7"/>
  <c r="J5" i="7" s="1"/>
  <c r="C5" i="7"/>
  <c r="B5" i="7"/>
  <c r="G4" i="7"/>
  <c r="F4" i="7"/>
  <c r="J4" i="7" s="1"/>
  <c r="C4" i="7"/>
  <c r="B4" i="7"/>
  <c r="G3" i="7"/>
  <c r="F3" i="7"/>
  <c r="J3" i="7" s="1"/>
  <c r="D3" i="7"/>
  <c r="C3" i="7"/>
  <c r="B3" i="7"/>
  <c r="A3" i="7"/>
  <c r="A4" i="7" s="1"/>
  <c r="A5" i="7" s="1"/>
  <c r="A6" i="7" s="1"/>
  <c r="A7" i="7" s="1"/>
  <c r="J2" i="7"/>
  <c r="G2" i="7"/>
  <c r="D2" i="7"/>
  <c r="C2" i="7"/>
  <c r="B2" i="7"/>
  <c r="K3" i="7"/>
  <c r="K8" i="7"/>
  <c r="K14" i="7"/>
  <c r="K20" i="7"/>
  <c r="K26" i="7"/>
  <c r="K42" i="7"/>
  <c r="K93" i="7"/>
  <c r="K99" i="7"/>
  <c r="K105" i="7"/>
  <c r="K111" i="7"/>
  <c r="K117" i="7"/>
  <c r="K133" i="7"/>
  <c r="K184" i="7"/>
  <c r="K190" i="7"/>
  <c r="K196" i="7"/>
  <c r="K202" i="7"/>
  <c r="K208" i="7"/>
  <c r="K224" i="7"/>
  <c r="K275" i="7"/>
  <c r="K281" i="7"/>
  <c r="K287" i="7"/>
  <c r="K293" i="7"/>
  <c r="K299" i="7"/>
  <c r="K305" i="7"/>
  <c r="K311" i="7"/>
  <c r="K327" i="7"/>
  <c r="K378" i="7"/>
  <c r="K384" i="7"/>
  <c r="K390" i="7"/>
  <c r="K396" i="7"/>
  <c r="K402" i="7"/>
  <c r="K418" i="7"/>
  <c r="K469" i="7"/>
  <c r="K475" i="7"/>
  <c r="K481" i="7"/>
  <c r="K487" i="7"/>
  <c r="K493" i="7"/>
  <c r="K509" i="7"/>
  <c r="K560" i="7"/>
  <c r="K566" i="7"/>
  <c r="K572" i="7"/>
  <c r="K578" i="7"/>
  <c r="K584" i="7"/>
  <c r="K600" i="7"/>
  <c r="K651" i="7"/>
  <c r="K2" i="7"/>
  <c r="K575" i="7"/>
  <c r="K499" i="7"/>
  <c r="K476" i="7"/>
  <c r="K472" i="7"/>
  <c r="K437" i="7"/>
  <c r="K386" i="7"/>
  <c r="K290" i="7"/>
  <c r="K257" i="7"/>
  <c r="K250" i="7"/>
  <c r="K193" i="7"/>
  <c r="K178" i="7"/>
  <c r="J658" i="7" l="1"/>
  <c r="F659" i="7"/>
  <c r="J657" i="7"/>
  <c r="F685" i="7"/>
  <c r="F686" i="7" s="1"/>
  <c r="J686" i="7" s="1"/>
  <c r="J663" i="7"/>
  <c r="F678" i="7"/>
  <c r="F679" i="7" s="1"/>
  <c r="A655" i="7"/>
  <c r="A654" i="7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J653" i="7"/>
  <c r="F654" i="7"/>
  <c r="J672" i="7"/>
  <c r="F673" i="7"/>
  <c r="J664" i="7"/>
  <c r="F665" i="7"/>
  <c r="J697" i="7"/>
  <c r="F698" i="7"/>
  <c r="J652" i="7"/>
  <c r="J671" i="7"/>
  <c r="F691" i="7"/>
  <c r="J696" i="7"/>
  <c r="J639" i="7"/>
  <c r="F602" i="7"/>
  <c r="J601" i="7"/>
  <c r="F629" i="7"/>
  <c r="J628" i="7"/>
  <c r="A604" i="7"/>
  <c r="A603" i="7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F621" i="7"/>
  <c r="J620" i="7"/>
  <c r="F642" i="7"/>
  <c r="J641" i="7"/>
  <c r="J646" i="7"/>
  <c r="F647" i="7"/>
  <c r="F635" i="7"/>
  <c r="J634" i="7"/>
  <c r="F607" i="7"/>
  <c r="F614" i="7"/>
  <c r="J619" i="7"/>
  <c r="J627" i="7"/>
  <c r="J633" i="7"/>
  <c r="J640" i="7"/>
  <c r="F589" i="7"/>
  <c r="J589" i="7" s="1"/>
  <c r="J592" i="7"/>
  <c r="J594" i="7"/>
  <c r="J598" i="7"/>
  <c r="F597" i="7"/>
  <c r="J597" i="7" s="1"/>
  <c r="J590" i="7"/>
  <c r="F587" i="7"/>
  <c r="J587" i="7" s="1"/>
  <c r="F549" i="7"/>
  <c r="F550" i="7" s="1"/>
  <c r="F529" i="7"/>
  <c r="F544" i="7"/>
  <c r="J543" i="7"/>
  <c r="F530" i="7"/>
  <c r="J529" i="7"/>
  <c r="J511" i="7"/>
  <c r="F512" i="7"/>
  <c r="F551" i="7"/>
  <c r="J550" i="7"/>
  <c r="J555" i="7"/>
  <c r="F556" i="7"/>
  <c r="J510" i="7"/>
  <c r="A512" i="7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F516" i="7"/>
  <c r="F523" i="7"/>
  <c r="F536" i="7"/>
  <c r="J549" i="7"/>
  <c r="J499" i="7"/>
  <c r="J503" i="7"/>
  <c r="J507" i="7"/>
  <c r="F498" i="7"/>
  <c r="J498" i="7" s="1"/>
  <c r="J497" i="7"/>
  <c r="F502" i="7"/>
  <c r="J502" i="7" s="1"/>
  <c r="F506" i="7"/>
  <c r="J506" i="7" s="1"/>
  <c r="F496" i="7"/>
  <c r="J496" i="7" s="1"/>
  <c r="K490" i="7"/>
  <c r="K485" i="7"/>
  <c r="J463" i="7"/>
  <c r="J424" i="7"/>
  <c r="J430" i="7"/>
  <c r="F438" i="7"/>
  <c r="J444" i="7"/>
  <c r="F453" i="7"/>
  <c r="J452" i="7"/>
  <c r="F426" i="7"/>
  <c r="J425" i="7"/>
  <c r="J431" i="7"/>
  <c r="F432" i="7"/>
  <c r="A422" i="7"/>
  <c r="A421" i="7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J420" i="7"/>
  <c r="F421" i="7"/>
  <c r="F446" i="7"/>
  <c r="J445" i="7"/>
  <c r="J464" i="7"/>
  <c r="F465" i="7"/>
  <c r="F439" i="7"/>
  <c r="J438" i="7"/>
  <c r="J419" i="7"/>
  <c r="F458" i="7"/>
  <c r="K406" i="7"/>
  <c r="J408" i="7"/>
  <c r="J416" i="7"/>
  <c r="F407" i="7"/>
  <c r="J407" i="7" s="1"/>
  <c r="F411" i="7"/>
  <c r="J411" i="7" s="1"/>
  <c r="F415" i="7"/>
  <c r="J415" i="7" s="1"/>
  <c r="F405" i="7"/>
  <c r="J405" i="7" s="1"/>
  <c r="J339" i="7"/>
  <c r="J366" i="7"/>
  <c r="J353" i="7"/>
  <c r="F329" i="7"/>
  <c r="J329" i="7" s="1"/>
  <c r="F361" i="7"/>
  <c r="J361" i="7" s="1"/>
  <c r="A331" i="7"/>
  <c r="A330" i="7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F355" i="7"/>
  <c r="J354" i="7"/>
  <c r="F348" i="7"/>
  <c r="J347" i="7"/>
  <c r="F369" i="7"/>
  <c r="J368" i="7"/>
  <c r="J373" i="7"/>
  <c r="F374" i="7"/>
  <c r="F362" i="7"/>
  <c r="F334" i="7"/>
  <c r="F341" i="7"/>
  <c r="J367" i="7"/>
  <c r="F330" i="7"/>
  <c r="F322" i="7"/>
  <c r="J322" i="7" s="1"/>
  <c r="J325" i="7"/>
  <c r="F320" i="7"/>
  <c r="J320" i="7" s="1"/>
  <c r="F324" i="7"/>
  <c r="J324" i="7" s="1"/>
  <c r="F316" i="7"/>
  <c r="J316" i="7" s="1"/>
  <c r="J317" i="7"/>
  <c r="F314" i="7"/>
  <c r="J314" i="7" s="1"/>
  <c r="F264" i="7"/>
  <c r="F227" i="7"/>
  <c r="J227" i="7" s="1"/>
  <c r="F251" i="7"/>
  <c r="F245" i="7"/>
  <c r="J244" i="7"/>
  <c r="F259" i="7"/>
  <c r="J258" i="7"/>
  <c r="A228" i="7"/>
  <c r="A227" i="7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F265" i="7"/>
  <c r="J264" i="7"/>
  <c r="J270" i="7"/>
  <c r="F271" i="7"/>
  <c r="F252" i="7"/>
  <c r="J251" i="7"/>
  <c r="F231" i="7"/>
  <c r="F238" i="7"/>
  <c r="J243" i="7"/>
  <c r="J257" i="7"/>
  <c r="F228" i="7"/>
  <c r="F217" i="7"/>
  <c r="J217" i="7" s="1"/>
  <c r="J222" i="7"/>
  <c r="J214" i="7"/>
  <c r="J218" i="7"/>
  <c r="F213" i="7"/>
  <c r="J213" i="7" s="1"/>
  <c r="F221" i="7"/>
  <c r="J221" i="7" s="1"/>
  <c r="F211" i="7"/>
  <c r="J211" i="7" s="1"/>
  <c r="F146" i="7"/>
  <c r="F142" i="7"/>
  <c r="J141" i="7"/>
  <c r="F135" i="7"/>
  <c r="J134" i="7"/>
  <c r="F168" i="7"/>
  <c r="J167" i="7"/>
  <c r="F162" i="7"/>
  <c r="J161" i="7"/>
  <c r="A137" i="7"/>
  <c r="A136" i="7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F147" i="7"/>
  <c r="J146" i="7"/>
  <c r="J179" i="7"/>
  <c r="F180" i="7"/>
  <c r="F154" i="7"/>
  <c r="J153" i="7"/>
  <c r="F173" i="7"/>
  <c r="J140" i="7"/>
  <c r="J152" i="7"/>
  <c r="J160" i="7"/>
  <c r="J166" i="7"/>
  <c r="F120" i="7"/>
  <c r="J120" i="7" s="1"/>
  <c r="J127" i="7"/>
  <c r="J131" i="7"/>
  <c r="F130" i="7"/>
  <c r="J130" i="7" s="1"/>
  <c r="J54" i="7"/>
  <c r="F82" i="7"/>
  <c r="F83" i="7" s="1"/>
  <c r="F49" i="7"/>
  <c r="F50" i="7" s="1"/>
  <c r="F51" i="7" s="1"/>
  <c r="J76" i="7"/>
  <c r="F77" i="7"/>
  <c r="F44" i="7"/>
  <c r="J43" i="7"/>
  <c r="F71" i="7"/>
  <c r="J70" i="7"/>
  <c r="J50" i="7"/>
  <c r="A46" i="7"/>
  <c r="A45" i="7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J55" i="7"/>
  <c r="F56" i="7"/>
  <c r="J62" i="7"/>
  <c r="F63" i="7"/>
  <c r="F84" i="7"/>
  <c r="J83" i="7"/>
  <c r="J88" i="7"/>
  <c r="F89" i="7"/>
  <c r="J49" i="7"/>
  <c r="J61" i="7"/>
  <c r="J69" i="7"/>
  <c r="J75" i="7"/>
  <c r="J82" i="7"/>
  <c r="J36" i="7"/>
  <c r="J40" i="7"/>
  <c r="F39" i="7"/>
  <c r="J39" i="7" s="1"/>
  <c r="K505" i="7"/>
  <c r="K186" i="7"/>
  <c r="K457" i="7"/>
  <c r="K139" i="7"/>
  <c r="K657" i="7"/>
  <c r="K594" i="7"/>
  <c r="K590" i="7"/>
  <c r="K586" i="7"/>
  <c r="K542" i="7"/>
  <c r="K32" i="7"/>
  <c r="K127" i="7"/>
  <c r="K230" i="7"/>
  <c r="K503" i="7"/>
  <c r="K548" i="7"/>
  <c r="K216" i="7"/>
  <c r="K495" i="7"/>
  <c r="K315" i="7"/>
  <c r="K203" i="7"/>
  <c r="K392" i="7"/>
  <c r="K394" i="7"/>
  <c r="K5" i="7"/>
  <c r="K19" i="7"/>
  <c r="K22" i="7"/>
  <c r="K24" i="7"/>
  <c r="K94" i="7"/>
  <c r="K96" i="7"/>
  <c r="K166" i="7"/>
  <c r="K195" i="7"/>
  <c r="K276" i="7"/>
  <c r="K278" i="7"/>
  <c r="K280" i="7"/>
  <c r="K283" i="7"/>
  <c r="K285" i="7"/>
  <c r="K288" i="7"/>
  <c r="K301" i="7"/>
  <c r="K303" i="7"/>
  <c r="K308" i="7"/>
  <c r="K310" i="7"/>
  <c r="K387" i="7"/>
  <c r="K389" i="7"/>
  <c r="K414" i="7"/>
  <c r="K528" i="7"/>
  <c r="K573" i="7"/>
  <c r="K562" i="7"/>
  <c r="K482" i="7"/>
  <c r="K25" i="7"/>
  <c r="K38" i="7"/>
  <c r="K263" i="7"/>
  <c r="K404" i="7"/>
  <c r="K565" i="7"/>
  <c r="K13" i="7"/>
  <c r="K36" i="7"/>
  <c r="K48" i="7"/>
  <c r="K108" i="7"/>
  <c r="K110" i="7"/>
  <c r="K172" i="7"/>
  <c r="K187" i="7"/>
  <c r="K189" i="7"/>
  <c r="K205" i="7"/>
  <c r="K207" i="7"/>
  <c r="K220" i="7"/>
  <c r="K292" i="7"/>
  <c r="K360" i="7"/>
  <c r="K397" i="7"/>
  <c r="K399" i="7"/>
  <c r="K477" i="7"/>
  <c r="K479" i="7"/>
  <c r="K484" i="7"/>
  <c r="K507" i="7"/>
  <c r="K580" i="7"/>
  <c r="K582" i="7"/>
  <c r="K393" i="7"/>
  <c r="K289" i="7"/>
  <c r="K185" i="7"/>
  <c r="K129" i="7"/>
  <c r="K81" i="7"/>
  <c r="K18" i="7"/>
  <c r="K6" i="7"/>
  <c r="K492" i="7"/>
  <c r="K563" i="7"/>
  <c r="K11" i="7"/>
  <c r="K115" i="7"/>
  <c r="K192" i="7"/>
  <c r="K295" i="7"/>
  <c r="K300" i="7"/>
  <c r="K379" i="7"/>
  <c r="K381" i="7"/>
  <c r="K383" i="7"/>
  <c r="K463" i="7"/>
  <c r="K486" i="7"/>
  <c r="K501" i="7"/>
  <c r="K596" i="7"/>
  <c r="K577" i="7"/>
  <c r="K474" i="7"/>
  <c r="K306" i="7"/>
  <c r="K17" i="7"/>
  <c r="K101" i="7"/>
  <c r="K200" i="7"/>
  <c r="K412" i="7"/>
  <c r="K16" i="7"/>
  <c r="K21" i="7"/>
  <c r="K23" i="7"/>
  <c r="K54" i="7"/>
  <c r="K68" i="7"/>
  <c r="K87" i="7"/>
  <c r="K95" i="7"/>
  <c r="K100" i="7"/>
  <c r="K197" i="7"/>
  <c r="K269" i="7"/>
  <c r="K277" i="7"/>
  <c r="K279" i="7"/>
  <c r="K284" i="7"/>
  <c r="K286" i="7"/>
  <c r="K302" i="7"/>
  <c r="K304" i="7"/>
  <c r="K307" i="7"/>
  <c r="K309" i="7"/>
  <c r="K366" i="7"/>
  <c r="K388" i="7"/>
  <c r="K391" i="7"/>
  <c r="K471" i="7"/>
  <c r="K574" i="7"/>
  <c r="K473" i="7"/>
  <c r="K410" i="7"/>
  <c r="K282" i="7"/>
  <c r="K201" i="7"/>
  <c r="K98" i="7"/>
  <c r="K222" i="7"/>
  <c r="K102" i="7"/>
  <c r="K104" i="7"/>
  <c r="K123" i="7"/>
  <c r="K159" i="7"/>
  <c r="K199" i="7"/>
  <c r="K212" i="7"/>
  <c r="K243" i="7"/>
  <c r="K323" i="7"/>
  <c r="K491" i="7"/>
  <c r="K564" i="7"/>
  <c r="K567" i="7"/>
  <c r="K571" i="7"/>
  <c r="K576" i="7"/>
  <c r="K579" i="7"/>
  <c r="K588" i="7"/>
  <c r="K606" i="7"/>
  <c r="K570" i="7"/>
  <c r="K385" i="7"/>
  <c r="K145" i="7"/>
  <c r="K97" i="7"/>
  <c r="K34" i="7"/>
  <c r="K10" i="7"/>
  <c r="K4" i="7"/>
  <c r="K561" i="7"/>
  <c r="K15" i="7"/>
  <c r="K61" i="7"/>
  <c r="K107" i="7"/>
  <c r="K109" i="7"/>
  <c r="K112" i="7"/>
  <c r="K119" i="7"/>
  <c r="K188" i="7"/>
  <c r="K191" i="7"/>
  <c r="K204" i="7"/>
  <c r="K206" i="7"/>
  <c r="K291" i="7"/>
  <c r="K294" i="7"/>
  <c r="K319" i="7"/>
  <c r="K395" i="7"/>
  <c r="K398" i="7"/>
  <c r="K400" i="7"/>
  <c r="K478" i="7"/>
  <c r="K480" i="7"/>
  <c r="K483" i="7"/>
  <c r="K581" i="7"/>
  <c r="K583" i="7"/>
  <c r="K670" i="7"/>
  <c r="K569" i="7"/>
  <c r="K489" i="7"/>
  <c r="K298" i="7"/>
  <c r="K194" i="7"/>
  <c r="K114" i="7"/>
  <c r="K9" i="7"/>
  <c r="K103" i="7"/>
  <c r="K198" i="7"/>
  <c r="K568" i="7"/>
  <c r="K106" i="7"/>
  <c r="K7" i="7"/>
  <c r="K12" i="7"/>
  <c r="K75" i="7"/>
  <c r="K116" i="7"/>
  <c r="K152" i="7"/>
  <c r="K296" i="7"/>
  <c r="K317" i="7"/>
  <c r="K372" i="7"/>
  <c r="K380" i="7"/>
  <c r="K382" i="7"/>
  <c r="K470" i="7"/>
  <c r="K488" i="7"/>
  <c r="K619" i="7"/>
  <c r="K401" i="7"/>
  <c r="K346" i="7"/>
  <c r="K321" i="7"/>
  <c r="K297" i="7"/>
  <c r="K113" i="7"/>
  <c r="J678" i="7" l="1"/>
  <c r="J685" i="7"/>
  <c r="F687" i="7"/>
  <c r="F688" i="7" s="1"/>
  <c r="J659" i="7"/>
  <c r="F660" i="7"/>
  <c r="J698" i="7"/>
  <c r="F699" i="7"/>
  <c r="J654" i="7"/>
  <c r="F655" i="7"/>
  <c r="J673" i="7"/>
  <c r="F674" i="7"/>
  <c r="F692" i="7"/>
  <c r="J691" i="7"/>
  <c r="F680" i="7"/>
  <c r="J679" i="7"/>
  <c r="J687" i="7"/>
  <c r="F666" i="7"/>
  <c r="J665" i="7"/>
  <c r="F615" i="7"/>
  <c r="J614" i="7"/>
  <c r="F608" i="7"/>
  <c r="J607" i="7"/>
  <c r="J621" i="7"/>
  <c r="F622" i="7"/>
  <c r="J635" i="7"/>
  <c r="F636" i="7"/>
  <c r="J647" i="7"/>
  <c r="F648" i="7"/>
  <c r="F630" i="7"/>
  <c r="J629" i="7"/>
  <c r="J642" i="7"/>
  <c r="F643" i="7"/>
  <c r="J602" i="7"/>
  <c r="F603" i="7"/>
  <c r="F537" i="7"/>
  <c r="J536" i="7"/>
  <c r="J551" i="7"/>
  <c r="F552" i="7"/>
  <c r="F524" i="7"/>
  <c r="J523" i="7"/>
  <c r="J512" i="7"/>
  <c r="F513" i="7"/>
  <c r="F517" i="7"/>
  <c r="J516" i="7"/>
  <c r="J530" i="7"/>
  <c r="F531" i="7"/>
  <c r="J556" i="7"/>
  <c r="F557" i="7"/>
  <c r="J544" i="7"/>
  <c r="F545" i="7"/>
  <c r="J439" i="7"/>
  <c r="F440" i="7"/>
  <c r="J453" i="7"/>
  <c r="F454" i="7"/>
  <c r="J465" i="7"/>
  <c r="F466" i="7"/>
  <c r="F433" i="7"/>
  <c r="J432" i="7"/>
  <c r="F447" i="7"/>
  <c r="J446" i="7"/>
  <c r="F427" i="7"/>
  <c r="J426" i="7"/>
  <c r="F459" i="7"/>
  <c r="J458" i="7"/>
  <c r="J421" i="7"/>
  <c r="F422" i="7"/>
  <c r="J330" i="7"/>
  <c r="F331" i="7"/>
  <c r="J369" i="7"/>
  <c r="F370" i="7"/>
  <c r="F342" i="7"/>
  <c r="J341" i="7"/>
  <c r="F335" i="7"/>
  <c r="J334" i="7"/>
  <c r="J348" i="7"/>
  <c r="F349" i="7"/>
  <c r="J362" i="7"/>
  <c r="F363" i="7"/>
  <c r="F356" i="7"/>
  <c r="J355" i="7"/>
  <c r="J374" i="7"/>
  <c r="F375" i="7"/>
  <c r="F266" i="7"/>
  <c r="J265" i="7"/>
  <c r="F232" i="7"/>
  <c r="J231" i="7"/>
  <c r="F253" i="7"/>
  <c r="J252" i="7"/>
  <c r="J259" i="7"/>
  <c r="F260" i="7"/>
  <c r="J271" i="7"/>
  <c r="F272" i="7"/>
  <c r="F239" i="7"/>
  <c r="J238" i="7"/>
  <c r="J228" i="7"/>
  <c r="F229" i="7"/>
  <c r="J229" i="7" s="1"/>
  <c r="J245" i="7"/>
  <c r="F246" i="7"/>
  <c r="J154" i="7"/>
  <c r="F155" i="7"/>
  <c r="F163" i="7"/>
  <c r="J162" i="7"/>
  <c r="J180" i="7"/>
  <c r="F181" i="7"/>
  <c r="J168" i="7"/>
  <c r="F169" i="7"/>
  <c r="F148" i="7"/>
  <c r="J147" i="7"/>
  <c r="J135" i="7"/>
  <c r="F136" i="7"/>
  <c r="F174" i="7"/>
  <c r="J173" i="7"/>
  <c r="J142" i="7"/>
  <c r="F143" i="7"/>
  <c r="J84" i="7"/>
  <c r="F85" i="7"/>
  <c r="F52" i="7"/>
  <c r="J51" i="7"/>
  <c r="J63" i="7"/>
  <c r="F64" i="7"/>
  <c r="F72" i="7"/>
  <c r="J71" i="7"/>
  <c r="F57" i="7"/>
  <c r="J56" i="7"/>
  <c r="J44" i="7"/>
  <c r="F45" i="7"/>
  <c r="J77" i="7"/>
  <c r="F78" i="7"/>
  <c r="J89" i="7"/>
  <c r="F90" i="7"/>
  <c r="K416" i="7"/>
  <c r="K125" i="7"/>
  <c r="K633" i="7"/>
  <c r="K663" i="7"/>
  <c r="K325" i="7"/>
  <c r="K444" i="7"/>
  <c r="K28" i="7"/>
  <c r="K430" i="7"/>
  <c r="K131" i="7"/>
  <c r="K30" i="7"/>
  <c r="K645" i="7"/>
  <c r="K554" i="7"/>
  <c r="K592" i="7"/>
  <c r="K690" i="7"/>
  <c r="K424" i="7"/>
  <c r="K353" i="7"/>
  <c r="K612" i="7"/>
  <c r="K521" i="7"/>
  <c r="K639" i="7"/>
  <c r="K408" i="7"/>
  <c r="K40" i="7"/>
  <c r="K451" i="7"/>
  <c r="K339" i="7"/>
  <c r="K121" i="7"/>
  <c r="K515" i="7"/>
  <c r="K214" i="7"/>
  <c r="K236" i="7"/>
  <c r="K598" i="7"/>
  <c r="K333" i="7"/>
  <c r="K218" i="7"/>
  <c r="K313" i="7"/>
  <c r="K210" i="7"/>
  <c r="F661" i="7" l="1"/>
  <c r="J660" i="7"/>
  <c r="F693" i="7"/>
  <c r="J692" i="7"/>
  <c r="F675" i="7"/>
  <c r="J674" i="7"/>
  <c r="F667" i="7"/>
  <c r="J666" i="7"/>
  <c r="J655" i="7"/>
  <c r="F656" i="7"/>
  <c r="J656" i="7" s="1"/>
  <c r="F689" i="7"/>
  <c r="J689" i="7" s="1"/>
  <c r="J688" i="7"/>
  <c r="F700" i="7"/>
  <c r="J699" i="7"/>
  <c r="F681" i="7"/>
  <c r="J680" i="7"/>
  <c r="J636" i="7"/>
  <c r="F637" i="7"/>
  <c r="J643" i="7"/>
  <c r="F644" i="7"/>
  <c r="J644" i="7" s="1"/>
  <c r="J622" i="7"/>
  <c r="F623" i="7"/>
  <c r="J603" i="7"/>
  <c r="F604" i="7"/>
  <c r="J630" i="7"/>
  <c r="F631" i="7"/>
  <c r="F609" i="7"/>
  <c r="J608" i="7"/>
  <c r="F649" i="7"/>
  <c r="J648" i="7"/>
  <c r="F616" i="7"/>
  <c r="J615" i="7"/>
  <c r="J513" i="7"/>
  <c r="F514" i="7"/>
  <c r="J514" i="7" s="1"/>
  <c r="J545" i="7"/>
  <c r="F546" i="7"/>
  <c r="F558" i="7"/>
  <c r="J557" i="7"/>
  <c r="F525" i="7"/>
  <c r="J524" i="7"/>
  <c r="J531" i="7"/>
  <c r="F532" i="7"/>
  <c r="J552" i="7"/>
  <c r="F553" i="7"/>
  <c r="J553" i="7" s="1"/>
  <c r="F518" i="7"/>
  <c r="J517" i="7"/>
  <c r="F538" i="7"/>
  <c r="J537" i="7"/>
  <c r="F434" i="7"/>
  <c r="J433" i="7"/>
  <c r="J422" i="7"/>
  <c r="F423" i="7"/>
  <c r="J423" i="7" s="1"/>
  <c r="F460" i="7"/>
  <c r="J459" i="7"/>
  <c r="J454" i="7"/>
  <c r="F455" i="7"/>
  <c r="F428" i="7"/>
  <c r="J427" i="7"/>
  <c r="J440" i="7"/>
  <c r="F441" i="7"/>
  <c r="F467" i="7"/>
  <c r="J466" i="7"/>
  <c r="F448" i="7"/>
  <c r="J447" i="7"/>
  <c r="F376" i="7"/>
  <c r="J375" i="7"/>
  <c r="F357" i="7"/>
  <c r="J356" i="7"/>
  <c r="F343" i="7"/>
  <c r="J342" i="7"/>
  <c r="J363" i="7"/>
  <c r="F364" i="7"/>
  <c r="J370" i="7"/>
  <c r="F371" i="7"/>
  <c r="J371" i="7" s="1"/>
  <c r="J349" i="7"/>
  <c r="F350" i="7"/>
  <c r="J331" i="7"/>
  <c r="F332" i="7"/>
  <c r="J332" i="7" s="1"/>
  <c r="F336" i="7"/>
  <c r="J335" i="7"/>
  <c r="J246" i="7"/>
  <c r="F247" i="7"/>
  <c r="F254" i="7"/>
  <c r="J253" i="7"/>
  <c r="J260" i="7"/>
  <c r="F261" i="7"/>
  <c r="F240" i="7"/>
  <c r="J239" i="7"/>
  <c r="F233" i="7"/>
  <c r="J232" i="7"/>
  <c r="F273" i="7"/>
  <c r="J272" i="7"/>
  <c r="J266" i="7"/>
  <c r="F267" i="7"/>
  <c r="J169" i="7"/>
  <c r="F170" i="7"/>
  <c r="F175" i="7"/>
  <c r="J174" i="7"/>
  <c r="J163" i="7"/>
  <c r="F164" i="7"/>
  <c r="F182" i="7"/>
  <c r="J181" i="7"/>
  <c r="J155" i="7"/>
  <c r="F156" i="7"/>
  <c r="J143" i="7"/>
  <c r="F144" i="7"/>
  <c r="J144" i="7" s="1"/>
  <c r="J136" i="7"/>
  <c r="F137" i="7"/>
  <c r="F149" i="7"/>
  <c r="J148" i="7"/>
  <c r="J72" i="7"/>
  <c r="F73" i="7"/>
  <c r="F58" i="7"/>
  <c r="J57" i="7"/>
  <c r="J64" i="7"/>
  <c r="F65" i="7"/>
  <c r="J45" i="7"/>
  <c r="F46" i="7"/>
  <c r="F91" i="7"/>
  <c r="J90" i="7"/>
  <c r="J52" i="7"/>
  <c r="F53" i="7"/>
  <c r="J53" i="7" s="1"/>
  <c r="J78" i="7"/>
  <c r="F79" i="7"/>
  <c r="J85" i="7"/>
  <c r="F86" i="7"/>
  <c r="J86" i="7" s="1"/>
  <c r="K535" i="7"/>
  <c r="K696" i="7"/>
  <c r="K626" i="7"/>
  <c r="K684" i="7"/>
  <c r="K677" i="7"/>
  <c r="F662" i="7" l="1"/>
  <c r="J662" i="7" s="1"/>
  <c r="J661" i="7"/>
  <c r="J681" i="7"/>
  <c r="F682" i="7"/>
  <c r="F668" i="7"/>
  <c r="J667" i="7"/>
  <c r="F701" i="7"/>
  <c r="J701" i="7" s="1"/>
  <c r="J700" i="7"/>
  <c r="F676" i="7"/>
  <c r="J676" i="7" s="1"/>
  <c r="J675" i="7"/>
  <c r="J693" i="7"/>
  <c r="F694" i="7"/>
  <c r="F617" i="7"/>
  <c r="J616" i="7"/>
  <c r="F650" i="7"/>
  <c r="J650" i="7" s="1"/>
  <c r="J649" i="7"/>
  <c r="J604" i="7"/>
  <c r="F605" i="7"/>
  <c r="J605" i="7" s="1"/>
  <c r="F624" i="7"/>
  <c r="J623" i="7"/>
  <c r="F610" i="7"/>
  <c r="J609" i="7"/>
  <c r="J631" i="7"/>
  <c r="F632" i="7"/>
  <c r="J632" i="7" s="1"/>
  <c r="F638" i="7"/>
  <c r="J638" i="7" s="1"/>
  <c r="J637" i="7"/>
  <c r="F519" i="7"/>
  <c r="J518" i="7"/>
  <c r="F559" i="7"/>
  <c r="J559" i="7" s="1"/>
  <c r="J558" i="7"/>
  <c r="F547" i="7"/>
  <c r="J547" i="7" s="1"/>
  <c r="J546" i="7"/>
  <c r="F539" i="7"/>
  <c r="J538" i="7"/>
  <c r="F533" i="7"/>
  <c r="J532" i="7"/>
  <c r="F526" i="7"/>
  <c r="J525" i="7"/>
  <c r="F456" i="7"/>
  <c r="J456" i="7" s="1"/>
  <c r="J455" i="7"/>
  <c r="J448" i="7"/>
  <c r="F449" i="7"/>
  <c r="F468" i="7"/>
  <c r="J468" i="7" s="1"/>
  <c r="J467" i="7"/>
  <c r="J460" i="7"/>
  <c r="F461" i="7"/>
  <c r="F442" i="7"/>
  <c r="J441" i="7"/>
  <c r="J428" i="7"/>
  <c r="F429" i="7"/>
  <c r="J429" i="7" s="1"/>
  <c r="F435" i="7"/>
  <c r="J434" i="7"/>
  <c r="F344" i="7"/>
  <c r="J343" i="7"/>
  <c r="F337" i="7"/>
  <c r="J336" i="7"/>
  <c r="J357" i="7"/>
  <c r="F358" i="7"/>
  <c r="F365" i="7"/>
  <c r="J365" i="7" s="1"/>
  <c r="J364" i="7"/>
  <c r="F351" i="7"/>
  <c r="J350" i="7"/>
  <c r="F377" i="7"/>
  <c r="J377" i="7" s="1"/>
  <c r="J376" i="7"/>
  <c r="F262" i="7"/>
  <c r="J262" i="7" s="1"/>
  <c r="J261" i="7"/>
  <c r="F241" i="7"/>
  <c r="J240" i="7"/>
  <c r="F274" i="7"/>
  <c r="J274" i="7" s="1"/>
  <c r="J273" i="7"/>
  <c r="J254" i="7"/>
  <c r="F255" i="7"/>
  <c r="F248" i="7"/>
  <c r="J247" i="7"/>
  <c r="J267" i="7"/>
  <c r="F268" i="7"/>
  <c r="J268" i="7" s="1"/>
  <c r="F234" i="7"/>
  <c r="J233" i="7"/>
  <c r="F150" i="7"/>
  <c r="J149" i="7"/>
  <c r="F183" i="7"/>
  <c r="J183" i="7" s="1"/>
  <c r="J182" i="7"/>
  <c r="F171" i="7"/>
  <c r="J171" i="7" s="1"/>
  <c r="J170" i="7"/>
  <c r="J137" i="7"/>
  <c r="F138" i="7"/>
  <c r="J138" i="7" s="1"/>
  <c r="J164" i="7"/>
  <c r="F165" i="7"/>
  <c r="J165" i="7" s="1"/>
  <c r="J175" i="7"/>
  <c r="F176" i="7"/>
  <c r="F157" i="7"/>
  <c r="J156" i="7"/>
  <c r="F92" i="7"/>
  <c r="J92" i="7" s="1"/>
  <c r="J91" i="7"/>
  <c r="J46" i="7"/>
  <c r="F47" i="7"/>
  <c r="J47" i="7" s="1"/>
  <c r="F80" i="7"/>
  <c r="J80" i="7" s="1"/>
  <c r="J79" i="7"/>
  <c r="J73" i="7"/>
  <c r="F74" i="7"/>
  <c r="J74" i="7" s="1"/>
  <c r="F66" i="7"/>
  <c r="J65" i="7"/>
  <c r="F59" i="7"/>
  <c r="J58" i="7"/>
  <c r="K55" i="7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2" i="9"/>
  <c r="J668" i="7" l="1"/>
  <c r="F669" i="7"/>
  <c r="J669" i="7" s="1"/>
  <c r="J682" i="7"/>
  <c r="F683" i="7"/>
  <c r="J683" i="7" s="1"/>
  <c r="J694" i="7"/>
  <c r="F695" i="7"/>
  <c r="J695" i="7" s="1"/>
  <c r="F625" i="7"/>
  <c r="J625" i="7" s="1"/>
  <c r="J624" i="7"/>
  <c r="J610" i="7"/>
  <c r="F611" i="7"/>
  <c r="J611" i="7" s="1"/>
  <c r="J617" i="7"/>
  <c r="F618" i="7"/>
  <c r="J618" i="7" s="1"/>
  <c r="J539" i="7"/>
  <c r="F540" i="7"/>
  <c r="J526" i="7"/>
  <c r="F527" i="7"/>
  <c r="J527" i="7" s="1"/>
  <c r="F534" i="7"/>
  <c r="J534" i="7" s="1"/>
  <c r="J533" i="7"/>
  <c r="J519" i="7"/>
  <c r="F520" i="7"/>
  <c r="J520" i="7" s="1"/>
  <c r="J461" i="7"/>
  <c r="F462" i="7"/>
  <c r="J462" i="7" s="1"/>
  <c r="J449" i="7"/>
  <c r="F450" i="7"/>
  <c r="J450" i="7" s="1"/>
  <c r="J435" i="7"/>
  <c r="F436" i="7"/>
  <c r="J436" i="7" s="1"/>
  <c r="F443" i="7"/>
  <c r="J443" i="7" s="1"/>
  <c r="J442" i="7"/>
  <c r="J358" i="7"/>
  <c r="F359" i="7"/>
  <c r="J359" i="7" s="1"/>
  <c r="J337" i="7"/>
  <c r="F338" i="7"/>
  <c r="J338" i="7" s="1"/>
  <c r="F352" i="7"/>
  <c r="J352" i="7" s="1"/>
  <c r="J351" i="7"/>
  <c r="J344" i="7"/>
  <c r="F345" i="7"/>
  <c r="J345" i="7" s="1"/>
  <c r="J234" i="7"/>
  <c r="F235" i="7"/>
  <c r="J235" i="7" s="1"/>
  <c r="J241" i="7"/>
  <c r="F242" i="7"/>
  <c r="J242" i="7" s="1"/>
  <c r="J255" i="7"/>
  <c r="F256" i="7"/>
  <c r="J256" i="7" s="1"/>
  <c r="F249" i="7"/>
  <c r="J249" i="7" s="1"/>
  <c r="J248" i="7"/>
  <c r="J176" i="7"/>
  <c r="F177" i="7"/>
  <c r="J177" i="7" s="1"/>
  <c r="F158" i="7"/>
  <c r="J158" i="7" s="1"/>
  <c r="J157" i="7"/>
  <c r="J150" i="7"/>
  <c r="F151" i="7"/>
  <c r="J151" i="7" s="1"/>
  <c r="J66" i="7"/>
  <c r="F67" i="7"/>
  <c r="J67" i="7" s="1"/>
  <c r="J59" i="7"/>
  <c r="F60" i="7"/>
  <c r="J60" i="7" s="1"/>
  <c r="K62" i="7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2" i="9"/>
  <c r="J540" i="7" l="1"/>
  <c r="F541" i="7"/>
  <c r="J541" i="7" s="1"/>
  <c r="K69" i="7"/>
  <c r="M2" i="9"/>
  <c r="N2" i="9" s="1"/>
  <c r="P2" i="9"/>
  <c r="R18" i="9"/>
  <c r="P18" i="9"/>
  <c r="R33" i="9"/>
  <c r="P33" i="9"/>
  <c r="R25" i="9"/>
  <c r="P25" i="9"/>
  <c r="M17" i="9"/>
  <c r="N17" i="9" s="1"/>
  <c r="P17" i="9"/>
  <c r="M9" i="9"/>
  <c r="N9" i="9" s="1"/>
  <c r="P9" i="9"/>
  <c r="R26" i="9"/>
  <c r="P26" i="9"/>
  <c r="M40" i="9"/>
  <c r="N40" i="9" s="1"/>
  <c r="P40" i="9"/>
  <c r="R32" i="9"/>
  <c r="P32" i="9"/>
  <c r="M24" i="9"/>
  <c r="N24" i="9" s="1"/>
  <c r="P24" i="9"/>
  <c r="M16" i="9"/>
  <c r="N16" i="9" s="1"/>
  <c r="P16" i="9"/>
  <c r="M8" i="9"/>
  <c r="N8" i="9" s="1"/>
  <c r="P8" i="9"/>
  <c r="M42" i="9"/>
  <c r="N42" i="9" s="1"/>
  <c r="P42" i="9"/>
  <c r="R39" i="9"/>
  <c r="P39" i="9"/>
  <c r="M15" i="9"/>
  <c r="N15" i="9" s="1"/>
  <c r="P15" i="9"/>
  <c r="M38" i="9"/>
  <c r="N38" i="9" s="1"/>
  <c r="P38" i="9"/>
  <c r="M14" i="9"/>
  <c r="N14" i="9" s="1"/>
  <c r="P14" i="9"/>
  <c r="M37" i="9"/>
  <c r="N37" i="9" s="1"/>
  <c r="P37" i="9"/>
  <c r="M29" i="9"/>
  <c r="N29" i="9" s="1"/>
  <c r="P29" i="9"/>
  <c r="M21" i="9"/>
  <c r="N21" i="9" s="1"/>
  <c r="P21" i="9"/>
  <c r="M13" i="9"/>
  <c r="N13" i="9" s="1"/>
  <c r="P13" i="9"/>
  <c r="M5" i="9"/>
  <c r="N5" i="9" s="1"/>
  <c r="P5" i="9"/>
  <c r="M10" i="9"/>
  <c r="N10" i="9" s="1"/>
  <c r="P10" i="9"/>
  <c r="M23" i="9"/>
  <c r="N23" i="9" s="1"/>
  <c r="P23" i="9"/>
  <c r="R46" i="9"/>
  <c r="P46" i="9"/>
  <c r="O46" i="9" s="1"/>
  <c r="M6" i="9"/>
  <c r="N6" i="9" s="1"/>
  <c r="P6" i="9"/>
  <c r="M44" i="9"/>
  <c r="N44" i="9" s="1"/>
  <c r="P44" i="9"/>
  <c r="M36" i="9"/>
  <c r="N36" i="9" s="1"/>
  <c r="P36" i="9"/>
  <c r="M28" i="9"/>
  <c r="N28" i="9" s="1"/>
  <c r="P28" i="9"/>
  <c r="M20" i="9"/>
  <c r="N20" i="9" s="1"/>
  <c r="P20" i="9"/>
  <c r="R12" i="9"/>
  <c r="P12" i="9"/>
  <c r="R4" i="9"/>
  <c r="P4" i="9"/>
  <c r="M34" i="9"/>
  <c r="N34" i="9" s="1"/>
  <c r="P34" i="9"/>
  <c r="O34" i="9" s="1"/>
  <c r="M41" i="9"/>
  <c r="N41" i="9" s="1"/>
  <c r="P41" i="9"/>
  <c r="M31" i="9"/>
  <c r="N31" i="9" s="1"/>
  <c r="P31" i="9"/>
  <c r="M7" i="9"/>
  <c r="N7" i="9" s="1"/>
  <c r="P7" i="9"/>
  <c r="M30" i="9"/>
  <c r="N30" i="9" s="1"/>
  <c r="P30" i="9"/>
  <c r="M22" i="9"/>
  <c r="N22" i="9" s="1"/>
  <c r="P22" i="9"/>
  <c r="M45" i="9"/>
  <c r="N45" i="9" s="1"/>
  <c r="P45" i="9"/>
  <c r="M43" i="9"/>
  <c r="N43" i="9" s="1"/>
  <c r="P43" i="9"/>
  <c r="M35" i="9"/>
  <c r="N35" i="9" s="1"/>
  <c r="P35" i="9"/>
  <c r="M27" i="9"/>
  <c r="N27" i="9" s="1"/>
  <c r="P27" i="9"/>
  <c r="R19" i="9"/>
  <c r="P19" i="9"/>
  <c r="R11" i="9"/>
  <c r="P11" i="9"/>
  <c r="R3" i="9"/>
  <c r="P3" i="9"/>
  <c r="R9" i="9"/>
  <c r="M18" i="9"/>
  <c r="N18" i="9" s="1"/>
  <c r="R37" i="9"/>
  <c r="R16" i="9"/>
  <c r="M11" i="9"/>
  <c r="N11" i="9" s="1"/>
  <c r="M3" i="9"/>
  <c r="N3" i="9" s="1"/>
  <c r="R44" i="9"/>
  <c r="M39" i="9"/>
  <c r="N39" i="9" s="1"/>
  <c r="R30" i="9"/>
  <c r="M32" i="9"/>
  <c r="N32" i="9" s="1"/>
  <c r="R23" i="9"/>
  <c r="M25" i="9"/>
  <c r="N25" i="9" s="1"/>
  <c r="M46" i="9"/>
  <c r="N46" i="9" s="1"/>
  <c r="M33" i="9"/>
  <c r="N33" i="9" s="1"/>
  <c r="M26" i="9"/>
  <c r="N26" i="9" s="1"/>
  <c r="M19" i="9"/>
  <c r="N19" i="9" s="1"/>
  <c r="M12" i="9"/>
  <c r="N12" i="9" s="1"/>
  <c r="M4" i="9"/>
  <c r="N4" i="9" s="1"/>
  <c r="R45" i="9"/>
  <c r="R38" i="9"/>
  <c r="R31" i="9"/>
  <c r="R24" i="9"/>
  <c r="R17" i="9"/>
  <c r="R10" i="9"/>
  <c r="R43" i="9"/>
  <c r="R36" i="9"/>
  <c r="R29" i="9"/>
  <c r="R22" i="9"/>
  <c r="R15" i="9"/>
  <c r="R8" i="9"/>
  <c r="R42" i="9"/>
  <c r="R35" i="9"/>
  <c r="R28" i="9"/>
  <c r="R21" i="9"/>
  <c r="R14" i="9"/>
  <c r="R7" i="9"/>
  <c r="R41" i="9"/>
  <c r="R34" i="9"/>
  <c r="R20" i="9"/>
  <c r="R6" i="9"/>
  <c r="R2" i="9"/>
  <c r="R40" i="9"/>
  <c r="R27" i="9"/>
  <c r="R13" i="9"/>
  <c r="R5" i="9"/>
  <c r="K76" i="7" l="1"/>
  <c r="O2" i="9"/>
  <c r="O38" i="9"/>
  <c r="O33" i="9"/>
  <c r="O3" i="9"/>
  <c r="O27" i="9"/>
  <c r="O12" i="9"/>
  <c r="O14" i="9"/>
  <c r="O32" i="9"/>
  <c r="O39" i="9"/>
  <c r="O10" i="9"/>
  <c r="O41" i="9"/>
  <c r="O36" i="9"/>
  <c r="O11" i="9"/>
  <c r="O45" i="9"/>
  <c r="O7" i="9"/>
  <c r="O5" i="9"/>
  <c r="O29" i="9"/>
  <c r="O16" i="9"/>
  <c r="O9" i="9"/>
  <c r="O22" i="9"/>
  <c r="O44" i="9"/>
  <c r="O23" i="9"/>
  <c r="O35" i="9"/>
  <c r="O20" i="9"/>
  <c r="O19" i="9"/>
  <c r="O13" i="9"/>
  <c r="O37" i="9"/>
  <c r="O42" i="9"/>
  <c r="O24" i="9"/>
  <c r="O17" i="9"/>
  <c r="O25" i="9"/>
  <c r="O43" i="9"/>
  <c r="O31" i="9"/>
  <c r="O4" i="9"/>
  <c r="O15" i="9"/>
  <c r="O18" i="9"/>
  <c r="O40" i="9"/>
  <c r="O30" i="9"/>
  <c r="O28" i="9"/>
  <c r="O6" i="9"/>
  <c r="O21" i="9"/>
  <c r="O8" i="9"/>
  <c r="O26" i="9"/>
  <c r="D7" i="9"/>
  <c r="E7" i="9" s="1"/>
  <c r="K31" i="7" l="1"/>
  <c r="K82" i="7"/>
  <c r="C15" i="6"/>
  <c r="D22" i="9"/>
  <c r="E22" i="9" s="1"/>
  <c r="D23" i="9"/>
  <c r="E23" i="9" s="1"/>
  <c r="D24" i="9"/>
  <c r="E24" i="9" s="1"/>
  <c r="D25" i="9"/>
  <c r="E25" i="9" s="1"/>
  <c r="D26" i="9"/>
  <c r="E26" i="9" s="1"/>
  <c r="D27" i="9"/>
  <c r="E27" i="9" s="1"/>
  <c r="D28" i="9"/>
  <c r="E28" i="9" s="1"/>
  <c r="D29" i="9"/>
  <c r="E29" i="9" s="1"/>
  <c r="D30" i="9"/>
  <c r="E30" i="9" s="1"/>
  <c r="D31" i="9"/>
  <c r="E31" i="9" s="1"/>
  <c r="D32" i="9"/>
  <c r="E32" i="9" s="1"/>
  <c r="D3" i="9"/>
  <c r="E3" i="9" s="1"/>
  <c r="D4" i="9"/>
  <c r="E4" i="9" s="1"/>
  <c r="D5" i="9"/>
  <c r="E5" i="9" s="1"/>
  <c r="D6" i="9"/>
  <c r="E6" i="9" s="1"/>
  <c r="D8" i="9"/>
  <c r="E8" i="9" s="1"/>
  <c r="D9" i="9"/>
  <c r="E9" i="9" s="1"/>
  <c r="D10" i="9"/>
  <c r="E10" i="9" s="1"/>
  <c r="D11" i="9"/>
  <c r="E11" i="9" s="1"/>
  <c r="D12" i="9"/>
  <c r="E12" i="9" s="1"/>
  <c r="D13" i="9"/>
  <c r="E13" i="9" s="1"/>
  <c r="D14" i="9"/>
  <c r="E14" i="9" s="1"/>
  <c r="D16" i="9"/>
  <c r="E16" i="9" s="1"/>
  <c r="D17" i="9"/>
  <c r="E17" i="9" s="1"/>
  <c r="D19" i="9"/>
  <c r="E19" i="9" s="1"/>
  <c r="D20" i="9"/>
  <c r="E20" i="9" s="1"/>
  <c r="D21" i="9"/>
  <c r="E21" i="9" s="1"/>
  <c r="D2" i="9"/>
  <c r="E2" i="9" s="1"/>
  <c r="G49" i="8"/>
  <c r="F49" i="8"/>
  <c r="J49" i="8" s="1"/>
  <c r="C49" i="8"/>
  <c r="B49" i="8"/>
  <c r="A49" i="8"/>
  <c r="G48" i="8"/>
  <c r="F48" i="8"/>
  <c r="J48" i="8" s="1"/>
  <c r="C48" i="8"/>
  <c r="B48" i="8"/>
  <c r="A48" i="8"/>
  <c r="G43" i="8"/>
  <c r="F43" i="8"/>
  <c r="J43" i="8" s="1"/>
  <c r="C43" i="8"/>
  <c r="B43" i="8"/>
  <c r="A43" i="8"/>
  <c r="J42" i="8"/>
  <c r="G42" i="8"/>
  <c r="F42" i="8"/>
  <c r="C42" i="8"/>
  <c r="B42" i="8"/>
  <c r="A42" i="8"/>
  <c r="G38" i="8"/>
  <c r="F38" i="8"/>
  <c r="J38" i="8" s="1"/>
  <c r="C38" i="8"/>
  <c r="B38" i="8"/>
  <c r="A38" i="8"/>
  <c r="J37" i="8"/>
  <c r="G37" i="8"/>
  <c r="F37" i="8"/>
  <c r="C37" i="8"/>
  <c r="B37" i="8"/>
  <c r="A37" i="8"/>
  <c r="G32" i="8"/>
  <c r="F32" i="8"/>
  <c r="J32" i="8" s="1"/>
  <c r="C32" i="8"/>
  <c r="B32" i="8"/>
  <c r="A32" i="8"/>
  <c r="G31" i="8"/>
  <c r="F31" i="8"/>
  <c r="J31" i="8" s="1"/>
  <c r="D31" i="8"/>
  <c r="C31" i="8"/>
  <c r="B31" i="8"/>
  <c r="A31" i="8"/>
  <c r="J26" i="8"/>
  <c r="G26" i="8"/>
  <c r="F26" i="8"/>
  <c r="C26" i="8"/>
  <c r="B26" i="8"/>
  <c r="A26" i="8"/>
  <c r="J25" i="8"/>
  <c r="G25" i="8"/>
  <c r="F25" i="8"/>
  <c r="C25" i="8"/>
  <c r="B25" i="8"/>
  <c r="A25" i="8"/>
  <c r="J19" i="8"/>
  <c r="G19" i="8"/>
  <c r="F19" i="8"/>
  <c r="C19" i="8"/>
  <c r="B19" i="8"/>
  <c r="A19" i="8"/>
  <c r="G18" i="8"/>
  <c r="F18" i="8"/>
  <c r="J18" i="8" s="1"/>
  <c r="D18" i="8"/>
  <c r="C18" i="8"/>
  <c r="B18" i="8"/>
  <c r="A18" i="8"/>
  <c r="J13" i="8"/>
  <c r="G13" i="8"/>
  <c r="F13" i="8"/>
  <c r="D13" i="8"/>
  <c r="C13" i="8"/>
  <c r="B13" i="8"/>
  <c r="A13" i="8"/>
  <c r="J12" i="8"/>
  <c r="G12" i="8"/>
  <c r="F12" i="8"/>
  <c r="D12" i="8"/>
  <c r="C12" i="8"/>
  <c r="B12" i="8"/>
  <c r="A12" i="8"/>
  <c r="J7" i="8"/>
  <c r="G7" i="8"/>
  <c r="F7" i="8"/>
  <c r="D7" i="8"/>
  <c r="C7" i="8"/>
  <c r="B7" i="8"/>
  <c r="A7" i="8"/>
  <c r="J6" i="8"/>
  <c r="G6" i="8"/>
  <c r="F6" i="8"/>
  <c r="D6" i="8"/>
  <c r="C6" i="8"/>
  <c r="B6" i="8"/>
  <c r="A6" i="8"/>
  <c r="J50" i="4"/>
  <c r="G50" i="4"/>
  <c r="F50" i="4"/>
  <c r="C50" i="4"/>
  <c r="B50" i="4"/>
  <c r="A50" i="4"/>
  <c r="G49" i="4"/>
  <c r="F49" i="4"/>
  <c r="J49" i="4" s="1"/>
  <c r="C49" i="4"/>
  <c r="B49" i="4"/>
  <c r="A49" i="4"/>
  <c r="J44" i="4"/>
  <c r="G44" i="4"/>
  <c r="F44" i="4"/>
  <c r="C44" i="4"/>
  <c r="B44" i="4"/>
  <c r="A44" i="4"/>
  <c r="J43" i="4"/>
  <c r="G43" i="4"/>
  <c r="F43" i="4"/>
  <c r="C43" i="4"/>
  <c r="B43" i="4"/>
  <c r="A43" i="4"/>
  <c r="G38" i="4"/>
  <c r="F38" i="4"/>
  <c r="J38" i="4" s="1"/>
  <c r="C38" i="4"/>
  <c r="B38" i="4"/>
  <c r="A38" i="4"/>
  <c r="J37" i="4"/>
  <c r="G37" i="4"/>
  <c r="F37" i="4"/>
  <c r="C37" i="4"/>
  <c r="B37" i="4"/>
  <c r="A37" i="4"/>
  <c r="J32" i="4"/>
  <c r="G32" i="4"/>
  <c r="F32" i="4"/>
  <c r="C32" i="4"/>
  <c r="B32" i="4"/>
  <c r="A32" i="4"/>
  <c r="J31" i="4"/>
  <c r="G31" i="4"/>
  <c r="F31" i="4"/>
  <c r="D31" i="4"/>
  <c r="C31" i="4"/>
  <c r="B31" i="4"/>
  <c r="A31" i="4"/>
  <c r="G26" i="4"/>
  <c r="F26" i="4"/>
  <c r="J26" i="4" s="1"/>
  <c r="C26" i="4"/>
  <c r="B26" i="4"/>
  <c r="A26" i="4"/>
  <c r="G25" i="4"/>
  <c r="F25" i="4"/>
  <c r="J25" i="4" s="1"/>
  <c r="C25" i="4"/>
  <c r="B25" i="4"/>
  <c r="A25" i="4"/>
  <c r="G19" i="4"/>
  <c r="F19" i="4"/>
  <c r="J19" i="4" s="1"/>
  <c r="C19" i="4"/>
  <c r="B19" i="4"/>
  <c r="A19" i="4"/>
  <c r="J18" i="4"/>
  <c r="G18" i="4"/>
  <c r="F18" i="4"/>
  <c r="D18" i="4"/>
  <c r="C18" i="4"/>
  <c r="B18" i="4"/>
  <c r="A18" i="4"/>
  <c r="G13" i="4"/>
  <c r="F13" i="4"/>
  <c r="J13" i="4" s="1"/>
  <c r="D13" i="4"/>
  <c r="C13" i="4"/>
  <c r="B13" i="4"/>
  <c r="A13" i="4"/>
  <c r="J12" i="4"/>
  <c r="G12" i="4"/>
  <c r="F12" i="4"/>
  <c r="D12" i="4"/>
  <c r="C12" i="4"/>
  <c r="B12" i="4"/>
  <c r="A12" i="4"/>
  <c r="G7" i="4"/>
  <c r="F7" i="4"/>
  <c r="J7" i="4" s="1"/>
  <c r="D7" i="4"/>
  <c r="C7" i="4"/>
  <c r="B7" i="4"/>
  <c r="A7" i="4"/>
  <c r="J6" i="4"/>
  <c r="G6" i="4"/>
  <c r="F6" i="4"/>
  <c r="D6" i="4"/>
  <c r="C6" i="4"/>
  <c r="B6" i="4"/>
  <c r="A6" i="4"/>
  <c r="F20" i="3"/>
  <c r="F13" i="3"/>
  <c r="F7" i="3"/>
  <c r="F51" i="3"/>
  <c r="F44" i="3"/>
  <c r="F38" i="3"/>
  <c r="A33" i="3"/>
  <c r="G32" i="3"/>
  <c r="D32" i="3"/>
  <c r="C32" i="3"/>
  <c r="B32" i="3"/>
  <c r="G50" i="3"/>
  <c r="C50" i="3"/>
  <c r="B50" i="3"/>
  <c r="G43" i="3"/>
  <c r="C43" i="3"/>
  <c r="B43" i="3"/>
  <c r="G37" i="3"/>
  <c r="C37" i="3"/>
  <c r="B37" i="3"/>
  <c r="G31" i="3"/>
  <c r="D31" i="3"/>
  <c r="C31" i="3"/>
  <c r="B31" i="3"/>
  <c r="G19" i="3"/>
  <c r="D19" i="3"/>
  <c r="C19" i="3"/>
  <c r="B19" i="3"/>
  <c r="G12" i="3"/>
  <c r="D12" i="3"/>
  <c r="C12" i="3"/>
  <c r="B12" i="3"/>
  <c r="G6" i="3"/>
  <c r="D6" i="3"/>
  <c r="C6" i="3"/>
  <c r="B6" i="3"/>
  <c r="G52" i="1"/>
  <c r="F52" i="1"/>
  <c r="J52" i="1" s="1"/>
  <c r="C52" i="1"/>
  <c r="B52" i="1"/>
  <c r="A52" i="1"/>
  <c r="J51" i="1"/>
  <c r="G51" i="1"/>
  <c r="F51" i="1"/>
  <c r="C51" i="1"/>
  <c r="B51" i="1"/>
  <c r="A51" i="1"/>
  <c r="G46" i="1"/>
  <c r="C46" i="1"/>
  <c r="B46" i="1"/>
  <c r="G45" i="1"/>
  <c r="C45" i="1"/>
  <c r="B45" i="1"/>
  <c r="G40" i="1"/>
  <c r="B40" i="1"/>
  <c r="G39" i="1"/>
  <c r="C39" i="1"/>
  <c r="B39" i="1"/>
  <c r="G34" i="1"/>
  <c r="C34" i="1"/>
  <c r="B34" i="1"/>
  <c r="G33" i="1"/>
  <c r="D33" i="1"/>
  <c r="C33" i="1"/>
  <c r="B33" i="1"/>
  <c r="G20" i="1"/>
  <c r="C20" i="1"/>
  <c r="B20" i="1"/>
  <c r="G19" i="1"/>
  <c r="D19" i="1"/>
  <c r="C19" i="1"/>
  <c r="B19" i="1"/>
  <c r="G13" i="1"/>
  <c r="D13" i="1"/>
  <c r="C13" i="1"/>
  <c r="B13" i="1"/>
  <c r="G12" i="1"/>
  <c r="D12" i="1"/>
  <c r="C12" i="1"/>
  <c r="B12" i="1"/>
  <c r="G6" i="1"/>
  <c r="D6" i="1"/>
  <c r="C6" i="1"/>
  <c r="B6" i="1"/>
  <c r="K88" i="7" l="1"/>
  <c r="K33" i="7"/>
  <c r="D18" i="9"/>
  <c r="E18" i="9" s="1"/>
  <c r="D15" i="9"/>
  <c r="E15" i="9" s="1"/>
  <c r="K35" i="7" l="1"/>
  <c r="K146" i="7"/>
  <c r="O8" i="7"/>
  <c r="O7" i="7"/>
  <c r="K153" i="7" l="1"/>
  <c r="K37" i="7"/>
  <c r="O4" i="7"/>
  <c r="O3" i="7"/>
  <c r="O5" i="7"/>
  <c r="O6" i="7"/>
  <c r="O2" i="7"/>
  <c r="C3" i="1"/>
  <c r="C4" i="1"/>
  <c r="C5" i="1"/>
  <c r="C7" i="1"/>
  <c r="C8" i="1"/>
  <c r="C9" i="1"/>
  <c r="C10" i="1"/>
  <c r="C11" i="1"/>
  <c r="C14" i="1"/>
  <c r="C15" i="1"/>
  <c r="C16" i="1"/>
  <c r="C17" i="1"/>
  <c r="C18" i="1"/>
  <c r="C22" i="1"/>
  <c r="C23" i="1"/>
  <c r="C24" i="1"/>
  <c r="C25" i="1"/>
  <c r="C26" i="1"/>
  <c r="C27" i="1"/>
  <c r="C28" i="1"/>
  <c r="C29" i="1"/>
  <c r="C30" i="1"/>
  <c r="C31" i="1"/>
  <c r="C32" i="1"/>
  <c r="C35" i="1"/>
  <c r="C36" i="1"/>
  <c r="C37" i="1"/>
  <c r="C38" i="1"/>
  <c r="C41" i="1"/>
  <c r="C42" i="1"/>
  <c r="C43" i="1"/>
  <c r="C44" i="1"/>
  <c r="C47" i="1"/>
  <c r="C48" i="1"/>
  <c r="C49" i="1"/>
  <c r="C50" i="1"/>
  <c r="D3" i="8"/>
  <c r="D4" i="8"/>
  <c r="D5" i="8"/>
  <c r="D8" i="8"/>
  <c r="D9" i="8"/>
  <c r="D10" i="8"/>
  <c r="D11" i="8"/>
  <c r="D14" i="8"/>
  <c r="D15" i="8"/>
  <c r="D16" i="8"/>
  <c r="D17" i="8"/>
  <c r="D28" i="8"/>
  <c r="D29" i="8"/>
  <c r="D30" i="8"/>
  <c r="D3" i="4"/>
  <c r="D4" i="4"/>
  <c r="D5" i="4"/>
  <c r="D8" i="4"/>
  <c r="D9" i="4"/>
  <c r="D10" i="4"/>
  <c r="D11" i="4"/>
  <c r="D14" i="4"/>
  <c r="D15" i="4"/>
  <c r="D16" i="4"/>
  <c r="D17" i="4"/>
  <c r="D27" i="4"/>
  <c r="D28" i="4"/>
  <c r="D29" i="4"/>
  <c r="D30" i="4"/>
  <c r="D3" i="3"/>
  <c r="D4" i="3"/>
  <c r="D5" i="3"/>
  <c r="D7" i="3"/>
  <c r="D8" i="3"/>
  <c r="D9" i="3"/>
  <c r="D10" i="3"/>
  <c r="D11" i="3"/>
  <c r="D13" i="3"/>
  <c r="D15" i="3"/>
  <c r="D16" i="3"/>
  <c r="D17" i="3"/>
  <c r="D18" i="3"/>
  <c r="D29" i="3"/>
  <c r="D30" i="3"/>
  <c r="D3" i="1"/>
  <c r="D4" i="1"/>
  <c r="D5" i="1"/>
  <c r="D7" i="1"/>
  <c r="D8" i="1"/>
  <c r="D9" i="1"/>
  <c r="D10" i="1"/>
  <c r="D11" i="1"/>
  <c r="D15" i="1"/>
  <c r="D16" i="1"/>
  <c r="D17" i="1"/>
  <c r="D18" i="1"/>
  <c r="D30" i="1"/>
  <c r="D31" i="1"/>
  <c r="D32" i="1"/>
  <c r="D2" i="3"/>
  <c r="D2" i="4"/>
  <c r="D2" i="8"/>
  <c r="D2" i="1"/>
  <c r="D3" i="6"/>
  <c r="D4" i="6"/>
  <c r="D5" i="6"/>
  <c r="D11" i="6"/>
  <c r="D2" i="6"/>
  <c r="D3" i="5"/>
  <c r="D2" i="5"/>
  <c r="C2" i="5"/>
  <c r="N3" i="7"/>
  <c r="N4" i="7"/>
  <c r="N5" i="7"/>
  <c r="N6" i="7"/>
  <c r="N7" i="7"/>
  <c r="N8" i="7"/>
  <c r="N2" i="7"/>
  <c r="K39" i="7" l="1"/>
  <c r="K160" i="7"/>
  <c r="O9" i="7"/>
  <c r="K167" i="7" l="1"/>
  <c r="K41" i="7"/>
  <c r="B3" i="8"/>
  <c r="B4" i="8"/>
  <c r="B5" i="8"/>
  <c r="B8" i="8"/>
  <c r="B9" i="8"/>
  <c r="B10" i="8"/>
  <c r="B11" i="8"/>
  <c r="B14" i="8"/>
  <c r="B15" i="8"/>
  <c r="B16" i="8"/>
  <c r="B17" i="8"/>
  <c r="B20" i="8"/>
  <c r="B21" i="8"/>
  <c r="B22" i="8"/>
  <c r="B23" i="8"/>
  <c r="B24" i="8"/>
  <c r="B27" i="8"/>
  <c r="B28" i="8"/>
  <c r="B29" i="8"/>
  <c r="B30" i="8"/>
  <c r="B33" i="8"/>
  <c r="B34" i="8"/>
  <c r="B35" i="8"/>
  <c r="B36" i="8"/>
  <c r="B39" i="8"/>
  <c r="B40" i="8"/>
  <c r="B41" i="8"/>
  <c r="B44" i="8"/>
  <c r="B45" i="8"/>
  <c r="B46" i="8"/>
  <c r="B47" i="8"/>
  <c r="B3" i="4"/>
  <c r="B4" i="4"/>
  <c r="B5" i="4"/>
  <c r="B8" i="4"/>
  <c r="B9" i="4"/>
  <c r="B10" i="4"/>
  <c r="B11" i="4"/>
  <c r="B14" i="4"/>
  <c r="B15" i="4"/>
  <c r="B16" i="4"/>
  <c r="B17" i="4"/>
  <c r="B20" i="4"/>
  <c r="B21" i="4"/>
  <c r="B22" i="4"/>
  <c r="B23" i="4"/>
  <c r="B24" i="4"/>
  <c r="B27" i="4"/>
  <c r="B28" i="4"/>
  <c r="B29" i="4"/>
  <c r="B30" i="4"/>
  <c r="B33" i="4"/>
  <c r="B34" i="4"/>
  <c r="B35" i="4"/>
  <c r="B36" i="4"/>
  <c r="B39" i="4"/>
  <c r="B40" i="4"/>
  <c r="B41" i="4"/>
  <c r="B42" i="4"/>
  <c r="B45" i="4"/>
  <c r="B46" i="4"/>
  <c r="B47" i="4"/>
  <c r="B48" i="4"/>
  <c r="B3" i="3"/>
  <c r="B4" i="3"/>
  <c r="B5" i="3"/>
  <c r="B7" i="3"/>
  <c r="B8" i="3"/>
  <c r="B9" i="3"/>
  <c r="B10" i="3"/>
  <c r="B11" i="3"/>
  <c r="B13" i="3"/>
  <c r="B14" i="3"/>
  <c r="B15" i="3"/>
  <c r="B16" i="3"/>
  <c r="B17" i="3"/>
  <c r="B18" i="3"/>
  <c r="B20" i="3"/>
  <c r="B21" i="3"/>
  <c r="B22" i="3"/>
  <c r="B23" i="3"/>
  <c r="B24" i="3"/>
  <c r="B25" i="3"/>
  <c r="B26" i="3"/>
  <c r="B27" i="3"/>
  <c r="B28" i="3"/>
  <c r="B29" i="3"/>
  <c r="B30" i="3"/>
  <c r="B33" i="3"/>
  <c r="B34" i="3"/>
  <c r="B35" i="3"/>
  <c r="B36" i="3"/>
  <c r="B38" i="3"/>
  <c r="B39" i="3"/>
  <c r="B40" i="3"/>
  <c r="B41" i="3"/>
  <c r="B42" i="3"/>
  <c r="B44" i="3"/>
  <c r="B45" i="3"/>
  <c r="B46" i="3"/>
  <c r="B47" i="3"/>
  <c r="B48" i="3"/>
  <c r="B49" i="3"/>
  <c r="B51" i="3"/>
  <c r="B3" i="1"/>
  <c r="B4" i="1"/>
  <c r="B5" i="1"/>
  <c r="B7" i="1"/>
  <c r="B8" i="1"/>
  <c r="B9" i="1"/>
  <c r="B10" i="1"/>
  <c r="B11" i="1"/>
  <c r="B14" i="1"/>
  <c r="B15" i="1"/>
  <c r="B16" i="1"/>
  <c r="B17" i="1"/>
  <c r="B18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41" i="1"/>
  <c r="B42" i="1"/>
  <c r="B43" i="1"/>
  <c r="B44" i="1"/>
  <c r="B47" i="1"/>
  <c r="B48" i="1"/>
  <c r="B49" i="1"/>
  <c r="B50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2" i="5"/>
  <c r="C3" i="8"/>
  <c r="C4" i="8"/>
  <c r="C5" i="8"/>
  <c r="C8" i="8"/>
  <c r="C9" i="8"/>
  <c r="C10" i="8"/>
  <c r="C11" i="8"/>
  <c r="C14" i="8"/>
  <c r="C15" i="8"/>
  <c r="C16" i="8"/>
  <c r="C17" i="8"/>
  <c r="C20" i="8"/>
  <c r="C21" i="8"/>
  <c r="C22" i="8"/>
  <c r="C23" i="8"/>
  <c r="C24" i="8"/>
  <c r="C27" i="8"/>
  <c r="C28" i="8"/>
  <c r="C29" i="8"/>
  <c r="C30" i="8"/>
  <c r="C33" i="8"/>
  <c r="C34" i="8"/>
  <c r="C35" i="8"/>
  <c r="C36" i="8"/>
  <c r="C39" i="8"/>
  <c r="C40" i="8"/>
  <c r="C41" i="8"/>
  <c r="C44" i="8"/>
  <c r="C45" i="8"/>
  <c r="C46" i="8"/>
  <c r="C47" i="8"/>
  <c r="C3" i="4"/>
  <c r="C4" i="4"/>
  <c r="C5" i="4"/>
  <c r="C8" i="4"/>
  <c r="C9" i="4"/>
  <c r="C10" i="4"/>
  <c r="C11" i="4"/>
  <c r="C14" i="4"/>
  <c r="C15" i="4"/>
  <c r="C16" i="4"/>
  <c r="C17" i="4"/>
  <c r="C20" i="4"/>
  <c r="C21" i="4"/>
  <c r="C22" i="4"/>
  <c r="C23" i="4"/>
  <c r="C24" i="4"/>
  <c r="C27" i="4"/>
  <c r="C28" i="4"/>
  <c r="C29" i="4"/>
  <c r="C30" i="4"/>
  <c r="C33" i="4"/>
  <c r="C34" i="4"/>
  <c r="C35" i="4"/>
  <c r="C36" i="4"/>
  <c r="C39" i="4"/>
  <c r="C40" i="4"/>
  <c r="C41" i="4"/>
  <c r="C42" i="4"/>
  <c r="C45" i="4"/>
  <c r="C46" i="4"/>
  <c r="C47" i="4"/>
  <c r="C48" i="4"/>
  <c r="C3" i="3"/>
  <c r="C4" i="3"/>
  <c r="C5" i="3"/>
  <c r="C7" i="3"/>
  <c r="C8" i="3"/>
  <c r="C9" i="3"/>
  <c r="C10" i="3"/>
  <c r="C11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3" i="3"/>
  <c r="C34" i="3"/>
  <c r="C35" i="3"/>
  <c r="C36" i="3"/>
  <c r="C38" i="3"/>
  <c r="C39" i="3"/>
  <c r="C40" i="3"/>
  <c r="C41" i="3"/>
  <c r="C42" i="3"/>
  <c r="C44" i="3"/>
  <c r="C45" i="3"/>
  <c r="C46" i="3"/>
  <c r="C47" i="3"/>
  <c r="C48" i="3"/>
  <c r="C49" i="3"/>
  <c r="C51" i="3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6" i="6"/>
  <c r="C17" i="6"/>
  <c r="C2" i="6"/>
  <c r="C3" i="5"/>
  <c r="C4" i="5"/>
  <c r="C5" i="5"/>
  <c r="C6" i="5"/>
  <c r="C7" i="5"/>
  <c r="K173" i="7" l="1"/>
  <c r="N9" i="7"/>
  <c r="A2" i="8"/>
  <c r="A2" i="4"/>
  <c r="A2" i="3"/>
  <c r="A2" i="1"/>
  <c r="A2" i="6"/>
  <c r="A2" i="5"/>
  <c r="A3" i="5" s="1"/>
  <c r="A4" i="5" s="1"/>
  <c r="A5" i="5" s="1"/>
  <c r="A6" i="5" s="1"/>
  <c r="A7" i="5" s="1"/>
  <c r="F44" i="8"/>
  <c r="F39" i="8"/>
  <c r="F33" i="8"/>
  <c r="F27" i="8"/>
  <c r="F20" i="8"/>
  <c r="F14" i="8"/>
  <c r="F8" i="8"/>
  <c r="F45" i="4"/>
  <c r="F39" i="4"/>
  <c r="F33" i="4"/>
  <c r="F27" i="4"/>
  <c r="F20" i="4"/>
  <c r="F14" i="4"/>
  <c r="F8" i="4"/>
  <c r="F45" i="3"/>
  <c r="F39" i="3"/>
  <c r="F33" i="3"/>
  <c r="F27" i="3"/>
  <c r="F21" i="3"/>
  <c r="F14" i="3"/>
  <c r="F8" i="3"/>
  <c r="F47" i="1"/>
  <c r="F41" i="1"/>
  <c r="F35" i="1"/>
  <c r="F28" i="1"/>
  <c r="F21" i="1"/>
  <c r="F14" i="1"/>
  <c r="F8" i="1"/>
  <c r="F16" i="6"/>
  <c r="F14" i="6"/>
  <c r="F12" i="6"/>
  <c r="F10" i="6"/>
  <c r="F8" i="6"/>
  <c r="F6" i="6"/>
  <c r="F4" i="6"/>
  <c r="F4" i="5"/>
  <c r="F5" i="5"/>
  <c r="F6" i="5"/>
  <c r="F7" i="5"/>
  <c r="F3" i="5"/>
  <c r="AV1" i="7"/>
  <c r="AY1" i="7" s="1"/>
  <c r="AT1" i="7"/>
  <c r="K179" i="7" l="1"/>
  <c r="AW1" i="7"/>
  <c r="AX1" i="7"/>
  <c r="M8" i="5"/>
  <c r="M7" i="5"/>
  <c r="M6" i="5"/>
  <c r="M5" i="5"/>
  <c r="M4" i="5"/>
  <c r="M3" i="5"/>
  <c r="M2" i="5"/>
  <c r="M8" i="6"/>
  <c r="M7" i="6"/>
  <c r="M6" i="6"/>
  <c r="M5" i="6"/>
  <c r="M4" i="6"/>
  <c r="M3" i="6"/>
  <c r="M2" i="6"/>
  <c r="M8" i="1"/>
  <c r="M7" i="1"/>
  <c r="M6" i="1"/>
  <c r="M5" i="1"/>
  <c r="M4" i="1"/>
  <c r="M3" i="1"/>
  <c r="M2" i="1"/>
  <c r="M8" i="3"/>
  <c r="M7" i="3"/>
  <c r="M6" i="3"/>
  <c r="M5" i="3"/>
  <c r="M4" i="3"/>
  <c r="M3" i="3"/>
  <c r="M2" i="3"/>
  <c r="M8" i="8"/>
  <c r="M7" i="8"/>
  <c r="M6" i="8"/>
  <c r="M5" i="8"/>
  <c r="M4" i="8"/>
  <c r="M3" i="8"/>
  <c r="M2" i="8"/>
  <c r="M8" i="4"/>
  <c r="M7" i="4"/>
  <c r="M6" i="4"/>
  <c r="M5" i="4"/>
  <c r="M4" i="4"/>
  <c r="M3" i="4"/>
  <c r="M2" i="4"/>
  <c r="G47" i="8"/>
  <c r="G46" i="8"/>
  <c r="G45" i="8"/>
  <c r="G44" i="8"/>
  <c r="G41" i="8"/>
  <c r="G40" i="8"/>
  <c r="G39" i="8"/>
  <c r="F40" i="8" s="1"/>
  <c r="J40" i="8" s="1"/>
  <c r="J39" i="8"/>
  <c r="G36" i="8"/>
  <c r="G35" i="8"/>
  <c r="G34" i="8"/>
  <c r="G33" i="8"/>
  <c r="F34" i="8" s="1"/>
  <c r="J34" i="8" s="1"/>
  <c r="J33" i="8"/>
  <c r="G30" i="8"/>
  <c r="G29" i="8"/>
  <c r="G28" i="8"/>
  <c r="J27" i="8"/>
  <c r="G27" i="8"/>
  <c r="G24" i="8"/>
  <c r="G23" i="8"/>
  <c r="G22" i="8"/>
  <c r="G21" i="8"/>
  <c r="G20" i="8"/>
  <c r="F21" i="8" s="1"/>
  <c r="J21" i="8" s="1"/>
  <c r="J20" i="8"/>
  <c r="G17" i="8"/>
  <c r="G16" i="8"/>
  <c r="G15" i="8"/>
  <c r="J14" i="8"/>
  <c r="G14" i="8"/>
  <c r="F15" i="8" s="1"/>
  <c r="J15" i="8" s="1"/>
  <c r="G11" i="8"/>
  <c r="G10" i="8"/>
  <c r="G9" i="8"/>
  <c r="J8" i="8"/>
  <c r="G8" i="8"/>
  <c r="F9" i="8" s="1"/>
  <c r="G5" i="8"/>
  <c r="G4" i="8"/>
  <c r="G3" i="8"/>
  <c r="A3" i="8"/>
  <c r="A4" i="8" s="1"/>
  <c r="A5" i="8" s="1"/>
  <c r="A8" i="8" s="1"/>
  <c r="A9" i="8" s="1"/>
  <c r="A10" i="8" s="1"/>
  <c r="A11" i="8" s="1"/>
  <c r="A14" i="8" s="1"/>
  <c r="A15" i="8" s="1"/>
  <c r="A16" i="8" s="1"/>
  <c r="A17" i="8" s="1"/>
  <c r="A20" i="8" s="1"/>
  <c r="A21" i="8" s="1"/>
  <c r="A22" i="8" s="1"/>
  <c r="A23" i="8" s="1"/>
  <c r="A24" i="8" s="1"/>
  <c r="A27" i="8" s="1"/>
  <c r="A28" i="8" s="1"/>
  <c r="A29" i="8" s="1"/>
  <c r="A30" i="8" s="1"/>
  <c r="A33" i="8" s="1"/>
  <c r="A34" i="8" s="1"/>
  <c r="A35" i="8" s="1"/>
  <c r="A36" i="8" s="1"/>
  <c r="A39" i="8" s="1"/>
  <c r="A40" i="8" s="1"/>
  <c r="A41" i="8" s="1"/>
  <c r="A44" i="8" s="1"/>
  <c r="J2" i="8"/>
  <c r="G2" i="8"/>
  <c r="F3" i="8" s="1"/>
  <c r="G17" i="6"/>
  <c r="G16" i="6"/>
  <c r="J16" i="6"/>
  <c r="G15" i="6"/>
  <c r="G14" i="6"/>
  <c r="J14" i="6"/>
  <c r="G13" i="6"/>
  <c r="G12" i="6"/>
  <c r="J12" i="6"/>
  <c r="G11" i="6"/>
  <c r="G10" i="6"/>
  <c r="J10" i="6"/>
  <c r="G9" i="6"/>
  <c r="G8" i="6"/>
  <c r="F9" i="6" s="1"/>
  <c r="J9" i="6" s="1"/>
  <c r="G7" i="6"/>
  <c r="G6" i="6"/>
  <c r="J6" i="6"/>
  <c r="G5" i="6"/>
  <c r="G4" i="6"/>
  <c r="J4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J2" i="6"/>
  <c r="G2" i="6"/>
  <c r="F3" i="6" s="1"/>
  <c r="J3" i="6" s="1"/>
  <c r="G7" i="5"/>
  <c r="G6" i="5"/>
  <c r="J6" i="5"/>
  <c r="G5" i="5"/>
  <c r="J5" i="5"/>
  <c r="G4" i="5"/>
  <c r="G3" i="5"/>
  <c r="J3" i="5"/>
  <c r="J2" i="5"/>
  <c r="G2" i="5"/>
  <c r="G48" i="4"/>
  <c r="G47" i="4"/>
  <c r="G46" i="4"/>
  <c r="G45" i="4"/>
  <c r="G42" i="4"/>
  <c r="G41" i="4"/>
  <c r="G40" i="4"/>
  <c r="G39" i="4"/>
  <c r="J39" i="4"/>
  <c r="G36" i="4"/>
  <c r="G35" i="4"/>
  <c r="G34" i="4"/>
  <c r="G33" i="4"/>
  <c r="J33" i="4"/>
  <c r="G30" i="4"/>
  <c r="G29" i="4"/>
  <c r="G28" i="4"/>
  <c r="G27" i="4"/>
  <c r="G24" i="4"/>
  <c r="G23" i="4"/>
  <c r="G22" i="4"/>
  <c r="G21" i="4"/>
  <c r="G20" i="4"/>
  <c r="J20" i="4"/>
  <c r="G17" i="4"/>
  <c r="G16" i="4"/>
  <c r="G15" i="4"/>
  <c r="G14" i="4"/>
  <c r="J14" i="4"/>
  <c r="G11" i="4"/>
  <c r="G10" i="4"/>
  <c r="G9" i="4"/>
  <c r="J8" i="4"/>
  <c r="G8" i="4"/>
  <c r="G5" i="4"/>
  <c r="G4" i="4"/>
  <c r="G3" i="4"/>
  <c r="A3" i="4"/>
  <c r="A4" i="4" s="1"/>
  <c r="A5" i="4" s="1"/>
  <c r="A8" i="4" s="1"/>
  <c r="A9" i="4" s="1"/>
  <c r="A10" i="4" s="1"/>
  <c r="A11" i="4" s="1"/>
  <c r="A14" i="4" s="1"/>
  <c r="A15" i="4" s="1"/>
  <c r="A16" i="4" s="1"/>
  <c r="A17" i="4" s="1"/>
  <c r="A20" i="4" s="1"/>
  <c r="J2" i="4"/>
  <c r="G2" i="4"/>
  <c r="F3" i="4" s="1"/>
  <c r="J3" i="4" s="1"/>
  <c r="G49" i="3"/>
  <c r="G50" i="1"/>
  <c r="G49" i="1"/>
  <c r="G48" i="1"/>
  <c r="J47" i="1"/>
  <c r="G47" i="1"/>
  <c r="G44" i="1"/>
  <c r="G43" i="1"/>
  <c r="G42" i="1"/>
  <c r="G41" i="1"/>
  <c r="J41" i="1"/>
  <c r="G38" i="1"/>
  <c r="G37" i="1"/>
  <c r="G36" i="1"/>
  <c r="G35" i="1"/>
  <c r="G32" i="1"/>
  <c r="G31" i="1"/>
  <c r="G30" i="1"/>
  <c r="G29" i="1"/>
  <c r="J28" i="1"/>
  <c r="G28" i="1"/>
  <c r="G27" i="1"/>
  <c r="G26" i="1"/>
  <c r="G25" i="1"/>
  <c r="G24" i="1"/>
  <c r="G23" i="1"/>
  <c r="G22" i="1"/>
  <c r="J21" i="1"/>
  <c r="G21" i="1"/>
  <c r="F22" i="1" s="1"/>
  <c r="G18" i="1"/>
  <c r="G17" i="1"/>
  <c r="G16" i="1"/>
  <c r="G15" i="1"/>
  <c r="G14" i="1"/>
  <c r="J14" i="1"/>
  <c r="G11" i="1"/>
  <c r="G10" i="1"/>
  <c r="G9" i="1"/>
  <c r="G8" i="1"/>
  <c r="G7" i="1"/>
  <c r="G5" i="1"/>
  <c r="G4" i="1"/>
  <c r="G3" i="1"/>
  <c r="A3" i="1"/>
  <c r="A4" i="1" s="1"/>
  <c r="J2" i="1"/>
  <c r="G2" i="1"/>
  <c r="F3" i="1" s="1"/>
  <c r="J45" i="3"/>
  <c r="J39" i="3"/>
  <c r="J27" i="3"/>
  <c r="J21" i="3"/>
  <c r="J14" i="3"/>
  <c r="J8" i="3"/>
  <c r="G51" i="3"/>
  <c r="G48" i="3"/>
  <c r="G47" i="3"/>
  <c r="G46" i="3"/>
  <c r="G45" i="3"/>
  <c r="G44" i="3"/>
  <c r="G42" i="3"/>
  <c r="G41" i="3"/>
  <c r="G40" i="3"/>
  <c r="G39" i="3"/>
  <c r="F40" i="3" s="1"/>
  <c r="J40" i="3" s="1"/>
  <c r="G38" i="3"/>
  <c r="G36" i="3"/>
  <c r="G35" i="3"/>
  <c r="G34" i="3"/>
  <c r="G33" i="3"/>
  <c r="G30" i="3"/>
  <c r="G29" i="3"/>
  <c r="G28" i="3"/>
  <c r="G27" i="3"/>
  <c r="G26" i="3"/>
  <c r="G25" i="3"/>
  <c r="G24" i="3"/>
  <c r="G23" i="3"/>
  <c r="G22" i="3"/>
  <c r="G21" i="3"/>
  <c r="G20" i="3"/>
  <c r="G18" i="3"/>
  <c r="G17" i="3"/>
  <c r="G16" i="3"/>
  <c r="G15" i="3"/>
  <c r="G14" i="3"/>
  <c r="G13" i="3"/>
  <c r="G11" i="3"/>
  <c r="G10" i="3"/>
  <c r="G9" i="3"/>
  <c r="G8" i="3"/>
  <c r="G7" i="3"/>
  <c r="G5" i="3"/>
  <c r="G4" i="3"/>
  <c r="G3" i="3"/>
  <c r="A3" i="3"/>
  <c r="A4" i="3" s="1"/>
  <c r="A5" i="3" s="1"/>
  <c r="J2" i="3"/>
  <c r="G2" i="3"/>
  <c r="F3" i="3" s="1"/>
  <c r="J3" i="3" s="1"/>
  <c r="K122" i="7" l="1"/>
  <c r="K237" i="7"/>
  <c r="A7" i="3"/>
  <c r="A8" i="3" s="1"/>
  <c r="A9" i="3" s="1"/>
  <c r="A10" i="3" s="1"/>
  <c r="A11" i="3" s="1"/>
  <c r="A6" i="3"/>
  <c r="A5" i="1"/>
  <c r="A7" i="1" s="1"/>
  <c r="A8" i="1" s="1"/>
  <c r="A9" i="1" s="1"/>
  <c r="A10" i="1" s="1"/>
  <c r="A11" i="1" s="1"/>
  <c r="A6" i="1"/>
  <c r="A45" i="8"/>
  <c r="A46" i="8" s="1"/>
  <c r="A47" i="8" s="1"/>
  <c r="F16" i="8"/>
  <c r="F17" i="8" s="1"/>
  <c r="F45" i="8"/>
  <c r="J45" i="8" s="1"/>
  <c r="F35" i="8"/>
  <c r="F36" i="8" s="1"/>
  <c r="J36" i="8" s="1"/>
  <c r="F28" i="8"/>
  <c r="J28" i="8" s="1"/>
  <c r="J3" i="8"/>
  <c r="F4" i="8"/>
  <c r="J9" i="8"/>
  <c r="F10" i="8"/>
  <c r="F9" i="4"/>
  <c r="F10" i="4" s="1"/>
  <c r="J44" i="8"/>
  <c r="F22" i="8"/>
  <c r="F41" i="8"/>
  <c r="J8" i="6"/>
  <c r="F17" i="6"/>
  <c r="J17" i="6" s="1"/>
  <c r="F15" i="6"/>
  <c r="J15" i="6" s="1"/>
  <c r="F7" i="6"/>
  <c r="J7" i="6" s="1"/>
  <c r="F5" i="6"/>
  <c r="J5" i="6" s="1"/>
  <c r="F13" i="6"/>
  <c r="J13" i="6" s="1"/>
  <c r="F11" i="6"/>
  <c r="J11" i="6" s="1"/>
  <c r="F36" i="1"/>
  <c r="F37" i="1" s="1"/>
  <c r="J4" i="5"/>
  <c r="J7" i="5"/>
  <c r="J22" i="1"/>
  <c r="F23" i="1"/>
  <c r="J23" i="1" s="1"/>
  <c r="F9" i="1"/>
  <c r="F10" i="1" s="1"/>
  <c r="A21" i="4"/>
  <c r="A22" i="4" s="1"/>
  <c r="A23" i="4" s="1"/>
  <c r="A24" i="4" s="1"/>
  <c r="A27" i="4" s="1"/>
  <c r="A28" i="4" s="1"/>
  <c r="A29" i="4" s="1"/>
  <c r="A30" i="4" s="1"/>
  <c r="A33" i="4" s="1"/>
  <c r="A34" i="4" s="1"/>
  <c r="A35" i="4" s="1"/>
  <c r="A36" i="4" s="1"/>
  <c r="A39" i="4" s="1"/>
  <c r="A40" i="4" s="1"/>
  <c r="A41" i="4" s="1"/>
  <c r="A42" i="4" s="1"/>
  <c r="A45" i="4" s="1"/>
  <c r="A46" i="4" s="1"/>
  <c r="A47" i="4" s="1"/>
  <c r="A48" i="4" s="1"/>
  <c r="F15" i="4"/>
  <c r="J15" i="4" s="1"/>
  <c r="F34" i="4"/>
  <c r="F35" i="4" s="1"/>
  <c r="J35" i="4" s="1"/>
  <c r="F46" i="4"/>
  <c r="J46" i="4" s="1"/>
  <c r="F28" i="4"/>
  <c r="J28" i="4" s="1"/>
  <c r="J45" i="4"/>
  <c r="F40" i="4"/>
  <c r="J40" i="4" s="1"/>
  <c r="F21" i="4"/>
  <c r="J21" i="4" s="1"/>
  <c r="J27" i="4"/>
  <c r="J3" i="1"/>
  <c r="F4" i="1"/>
  <c r="J4" i="1" s="1"/>
  <c r="F48" i="1"/>
  <c r="J48" i="1" s="1"/>
  <c r="F4" i="4"/>
  <c r="F29" i="1"/>
  <c r="J29" i="1" s="1"/>
  <c r="F22" i="3"/>
  <c r="J22" i="3" s="1"/>
  <c r="F46" i="3"/>
  <c r="J46" i="3" s="1"/>
  <c r="F15" i="3"/>
  <c r="F16" i="3" s="1"/>
  <c r="F34" i="3"/>
  <c r="F35" i="3" s="1"/>
  <c r="J8" i="1"/>
  <c r="F15" i="1"/>
  <c r="J35" i="1"/>
  <c r="F42" i="1"/>
  <c r="J33" i="3"/>
  <c r="F28" i="3"/>
  <c r="F29" i="3" s="1"/>
  <c r="F30" i="3" s="1"/>
  <c r="F31" i="3" s="1"/>
  <c r="F32" i="3" s="1"/>
  <c r="J32" i="3" s="1"/>
  <c r="F9" i="3"/>
  <c r="F10" i="3" s="1"/>
  <c r="F4" i="3"/>
  <c r="F41" i="3"/>
  <c r="K244" i="7" l="1"/>
  <c r="K124" i="7"/>
  <c r="J31" i="3"/>
  <c r="A13" i="3"/>
  <c r="A14" i="3" s="1"/>
  <c r="A15" i="3" s="1"/>
  <c r="A16" i="3" s="1"/>
  <c r="A17" i="3" s="1"/>
  <c r="A18" i="3" s="1"/>
  <c r="A12" i="3"/>
  <c r="A12" i="1"/>
  <c r="A13" i="1" s="1"/>
  <c r="A14" i="1" s="1"/>
  <c r="A15" i="1" s="1"/>
  <c r="A16" i="1" s="1"/>
  <c r="A17" i="1" s="1"/>
  <c r="A18" i="1" s="1"/>
  <c r="F24" i="1"/>
  <c r="J24" i="1" s="1"/>
  <c r="J9" i="4"/>
  <c r="J16" i="8"/>
  <c r="F36" i="4"/>
  <c r="J17" i="8"/>
  <c r="F46" i="8"/>
  <c r="J46" i="8" s="1"/>
  <c r="J35" i="8"/>
  <c r="J36" i="1"/>
  <c r="J9" i="1"/>
  <c r="F29" i="8"/>
  <c r="J29" i="8" s="1"/>
  <c r="J22" i="8"/>
  <c r="F23" i="8"/>
  <c r="J41" i="8"/>
  <c r="J10" i="8"/>
  <c r="F11" i="8"/>
  <c r="F5" i="8"/>
  <c r="J4" i="8"/>
  <c r="F49" i="1"/>
  <c r="F50" i="1" s="1"/>
  <c r="F30" i="1"/>
  <c r="J30" i="1" s="1"/>
  <c r="J34" i="4"/>
  <c r="F41" i="4"/>
  <c r="J41" i="4" s="1"/>
  <c r="F16" i="4"/>
  <c r="F17" i="4" s="1"/>
  <c r="F22" i="4"/>
  <c r="F23" i="4" s="1"/>
  <c r="F29" i="4"/>
  <c r="J29" i="4" s="1"/>
  <c r="F47" i="4"/>
  <c r="J47" i="4" s="1"/>
  <c r="J10" i="4"/>
  <c r="F11" i="4"/>
  <c r="F5" i="4"/>
  <c r="J4" i="4"/>
  <c r="J15" i="3"/>
  <c r="F5" i="1"/>
  <c r="F47" i="3"/>
  <c r="J47" i="3" s="1"/>
  <c r="F23" i="3"/>
  <c r="F24" i="3" s="1"/>
  <c r="F25" i="3" s="1"/>
  <c r="J34" i="3"/>
  <c r="F36" i="3"/>
  <c r="J35" i="3"/>
  <c r="F25" i="1"/>
  <c r="J37" i="1"/>
  <c r="F38" i="1"/>
  <c r="F39" i="1" s="1"/>
  <c r="F16" i="1"/>
  <c r="J15" i="1"/>
  <c r="J10" i="1"/>
  <c r="F11" i="1"/>
  <c r="F12" i="1" s="1"/>
  <c r="J42" i="1"/>
  <c r="F43" i="1"/>
  <c r="J29" i="3"/>
  <c r="J28" i="3"/>
  <c r="J9" i="3"/>
  <c r="J10" i="3"/>
  <c r="F11" i="3"/>
  <c r="F12" i="3" s="1"/>
  <c r="J12" i="3" s="1"/>
  <c r="J41" i="3"/>
  <c r="F42" i="3"/>
  <c r="F43" i="3" s="1"/>
  <c r="J43" i="3" s="1"/>
  <c r="J16" i="3"/>
  <c r="F17" i="3"/>
  <c r="J30" i="3"/>
  <c r="F5" i="3"/>
  <c r="F6" i="3" s="1"/>
  <c r="J6" i="3" s="1"/>
  <c r="J4" i="3"/>
  <c r="K126" i="7" l="1"/>
  <c r="K251" i="7"/>
  <c r="J38" i="3"/>
  <c r="F37" i="3"/>
  <c r="J37" i="3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19" i="3"/>
  <c r="F40" i="1"/>
  <c r="J40" i="1" s="1"/>
  <c r="J39" i="1"/>
  <c r="A19" i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J12" i="1"/>
  <c r="F13" i="1"/>
  <c r="J13" i="1" s="1"/>
  <c r="J5" i="1"/>
  <c r="F6" i="1"/>
  <c r="J36" i="4"/>
  <c r="F31" i="1"/>
  <c r="F32" i="1" s="1"/>
  <c r="F33" i="1" s="1"/>
  <c r="F47" i="8"/>
  <c r="J47" i="8" s="1"/>
  <c r="J49" i="1"/>
  <c r="F30" i="8"/>
  <c r="J30" i="8" s="1"/>
  <c r="F42" i="4"/>
  <c r="J42" i="4" s="1"/>
  <c r="J5" i="8"/>
  <c r="J11" i="8"/>
  <c r="F24" i="8"/>
  <c r="J23" i="8"/>
  <c r="J36" i="3"/>
  <c r="J22" i="4"/>
  <c r="J17" i="4"/>
  <c r="F30" i="4"/>
  <c r="J16" i="4"/>
  <c r="F48" i="4"/>
  <c r="J48" i="4" s="1"/>
  <c r="J5" i="4"/>
  <c r="J11" i="4"/>
  <c r="F24" i="4"/>
  <c r="J23" i="4"/>
  <c r="J23" i="3"/>
  <c r="F48" i="3"/>
  <c r="J24" i="3"/>
  <c r="J25" i="1"/>
  <c r="F26" i="1"/>
  <c r="J11" i="1"/>
  <c r="J16" i="1"/>
  <c r="F17" i="1"/>
  <c r="J43" i="1"/>
  <c r="F44" i="1"/>
  <c r="F45" i="1" s="1"/>
  <c r="J38" i="1"/>
  <c r="J50" i="1"/>
  <c r="J25" i="3"/>
  <c r="F26" i="3"/>
  <c r="J42" i="3"/>
  <c r="J44" i="3"/>
  <c r="J7" i="3"/>
  <c r="J5" i="3"/>
  <c r="J17" i="3"/>
  <c r="F18" i="3"/>
  <c r="F19" i="3" s="1"/>
  <c r="J19" i="3" s="1"/>
  <c r="J11" i="3"/>
  <c r="J13" i="3"/>
  <c r="K258" i="7" l="1"/>
  <c r="K128" i="7"/>
  <c r="A34" i="3"/>
  <c r="A35" i="3" s="1"/>
  <c r="A36" i="3" s="1"/>
  <c r="A32" i="3"/>
  <c r="F46" i="1"/>
  <c r="J46" i="1" s="1"/>
  <c r="J45" i="1"/>
  <c r="F34" i="1"/>
  <c r="J34" i="1" s="1"/>
  <c r="J33" i="1"/>
  <c r="A33" i="1"/>
  <c r="A34" i="1" s="1"/>
  <c r="A35" i="1" s="1"/>
  <c r="A36" i="1" s="1"/>
  <c r="A37" i="1" s="1"/>
  <c r="A38" i="1" s="1"/>
  <c r="J31" i="1"/>
  <c r="J6" i="1"/>
  <c r="F7" i="1"/>
  <c r="J7" i="1" s="1"/>
  <c r="J24" i="8"/>
  <c r="J30" i="4"/>
  <c r="J48" i="3"/>
  <c r="F49" i="3"/>
  <c r="F50" i="3" s="1"/>
  <c r="J50" i="3" s="1"/>
  <c r="J24" i="4"/>
  <c r="J32" i="1"/>
  <c r="F18" i="1"/>
  <c r="F19" i="1" s="1"/>
  <c r="J17" i="1"/>
  <c r="F27" i="1"/>
  <c r="J27" i="1" s="1"/>
  <c r="J26" i="1"/>
  <c r="J44" i="1"/>
  <c r="J26" i="3"/>
  <c r="J18" i="3"/>
  <c r="J20" i="3"/>
  <c r="K130" i="7" l="1"/>
  <c r="K264" i="7"/>
  <c r="A37" i="3"/>
  <c r="A38" i="3"/>
  <c r="A39" i="3" s="1"/>
  <c r="A40" i="3" s="1"/>
  <c r="A41" i="3" s="1"/>
  <c r="A42" i="3" s="1"/>
  <c r="A39" i="1"/>
  <c r="A40" i="1" s="1"/>
  <c r="A41" i="1" s="1"/>
  <c r="A42" i="1" s="1"/>
  <c r="A43" i="1" s="1"/>
  <c r="A44" i="1" s="1"/>
  <c r="F20" i="1"/>
  <c r="J20" i="1" s="1"/>
  <c r="J19" i="1"/>
  <c r="J49" i="3"/>
  <c r="J51" i="3"/>
  <c r="J18" i="1"/>
  <c r="K132" i="7" l="1"/>
  <c r="K270" i="7"/>
  <c r="A44" i="3"/>
  <c r="A45" i="3" s="1"/>
  <c r="A46" i="3" s="1"/>
  <c r="A47" i="3" s="1"/>
  <c r="A48" i="3" s="1"/>
  <c r="A43" i="3"/>
  <c r="A45" i="1"/>
  <c r="A46" i="1" s="1"/>
  <c r="A47" i="1" s="1"/>
  <c r="A48" i="1" s="1"/>
  <c r="A49" i="1" s="1"/>
  <c r="A50" i="1" s="1"/>
  <c r="K340" i="7" l="1"/>
  <c r="A51" i="3"/>
  <c r="A49" i="3"/>
  <c r="A50" i="3" s="1"/>
  <c r="K347" i="7" l="1"/>
  <c r="K213" i="7" l="1"/>
  <c r="K354" i="7"/>
  <c r="K361" i="7" l="1"/>
  <c r="K215" i="7"/>
  <c r="K217" i="7" l="1"/>
  <c r="K367" i="7"/>
  <c r="K373" i="7" l="1"/>
  <c r="K219" i="7"/>
  <c r="K221" i="7" l="1"/>
  <c r="K431" i="7"/>
  <c r="K223" i="7" l="1"/>
  <c r="K438" i="7"/>
  <c r="K445" i="7" l="1"/>
  <c r="K452" i="7" l="1"/>
  <c r="K458" i="7" l="1"/>
  <c r="K316" i="7"/>
  <c r="K318" i="7" l="1"/>
  <c r="K464" i="7"/>
  <c r="K522" i="7" l="1"/>
  <c r="K320" i="7"/>
  <c r="K529" i="7" l="1"/>
  <c r="K322" i="7"/>
  <c r="K324" i="7" l="1"/>
  <c r="K536" i="7"/>
  <c r="K543" i="7" l="1"/>
  <c r="K326" i="7"/>
  <c r="K549" i="7" l="1"/>
  <c r="K555" i="7" l="1"/>
  <c r="K407" i="7" l="1"/>
  <c r="K613" i="7"/>
  <c r="K620" i="7" l="1"/>
  <c r="K409" i="7"/>
  <c r="K411" i="7" l="1"/>
  <c r="K627" i="7"/>
  <c r="K634" i="7" l="1"/>
  <c r="K413" i="7"/>
  <c r="K415" i="7" l="1"/>
  <c r="K640" i="7"/>
  <c r="K646" i="7" l="1"/>
  <c r="K417" i="7"/>
  <c r="K664" i="7" l="1"/>
  <c r="K671" i="7" l="1"/>
  <c r="K498" i="7" l="1"/>
  <c r="K678" i="7"/>
  <c r="K685" i="7" l="1"/>
  <c r="K500" i="7"/>
  <c r="K691" i="7" l="1"/>
  <c r="K502" i="7"/>
  <c r="K504" i="7" l="1"/>
  <c r="K697" i="7"/>
  <c r="K506" i="7" l="1"/>
  <c r="K43" i="7"/>
  <c r="K49" i="7" l="1"/>
  <c r="K508" i="7"/>
  <c r="K56" i="7" l="1"/>
  <c r="K63" i="7" l="1"/>
  <c r="K589" i="7" l="1"/>
  <c r="K70" i="7"/>
  <c r="K83" i="7" l="1"/>
  <c r="K591" i="7"/>
  <c r="K593" i="7" l="1"/>
  <c r="K134" i="7"/>
  <c r="K140" i="7" l="1"/>
  <c r="K595" i="7"/>
  <c r="K597" i="7" l="1"/>
  <c r="K147" i="7"/>
  <c r="K154" i="7" l="1"/>
  <c r="K599" i="7"/>
  <c r="K161" i="7" l="1"/>
  <c r="K174" i="7" l="1"/>
  <c r="K225" i="7" l="1"/>
  <c r="K231" i="7" l="1"/>
  <c r="K238" i="7" l="1"/>
  <c r="K27" i="7"/>
  <c r="K29" i="7" l="1"/>
  <c r="K245" i="7"/>
  <c r="K252" i="7" l="1"/>
  <c r="K118" i="7"/>
  <c r="K120" i="7" l="1"/>
  <c r="K265" i="7"/>
  <c r="K328" i="7" l="1"/>
  <c r="K209" i="7"/>
  <c r="K334" i="7" l="1"/>
  <c r="K211" i="7"/>
  <c r="K312" i="7" l="1"/>
  <c r="K341" i="7"/>
  <c r="K348" i="7" l="1"/>
  <c r="K314" i="7"/>
  <c r="K403" i="7" l="1"/>
  <c r="K355" i="7"/>
  <c r="K368" i="7" l="1"/>
  <c r="K405" i="7"/>
  <c r="K494" i="7" l="1"/>
  <c r="K419" i="7"/>
  <c r="K425" i="7" l="1"/>
  <c r="K496" i="7"/>
  <c r="K585" i="7" l="1"/>
  <c r="K432" i="7"/>
  <c r="K587" i="7" l="1"/>
  <c r="K439" i="7"/>
  <c r="K446" i="7" l="1"/>
  <c r="K459" i="7" l="1"/>
  <c r="K510" i="7" l="1"/>
  <c r="K516" i="7" l="1"/>
  <c r="K523" i="7" l="1"/>
  <c r="K530" i="7" l="1"/>
  <c r="K537" i="7" l="1"/>
  <c r="K550" i="7" l="1"/>
  <c r="K601" i="7" l="1"/>
  <c r="K607" i="7" l="1"/>
  <c r="K614" i="7" l="1"/>
  <c r="K621" i="7" l="1"/>
  <c r="K628" i="7" l="1"/>
  <c r="K641" i="7" l="1"/>
  <c r="K652" i="7" l="1"/>
  <c r="K658" i="7" l="1"/>
  <c r="K665" i="7" l="1"/>
  <c r="K672" i="7" l="1"/>
  <c r="K679" i="7" l="1"/>
  <c r="K692" i="7" l="1"/>
  <c r="K64" i="7" l="1"/>
  <c r="K77" i="7" l="1"/>
  <c r="K89" i="7" l="1"/>
  <c r="K155" i="7" l="1"/>
  <c r="K168" i="7" l="1"/>
  <c r="K180" i="7" l="1"/>
  <c r="K246" i="7" l="1"/>
  <c r="K259" i="7" l="1"/>
  <c r="K271" i="7" l="1"/>
  <c r="K349" i="7" l="1"/>
  <c r="K362" i="7" l="1"/>
  <c r="K374" i="7" l="1"/>
  <c r="K440" i="7" l="1"/>
  <c r="K453" i="7" l="1"/>
  <c r="K465" i="7" l="1"/>
  <c r="K531" i="7" l="1"/>
  <c r="K544" i="7" l="1"/>
  <c r="K556" i="7" l="1"/>
  <c r="K622" i="7" l="1"/>
  <c r="K635" i="7" l="1"/>
  <c r="K647" i="7" l="1"/>
  <c r="K673" i="7" l="1"/>
  <c r="K686" i="7" l="1"/>
  <c r="K698" i="7" l="1"/>
  <c r="K44" i="7" l="1"/>
  <c r="K50" i="7" l="1"/>
  <c r="K57" i="7" l="1"/>
  <c r="K71" i="7" l="1"/>
  <c r="K84" i="7" l="1"/>
  <c r="K90" i="7" l="1"/>
  <c r="K135" i="7" l="1"/>
  <c r="K141" i="7" l="1"/>
  <c r="K148" i="7" l="1"/>
  <c r="K162" i="7" l="1"/>
  <c r="K175" i="7" l="1"/>
  <c r="K181" i="7" l="1"/>
  <c r="K226" i="7" l="1"/>
  <c r="K232" i="7" l="1"/>
  <c r="K239" i="7" l="1"/>
  <c r="K253" i="7" l="1"/>
  <c r="K266" i="7" l="1"/>
  <c r="K272" i="7" l="1"/>
  <c r="K329" i="7" l="1"/>
  <c r="K335" i="7" l="1"/>
  <c r="K342" i="7" l="1"/>
  <c r="K356" i="7" l="1"/>
  <c r="K369" i="7" l="1"/>
  <c r="K375" i="7" l="1"/>
  <c r="K420" i="7" l="1"/>
  <c r="K426" i="7" l="1"/>
  <c r="K433" i="7" l="1"/>
  <c r="K447" i="7" l="1"/>
  <c r="K460" i="7" l="1"/>
  <c r="K466" i="7" l="1"/>
  <c r="K511" i="7" l="1"/>
  <c r="K517" i="7" l="1"/>
  <c r="K524" i="7" l="1"/>
  <c r="K538" i="7" l="1"/>
  <c r="K551" i="7" l="1"/>
  <c r="K557" i="7" l="1"/>
  <c r="K602" i="7" l="1"/>
  <c r="K608" i="7" l="1"/>
  <c r="K615" i="7" l="1"/>
  <c r="K629" i="7" l="1"/>
  <c r="K642" i="7" l="1"/>
  <c r="K648" i="7" l="1"/>
  <c r="K653" i="7" l="1"/>
  <c r="K659" i="7" l="1"/>
  <c r="K666" i="7" l="1"/>
  <c r="K680" i="7" l="1"/>
  <c r="K693" i="7" l="1"/>
  <c r="K699" i="7" l="1"/>
  <c r="K65" i="7" l="1"/>
  <c r="K78" i="7" l="1"/>
  <c r="K156" i="7" l="1"/>
  <c r="K169" i="7" l="1"/>
  <c r="K247" i="7" l="1"/>
  <c r="K260" i="7" l="1"/>
  <c r="K350" i="7" l="1"/>
  <c r="K363" i="7" l="1"/>
  <c r="K441" i="7" l="1"/>
  <c r="K454" i="7" l="1"/>
  <c r="K532" i="7" l="1"/>
  <c r="K545" i="7" l="1"/>
  <c r="K623" i="7" l="1"/>
  <c r="K636" i="7" l="1"/>
  <c r="K674" i="7" l="1"/>
  <c r="K687" i="7" l="1"/>
  <c r="K45" i="7" l="1"/>
  <c r="K51" i="7" l="1"/>
  <c r="K58" i="7" l="1"/>
  <c r="K66" i="7" l="1"/>
  <c r="K72" i="7" l="1"/>
  <c r="K85" i="7" l="1"/>
  <c r="K91" i="7" l="1"/>
  <c r="K136" i="7" l="1"/>
  <c r="K142" i="7" l="1"/>
  <c r="K149" i="7" l="1"/>
  <c r="K157" i="7" l="1"/>
  <c r="K163" i="7" l="1"/>
  <c r="K176" i="7" l="1"/>
  <c r="K182" i="7" l="1"/>
  <c r="K227" i="7" l="1"/>
  <c r="K233" i="7" l="1"/>
  <c r="K240" i="7" l="1"/>
  <c r="K248" i="7" l="1"/>
  <c r="K254" i="7" l="1"/>
  <c r="K267" i="7" l="1"/>
  <c r="K273" i="7" l="1"/>
  <c r="K330" i="7" l="1"/>
  <c r="K336" i="7" l="1"/>
  <c r="K343" i="7" l="1"/>
  <c r="K351" i="7" l="1"/>
  <c r="K357" i="7" l="1"/>
  <c r="K370" i="7" l="1"/>
  <c r="K376" i="7" l="1"/>
  <c r="K421" i="7" l="1"/>
  <c r="K427" i="7" l="1"/>
  <c r="K434" i="7" l="1"/>
  <c r="K442" i="7" l="1"/>
  <c r="K448" i="7" l="1"/>
  <c r="K461" i="7" l="1"/>
  <c r="K467" i="7" l="1"/>
  <c r="K512" i="7" l="1"/>
  <c r="K518" i="7" l="1"/>
  <c r="K525" i="7" l="1"/>
  <c r="K533" i="7" l="1"/>
  <c r="K539" i="7" l="1"/>
  <c r="K552" i="7" l="1"/>
  <c r="K558" i="7" l="1"/>
  <c r="K603" i="7" l="1"/>
  <c r="K609" i="7" l="1"/>
  <c r="K616" i="7" l="1"/>
  <c r="K624" i="7" l="1"/>
  <c r="K630" i="7" l="1"/>
  <c r="K643" i="7" l="1"/>
  <c r="K649" i="7" l="1"/>
  <c r="K654" i="7" l="1"/>
  <c r="K660" i="7" l="1"/>
  <c r="K667" i="7" l="1"/>
  <c r="K675" i="7" l="1"/>
  <c r="K681" i="7" l="1"/>
  <c r="K694" i="7" l="1"/>
  <c r="K700" i="7" l="1"/>
  <c r="K74" i="7" l="1"/>
  <c r="K73" i="7"/>
  <c r="K79" i="7" l="1"/>
  <c r="K165" i="7" l="1"/>
  <c r="K164" i="7"/>
  <c r="K170" i="7" l="1"/>
  <c r="K256" i="7" l="1"/>
  <c r="K255" i="7"/>
  <c r="K261" i="7" l="1"/>
  <c r="K359" i="7" l="1"/>
  <c r="K358" i="7"/>
  <c r="K364" i="7" l="1"/>
  <c r="K450" i="7" l="1"/>
  <c r="K449" i="7"/>
  <c r="K455" i="7" l="1"/>
  <c r="K541" i="7" l="1"/>
  <c r="K540" i="7"/>
  <c r="K546" i="7" l="1"/>
  <c r="K632" i="7" l="1"/>
  <c r="K631" i="7"/>
  <c r="K637" i="7" l="1"/>
  <c r="K683" i="7" l="1"/>
  <c r="K682" i="7"/>
  <c r="K688" i="7" l="1"/>
  <c r="K47" i="7" l="1"/>
  <c r="K46" i="7"/>
  <c r="K53" i="7" l="1"/>
  <c r="K52" i="7"/>
  <c r="K60" i="7" l="1"/>
  <c r="K59" i="7"/>
  <c r="K67" i="7" l="1"/>
  <c r="K80" i="7" l="1"/>
  <c r="K86" i="7" l="1"/>
  <c r="K92" i="7" l="1"/>
  <c r="K138" i="7" l="1"/>
  <c r="K137" i="7"/>
  <c r="K144" i="7" l="1"/>
  <c r="K143" i="7"/>
  <c r="K151" i="7" l="1"/>
  <c r="K150" i="7"/>
  <c r="K158" i="7" l="1"/>
  <c r="K171" i="7" l="1"/>
  <c r="K177" i="7" l="1"/>
  <c r="K183" i="7" l="1"/>
  <c r="K229" i="7" l="1"/>
  <c r="K228" i="7"/>
  <c r="K235" i="7" l="1"/>
  <c r="K234" i="7"/>
  <c r="K242" i="7" l="1"/>
  <c r="K241" i="7"/>
  <c r="K249" i="7" l="1"/>
  <c r="K262" i="7" l="1"/>
  <c r="K268" i="7" l="1"/>
  <c r="K274" i="7" l="1"/>
  <c r="K332" i="7" l="1"/>
  <c r="K331" i="7"/>
  <c r="K338" i="7" l="1"/>
  <c r="K337" i="7"/>
  <c r="K345" i="7" l="1"/>
  <c r="K344" i="7"/>
  <c r="K352" i="7" l="1"/>
  <c r="K365" i="7" l="1"/>
  <c r="K371" i="7" l="1"/>
  <c r="K377" i="7" l="1"/>
  <c r="K423" i="7" l="1"/>
  <c r="K422" i="7"/>
  <c r="K429" i="7" l="1"/>
  <c r="K428" i="7"/>
  <c r="K436" i="7" l="1"/>
  <c r="K435" i="7"/>
  <c r="K443" i="7" l="1"/>
  <c r="K456" i="7" l="1"/>
  <c r="K462" i="7" l="1"/>
  <c r="K468" i="7" l="1"/>
  <c r="K514" i="7" l="1"/>
  <c r="K513" i="7"/>
  <c r="K520" i="7" l="1"/>
  <c r="K519" i="7"/>
  <c r="K527" i="7" l="1"/>
  <c r="K526" i="7"/>
  <c r="K534" i="7" l="1"/>
  <c r="K547" i="7" l="1"/>
  <c r="K553" i="7" l="1"/>
  <c r="K559" i="7" l="1"/>
  <c r="K605" i="7" l="1"/>
  <c r="K604" i="7"/>
  <c r="K611" i="7" l="1"/>
  <c r="K610" i="7"/>
  <c r="K618" i="7" l="1"/>
  <c r="K617" i="7"/>
  <c r="K625" i="7" l="1"/>
  <c r="K638" i="7" l="1"/>
  <c r="K644" i="7" l="1"/>
  <c r="K650" i="7" l="1"/>
  <c r="K656" i="7" l="1"/>
  <c r="K655" i="7"/>
  <c r="K662" i="7" l="1"/>
  <c r="K661" i="7"/>
  <c r="K669" i="7" l="1"/>
  <c r="K668" i="7"/>
  <c r="K676" i="7" l="1"/>
  <c r="K689" i="7" l="1"/>
  <c r="K695" i="7" l="1"/>
  <c r="K701" i="7" l="1"/>
</calcChain>
</file>

<file path=xl/sharedStrings.xml><?xml version="1.0" encoding="utf-8"?>
<sst xmlns="http://schemas.openxmlformats.org/spreadsheetml/2006/main" count="2346" uniqueCount="109">
  <si>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</si>
  <si>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</si>
  <si>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</si>
  <si>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</si>
  <si>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</si>
  <si>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</si>
  <si>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</si>
  <si>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</si>
  <si>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</si>
  <si>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</si>
  <si>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</si>
  <si>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</si>
  <si>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</si>
  <si>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</si>
  <si>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</si>
  <si>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</si>
  <si>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</si>
  <si>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</si>
  <si>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</si>
  <si>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</si>
  <si>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</si>
  <si>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</si>
  <si>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Friday Nights</t>
  </si>
  <si>
    <t>Weeknights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</si>
  <si>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</si>
  <si>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</si>
  <si>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</si>
  <si>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</si>
  <si>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</si>
  <si>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</si>
  <si>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</si>
  <si>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</si>
  <si>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</si>
  <si>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</si>
  <si>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</si>
  <si>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</si>
  <si>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</si>
  <si>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</si>
  <si>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</si>
  <si>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</si>
  <si>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</si>
  <si>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</si>
  <si>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</si>
  <si>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</si>
  <si>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</si>
  <si>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</si>
  <si>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</si>
  <si>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</si>
  <si>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</si>
  <si>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</si>
  <si>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</si>
  <si>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</si>
  <si>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</si>
  <si>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</si>
  <si>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</si>
  <si>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</si>
  <si>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3,4,5</t>
  </si>
  <si>
    <t>primary</t>
  </si>
  <si>
    <t>secondary</t>
  </si>
  <si>
    <t>total games</t>
  </si>
  <si>
    <t>2,3,5</t>
  </si>
  <si>
    <t>3,4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</si>
  <si>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</si>
  <si>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</si>
  <si>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</si>
  <si>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</si>
  <si>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</si>
  <si>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</si>
  <si>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</si>
  <si>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</si>
  <si>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</si>
  <si>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</si>
  <si>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</si>
  <si>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</si>
  <si>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</si>
  <si>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</si>
  <si>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</si>
  <si>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</si>
  <si>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</si>
  <si>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</si>
  <si>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</si>
  <si>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</si>
  <si>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</si>
  <si>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</si>
  <si>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</si>
  <si>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</si>
  <si>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</si>
  <si>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Friday, April 17,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</si>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</sst>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5" fontId="0" fillId="0" borderId="0" xfId="0" applyNumberFormat="1"/>
    <xf numFmtId="0" fontId="0" fillId="0" borderId="0" xfId="0" applyFill="1" applyBorder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85725</xdr:rowOff>
        </xdr:from>
        <xdr:to>
          <xdr:col>14</xdr:col>
          <xdr:colOff>9525</xdr:colOff>
          <xdr:row>11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701"/>
  <sheetViews>
    <sheetView tabSelected="1" workbookViewId="0">
      <selection activeCell="R22" sqref="R22"/>
    </sheetView>
  </sheetViews>
  <sheetFormatPr defaultRowHeight="15" x14ac:dyDescent="0.25"/>
  <cols>
    <col min="3" max="4" width="16.140625" bestFit="1" customWidth="1"/>
    <col min="5" max="5" width="15.5703125" bestFit="1" customWidth="1"/>
    <col min="6" max="6" width="16.28515625" bestFit="1" customWidth="1"/>
  </cols>
  <sheetData>
    <row r="1" spans="1:51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K1" s="2" t="s">
        <v>62</v>
      </c>
      <c r="N1" t="s">
        <v>57</v>
      </c>
      <c r="O1" t="s">
        <v>58</v>
      </c>
      <c r="P1" t="s">
        <v>59</v>
      </c>
      <c r="AP1" s="3">
        <v>1</v>
      </c>
      <c r="AQ1" s="4" t="s">
        <v>7</v>
      </c>
      <c r="AR1" s="4"/>
      <c r="AS1" s="5">
        <v>43890.375</v>
      </c>
      <c r="AT1" s="4">
        <f t="shared" ref="AT1" si="0">VLOOKUP(AU1,GameDuration,2,FALSE)</f>
        <v>120</v>
      </c>
      <c r="AU1" s="4" t="s">
        <v>7</v>
      </c>
      <c r="AV1" s="4">
        <f t="shared" ref="AV1" si="1">WEEKDAY(AS1)</f>
        <v>7</v>
      </c>
      <c r="AW1" s="4">
        <f t="shared" ref="AW1" si="2">IF(AV1=7,10,0)</f>
        <v>10</v>
      </c>
      <c r="AX1" s="4">
        <f t="shared" ref="AX1" si="3">IF(AV1=1,8,0)</f>
        <v>0</v>
      </c>
      <c r="AY1" s="6">
        <f t="shared" ref="AY1" si="4">IF(AV1=6,5,0)</f>
        <v>0</v>
      </c>
    </row>
    <row r="2" spans="1:51" ht="15.75" thickBot="1" x14ac:dyDescent="0.3">
      <c r="A2" s="3">
        <v>1</v>
      </c>
      <c r="B2" s="4" t="str">
        <f t="shared" ref="B2:B65" si="5">VLOOKUP(H2,field_id,2,FALSE)</f>
        <v>4</v>
      </c>
      <c r="C2" s="4">
        <f>VLOOKUP(I2,league_id,2,FALSE)</f>
        <v>1</v>
      </c>
      <c r="D2" s="4">
        <f t="shared" ref="D2:D3" si="6">VLOOKUP(H2,slot_compat,3,FALSE)</f>
        <v>2</v>
      </c>
      <c r="E2" s="4"/>
      <c r="F2" s="5">
        <v>43906.75</v>
      </c>
      <c r="G2" s="4">
        <f t="shared" ref="G2:G65" si="7">VLOOKUP(I2,GameDuration,2,FALSE)</f>
        <v>120</v>
      </c>
      <c r="H2" s="4" t="s">
        <v>7</v>
      </c>
      <c r="I2" s="4" t="s">
        <v>7</v>
      </c>
      <c r="J2" s="4">
        <f t="shared" ref="J2:J60" si="8">WEEKDAY(F2)</f>
        <v>2</v>
      </c>
      <c r="K2" s="4">
        <f>HOUR(F2)</f>
        <v>18</v>
      </c>
      <c r="L2">
        <v>1</v>
      </c>
      <c r="M2" t="s">
        <v>7</v>
      </c>
      <c r="N2">
        <f>COUNTIF(I:I,M2)</f>
        <v>92</v>
      </c>
      <c r="O2">
        <f>COUNTIF(D:D,"1")+COUNTIF(D:D,"*1*")</f>
        <v>92</v>
      </c>
      <c r="P2">
        <v>110</v>
      </c>
      <c r="R2">
        <v>11</v>
      </c>
      <c r="S2" t="s">
        <v>24</v>
      </c>
    </row>
    <row r="3" spans="1:51" ht="15.75" thickBot="1" x14ac:dyDescent="0.3">
      <c r="A3" s="3">
        <f>A2+1</f>
        <v>2</v>
      </c>
      <c r="B3" s="4" t="str">
        <f t="shared" si="5"/>
        <v>3</v>
      </c>
      <c r="C3" s="4">
        <f t="shared" ref="C3:C7" si="9">VLOOKUP(I3,league_id,2,FALSE)</f>
        <v>2</v>
      </c>
      <c r="D3" s="4" t="str">
        <f t="shared" si="6"/>
        <v>1,3</v>
      </c>
      <c r="E3" s="4"/>
      <c r="F3" s="5">
        <f>F2</f>
        <v>43906.75</v>
      </c>
      <c r="G3" s="4">
        <f t="shared" si="7"/>
        <v>120</v>
      </c>
      <c r="H3" s="4" t="s">
        <v>8</v>
      </c>
      <c r="I3" s="4" t="s">
        <v>8</v>
      </c>
      <c r="J3" s="4">
        <f t="shared" si="8"/>
        <v>2</v>
      </c>
      <c r="K3" s="4">
        <f>HOUR(F3)</f>
        <v>18</v>
      </c>
      <c r="L3">
        <v>2</v>
      </c>
      <c r="M3" t="s">
        <v>8</v>
      </c>
      <c r="N3">
        <f>COUNTIF(I:I,M3)</f>
        <v>154</v>
      </c>
      <c r="O3">
        <f>COUNTIF(D:D,"2")+COUNTIF(D:D,"*2*")</f>
        <v>92</v>
      </c>
      <c r="P3">
        <v>171</v>
      </c>
      <c r="R3">
        <v>19</v>
      </c>
      <c r="S3" t="s">
        <v>25</v>
      </c>
    </row>
    <row r="4" spans="1:51" ht="15.75" thickBot="1" x14ac:dyDescent="0.3">
      <c r="A4" s="3">
        <f t="shared" ref="A4:A7" si="10">A3+1</f>
        <v>3</v>
      </c>
      <c r="B4" s="4" t="str">
        <f t="shared" si="5"/>
        <v>2</v>
      </c>
      <c r="C4" s="4">
        <f t="shared" si="9"/>
        <v>4</v>
      </c>
      <c r="D4" s="4">
        <v>5</v>
      </c>
      <c r="E4" s="4"/>
      <c r="F4" s="5">
        <f>F2</f>
        <v>43906.75</v>
      </c>
      <c r="G4" s="4">
        <f t="shared" si="7"/>
        <v>105</v>
      </c>
      <c r="H4" s="4" t="s">
        <v>9</v>
      </c>
      <c r="I4" s="4" t="s">
        <v>12</v>
      </c>
      <c r="J4" s="4">
        <f t="shared" si="8"/>
        <v>2</v>
      </c>
      <c r="K4" s="4">
        <f>HOUR(F4)</f>
        <v>18</v>
      </c>
      <c r="L4">
        <v>3</v>
      </c>
      <c r="M4" t="s">
        <v>11</v>
      </c>
      <c r="N4">
        <f>COUNTIF(I:I,M4)</f>
        <v>108</v>
      </c>
      <c r="O4">
        <f>COUNTIF(D:D,"3")+COUNTIF(D:D,"*3*")</f>
        <v>155</v>
      </c>
      <c r="P4">
        <v>105</v>
      </c>
      <c r="R4">
        <v>15</v>
      </c>
      <c r="S4" t="s">
        <v>26</v>
      </c>
    </row>
    <row r="5" spans="1:51" ht="15.75" thickBot="1" x14ac:dyDescent="0.3">
      <c r="A5" s="3">
        <f t="shared" si="10"/>
        <v>4</v>
      </c>
      <c r="B5" s="4" t="str">
        <f t="shared" si="5"/>
        <v>1</v>
      </c>
      <c r="C5" s="4">
        <f t="shared" si="9"/>
        <v>5</v>
      </c>
      <c r="D5" s="4"/>
      <c r="E5" s="4"/>
      <c r="F5" s="5">
        <f>F2</f>
        <v>43906.75</v>
      </c>
      <c r="G5" s="4">
        <f t="shared" si="7"/>
        <v>90</v>
      </c>
      <c r="H5" s="4" t="s">
        <v>15</v>
      </c>
      <c r="I5" s="4" t="s">
        <v>10</v>
      </c>
      <c r="J5" s="4">
        <f t="shared" si="8"/>
        <v>2</v>
      </c>
      <c r="K5" s="4">
        <f>HOUR(F5)</f>
        <v>18</v>
      </c>
      <c r="L5">
        <v>4</v>
      </c>
      <c r="M5" t="s">
        <v>12</v>
      </c>
      <c r="N5">
        <f>COUNTIF(I:I,M5)</f>
        <v>147</v>
      </c>
      <c r="O5">
        <f>COUNTIF(D:D,"4")+COUNTIF(D:D,"*4*")</f>
        <v>170</v>
      </c>
      <c r="P5">
        <v>231</v>
      </c>
      <c r="R5">
        <v>22</v>
      </c>
      <c r="S5" t="s">
        <v>27</v>
      </c>
    </row>
    <row r="6" spans="1:51" ht="15.75" thickBot="1" x14ac:dyDescent="0.3">
      <c r="A6" s="3">
        <f t="shared" si="10"/>
        <v>5</v>
      </c>
      <c r="B6" s="4" t="str">
        <f t="shared" si="5"/>
        <v>5</v>
      </c>
      <c r="C6" s="4">
        <f t="shared" si="9"/>
        <v>5</v>
      </c>
      <c r="D6" s="4"/>
      <c r="E6" s="4"/>
      <c r="F6" s="5">
        <f>F2</f>
        <v>43906.75</v>
      </c>
      <c r="G6" s="4">
        <f t="shared" si="7"/>
        <v>90</v>
      </c>
      <c r="H6" s="4" t="s">
        <v>16</v>
      </c>
      <c r="I6" s="4" t="s">
        <v>10</v>
      </c>
      <c r="J6" s="4">
        <f t="shared" si="8"/>
        <v>2</v>
      </c>
      <c r="K6" s="4">
        <f>HOUR(F6)</f>
        <v>18</v>
      </c>
      <c r="L6">
        <v>5</v>
      </c>
      <c r="M6" t="s">
        <v>10</v>
      </c>
      <c r="N6">
        <f>COUNTIF(I:I,M6)</f>
        <v>159</v>
      </c>
      <c r="O6">
        <f>COUNTIF(D:D,"5")+COUNTIF(D:D,"*5*")</f>
        <v>277</v>
      </c>
      <c r="P6">
        <v>120</v>
      </c>
      <c r="R6">
        <v>16</v>
      </c>
      <c r="S6" t="s">
        <v>28</v>
      </c>
    </row>
    <row r="7" spans="1:51" ht="15.75" thickBot="1" x14ac:dyDescent="0.3">
      <c r="A7" s="3">
        <f t="shared" si="10"/>
        <v>6</v>
      </c>
      <c r="B7" s="4" t="str">
        <f t="shared" si="5"/>
        <v>6</v>
      </c>
      <c r="C7" s="4">
        <f t="shared" si="9"/>
        <v>3</v>
      </c>
      <c r="D7" s="4" t="s">
        <v>55</v>
      </c>
      <c r="E7" s="4"/>
      <c r="F7" s="5">
        <f>F2</f>
        <v>43906.75</v>
      </c>
      <c r="G7" s="4">
        <f t="shared" si="7"/>
        <v>105</v>
      </c>
      <c r="H7" s="4" t="s">
        <v>17</v>
      </c>
      <c r="I7" s="4" t="s">
        <v>11</v>
      </c>
      <c r="J7" s="4">
        <f t="shared" si="8"/>
        <v>2</v>
      </c>
      <c r="K7" s="4">
        <f>HOUR(F7)</f>
        <v>18</v>
      </c>
      <c r="L7">
        <v>6</v>
      </c>
      <c r="M7" t="s">
        <v>13</v>
      </c>
      <c r="N7">
        <f>COUNTIF(I:I,M7)</f>
        <v>32</v>
      </c>
      <c r="O7">
        <f>COUNTIF(D:D,"6")+COUNTIF(D:D,"*6*")</f>
        <v>55</v>
      </c>
      <c r="P7">
        <v>36</v>
      </c>
      <c r="R7">
        <v>9</v>
      </c>
      <c r="S7" t="s">
        <v>29</v>
      </c>
    </row>
    <row r="8" spans="1:51" ht="15.75" thickBot="1" x14ac:dyDescent="0.3">
      <c r="A8" s="3">
        <f>A7+1</f>
        <v>7</v>
      </c>
      <c r="B8" s="4" t="str">
        <f t="shared" si="5"/>
        <v>4</v>
      </c>
      <c r="C8" s="4">
        <f>VLOOKUP(I8,league_id,2,FALSE)</f>
        <v>1</v>
      </c>
      <c r="D8" s="4">
        <f t="shared" ref="D8:D9" si="11">VLOOKUP(H8,slot_compat,3,FALSE)</f>
        <v>2</v>
      </c>
      <c r="E8" s="4"/>
      <c r="F8" s="5">
        <v>43907.75</v>
      </c>
      <c r="G8" s="4">
        <f t="shared" si="7"/>
        <v>120</v>
      </c>
      <c r="H8" s="4" t="s">
        <v>7</v>
      </c>
      <c r="I8" s="4" t="s">
        <v>7</v>
      </c>
      <c r="J8" s="4">
        <f t="shared" si="8"/>
        <v>3</v>
      </c>
      <c r="K8" s="4">
        <f>HOUR(F8)</f>
        <v>18</v>
      </c>
      <c r="L8">
        <v>7</v>
      </c>
      <c r="M8" t="s">
        <v>14</v>
      </c>
      <c r="N8">
        <f>COUNTIF(I:I,M8)</f>
        <v>8</v>
      </c>
      <c r="O8">
        <f>COUNTIF(D:D,"7")+COUNTIF(D:D,"*7*")</f>
        <v>0</v>
      </c>
      <c r="P8">
        <v>12</v>
      </c>
      <c r="R8">
        <v>4</v>
      </c>
      <c r="S8" t="s">
        <v>30</v>
      </c>
    </row>
    <row r="9" spans="1:51" ht="15.75" thickBot="1" x14ac:dyDescent="0.3">
      <c r="A9" s="3">
        <f>A8+1</f>
        <v>8</v>
      </c>
      <c r="B9" s="4" t="str">
        <f t="shared" si="5"/>
        <v>3</v>
      </c>
      <c r="C9" s="4">
        <f t="shared" ref="C9:C13" si="12">VLOOKUP(I9,league_id,2,FALSE)</f>
        <v>2</v>
      </c>
      <c r="D9" s="4" t="str">
        <f t="shared" si="11"/>
        <v>1,3</v>
      </c>
      <c r="E9" s="4"/>
      <c r="F9" s="5">
        <f>F8</f>
        <v>43907.75</v>
      </c>
      <c r="G9" s="4">
        <f t="shared" si="7"/>
        <v>120</v>
      </c>
      <c r="H9" s="4" t="s">
        <v>8</v>
      </c>
      <c r="I9" s="4" t="s">
        <v>8</v>
      </c>
      <c r="J9" s="4">
        <f t="shared" si="8"/>
        <v>3</v>
      </c>
      <c r="K9" s="4">
        <f>HOUR(F9)</f>
        <v>18</v>
      </c>
      <c r="N9">
        <f>SUM(N2:N8)</f>
        <v>700</v>
      </c>
      <c r="O9">
        <f>SUM(O2:O8)</f>
        <v>841</v>
      </c>
    </row>
    <row r="10" spans="1:51" ht="15.75" thickBot="1" x14ac:dyDescent="0.3">
      <c r="A10" s="3">
        <f t="shared" ref="A10:A13" si="13">A9+1</f>
        <v>9</v>
      </c>
      <c r="B10" s="4" t="str">
        <f t="shared" si="5"/>
        <v>2</v>
      </c>
      <c r="C10" s="4">
        <f t="shared" si="12"/>
        <v>4</v>
      </c>
      <c r="D10" s="4">
        <v>5</v>
      </c>
      <c r="E10" s="4"/>
      <c r="F10" s="5">
        <f>F8</f>
        <v>43907.75</v>
      </c>
      <c r="G10" s="4">
        <f t="shared" si="7"/>
        <v>105</v>
      </c>
      <c r="H10" s="4" t="s">
        <v>9</v>
      </c>
      <c r="I10" s="4" t="s">
        <v>12</v>
      </c>
      <c r="J10" s="4">
        <f t="shared" si="8"/>
        <v>3</v>
      </c>
      <c r="K10" s="4">
        <f>HOUR(F10)</f>
        <v>18</v>
      </c>
      <c r="S10" t="s">
        <v>31</v>
      </c>
    </row>
    <row r="11" spans="1:51" ht="15.75" thickBot="1" x14ac:dyDescent="0.3">
      <c r="A11" s="3">
        <f t="shared" si="13"/>
        <v>10</v>
      </c>
      <c r="B11" s="4" t="str">
        <f t="shared" si="5"/>
        <v>1</v>
      </c>
      <c r="C11" s="4">
        <f t="shared" si="12"/>
        <v>5</v>
      </c>
      <c r="D11" s="4"/>
      <c r="E11" s="4"/>
      <c r="F11" s="5">
        <f>F8</f>
        <v>43907.75</v>
      </c>
      <c r="G11" s="4">
        <f t="shared" si="7"/>
        <v>90</v>
      </c>
      <c r="H11" s="4" t="s">
        <v>15</v>
      </c>
      <c r="I11" s="4" t="s">
        <v>10</v>
      </c>
      <c r="J11" s="4">
        <f t="shared" si="8"/>
        <v>3</v>
      </c>
      <c r="K11" s="4">
        <f>HOUR(F11)</f>
        <v>18</v>
      </c>
      <c r="S11" t="s">
        <v>32</v>
      </c>
    </row>
    <row r="12" spans="1:51" ht="15.75" thickBot="1" x14ac:dyDescent="0.3">
      <c r="A12" s="3">
        <f t="shared" si="13"/>
        <v>11</v>
      </c>
      <c r="B12" s="4" t="str">
        <f t="shared" si="5"/>
        <v>5</v>
      </c>
      <c r="C12" s="4">
        <f t="shared" si="12"/>
        <v>5</v>
      </c>
      <c r="D12" s="4"/>
      <c r="E12" s="4"/>
      <c r="F12" s="5">
        <f>F8</f>
        <v>43907.75</v>
      </c>
      <c r="G12" s="4">
        <f t="shared" si="7"/>
        <v>90</v>
      </c>
      <c r="H12" s="4" t="s">
        <v>16</v>
      </c>
      <c r="I12" s="4" t="s">
        <v>10</v>
      </c>
      <c r="J12" s="4">
        <f t="shared" si="8"/>
        <v>3</v>
      </c>
      <c r="K12" s="4">
        <f>HOUR(F12)</f>
        <v>18</v>
      </c>
      <c r="S12" t="s">
        <v>33</v>
      </c>
    </row>
    <row r="13" spans="1:51" ht="15.75" thickBot="1" x14ac:dyDescent="0.3">
      <c r="A13" s="3">
        <f t="shared" si="13"/>
        <v>12</v>
      </c>
      <c r="B13" s="4" t="str">
        <f t="shared" si="5"/>
        <v>6</v>
      </c>
      <c r="C13" s="4">
        <f t="shared" si="12"/>
        <v>3</v>
      </c>
      <c r="D13" s="4" t="s">
        <v>55</v>
      </c>
      <c r="E13" s="4"/>
      <c r="F13" s="5">
        <f>F8</f>
        <v>43907.75</v>
      </c>
      <c r="G13" s="4">
        <f t="shared" si="7"/>
        <v>105</v>
      </c>
      <c r="H13" s="4" t="s">
        <v>17</v>
      </c>
      <c r="I13" s="4" t="s">
        <v>11</v>
      </c>
      <c r="J13" s="4">
        <f t="shared" si="8"/>
        <v>3</v>
      </c>
      <c r="K13" s="4">
        <f>HOUR(F13)</f>
        <v>18</v>
      </c>
      <c r="S13" t="s">
        <v>34</v>
      </c>
    </row>
    <row r="14" spans="1:51" ht="15.75" thickBot="1" x14ac:dyDescent="0.3">
      <c r="A14" s="3">
        <f>A13+1</f>
        <v>13</v>
      </c>
      <c r="B14" s="4" t="str">
        <f t="shared" si="5"/>
        <v>4</v>
      </c>
      <c r="C14" s="4">
        <f>VLOOKUP(I14,league_id,2,FALSE)</f>
        <v>1</v>
      </c>
      <c r="D14" s="4">
        <f t="shared" ref="D14:D15" si="14">VLOOKUP(H14,slot_compat,3,FALSE)</f>
        <v>2</v>
      </c>
      <c r="E14" s="4"/>
      <c r="F14" s="5">
        <v>43908.75</v>
      </c>
      <c r="G14" s="4">
        <f t="shared" si="7"/>
        <v>120</v>
      </c>
      <c r="H14" s="4" t="s">
        <v>7</v>
      </c>
      <c r="I14" s="4" t="s">
        <v>7</v>
      </c>
      <c r="J14" s="4">
        <f t="shared" si="8"/>
        <v>4</v>
      </c>
      <c r="K14" s="4">
        <f>HOUR(F14)</f>
        <v>18</v>
      </c>
      <c r="S14" t="s">
        <v>35</v>
      </c>
    </row>
    <row r="15" spans="1:51" ht="15.75" thickBot="1" x14ac:dyDescent="0.3">
      <c r="A15" s="3">
        <f>A14+1</f>
        <v>14</v>
      </c>
      <c r="B15" s="4" t="str">
        <f t="shared" si="5"/>
        <v>3</v>
      </c>
      <c r="C15" s="4">
        <f t="shared" ref="C15:C19" si="15">VLOOKUP(I15,league_id,2,FALSE)</f>
        <v>2</v>
      </c>
      <c r="D15" s="4" t="str">
        <f t="shared" si="14"/>
        <v>1,3</v>
      </c>
      <c r="E15" s="4"/>
      <c r="F15" s="5">
        <f>F14</f>
        <v>43908.75</v>
      </c>
      <c r="G15" s="4">
        <f t="shared" si="7"/>
        <v>120</v>
      </c>
      <c r="H15" s="4" t="s">
        <v>8</v>
      </c>
      <c r="I15" s="4" t="s">
        <v>8</v>
      </c>
      <c r="J15" s="4">
        <f t="shared" si="8"/>
        <v>4</v>
      </c>
      <c r="K15" s="4">
        <f>HOUR(F15)</f>
        <v>18</v>
      </c>
      <c r="S15" t="s">
        <v>36</v>
      </c>
    </row>
    <row r="16" spans="1:51" ht="15.75" thickBot="1" x14ac:dyDescent="0.3">
      <c r="A16" s="3">
        <f t="shared" ref="A16:A19" si="16">A15+1</f>
        <v>15</v>
      </c>
      <c r="B16" s="4" t="str">
        <f t="shared" si="5"/>
        <v>2</v>
      </c>
      <c r="C16" s="4">
        <f t="shared" si="15"/>
        <v>4</v>
      </c>
      <c r="D16" s="4">
        <v>5</v>
      </c>
      <c r="E16" s="4"/>
      <c r="F16" s="5">
        <f>F14</f>
        <v>43908.75</v>
      </c>
      <c r="G16" s="4">
        <f t="shared" si="7"/>
        <v>105</v>
      </c>
      <c r="H16" s="4" t="s">
        <v>9</v>
      </c>
      <c r="I16" s="4" t="s">
        <v>12</v>
      </c>
      <c r="J16" s="4">
        <f t="shared" si="8"/>
        <v>4</v>
      </c>
      <c r="K16" s="4">
        <f>HOUR(F16)</f>
        <v>18</v>
      </c>
      <c r="S16" t="s">
        <v>37</v>
      </c>
    </row>
    <row r="17" spans="1:19" ht="15.75" thickBot="1" x14ac:dyDescent="0.3">
      <c r="A17" s="3">
        <f t="shared" si="16"/>
        <v>16</v>
      </c>
      <c r="B17" s="4" t="str">
        <f t="shared" si="5"/>
        <v>1</v>
      </c>
      <c r="C17" s="4">
        <f t="shared" si="15"/>
        <v>5</v>
      </c>
      <c r="D17" s="4"/>
      <c r="E17" s="4"/>
      <c r="F17" s="5">
        <f>F14</f>
        <v>43908.75</v>
      </c>
      <c r="G17" s="4">
        <f t="shared" si="7"/>
        <v>90</v>
      </c>
      <c r="H17" s="4" t="s">
        <v>15</v>
      </c>
      <c r="I17" s="4" t="s">
        <v>10</v>
      </c>
      <c r="J17" s="4">
        <f t="shared" si="8"/>
        <v>4</v>
      </c>
      <c r="K17" s="4">
        <f>HOUR(F17)</f>
        <v>18</v>
      </c>
      <c r="S17" t="s">
        <v>38</v>
      </c>
    </row>
    <row r="18" spans="1:19" ht="15.75" thickBot="1" x14ac:dyDescent="0.3">
      <c r="A18" s="3">
        <f t="shared" si="16"/>
        <v>17</v>
      </c>
      <c r="B18" s="4" t="str">
        <f t="shared" si="5"/>
        <v>5</v>
      </c>
      <c r="C18" s="4">
        <f t="shared" si="15"/>
        <v>5</v>
      </c>
      <c r="D18" s="4"/>
      <c r="E18" s="4"/>
      <c r="F18" s="5">
        <f>F14</f>
        <v>43908.75</v>
      </c>
      <c r="G18" s="4">
        <f t="shared" si="7"/>
        <v>90</v>
      </c>
      <c r="H18" s="4" t="s">
        <v>16</v>
      </c>
      <c r="I18" s="4" t="s">
        <v>10</v>
      </c>
      <c r="J18" s="4">
        <f t="shared" si="8"/>
        <v>4</v>
      </c>
      <c r="K18" s="4">
        <f>HOUR(F18)</f>
        <v>18</v>
      </c>
      <c r="S18" t="s">
        <v>39</v>
      </c>
    </row>
    <row r="19" spans="1:19" ht="15.75" thickBot="1" x14ac:dyDescent="0.3">
      <c r="A19" s="3">
        <f t="shared" si="16"/>
        <v>18</v>
      </c>
      <c r="B19" s="4" t="str">
        <f t="shared" si="5"/>
        <v>6</v>
      </c>
      <c r="C19" s="4">
        <f t="shared" si="15"/>
        <v>3</v>
      </c>
      <c r="D19" s="4" t="s">
        <v>55</v>
      </c>
      <c r="E19" s="4"/>
      <c r="F19" s="5">
        <f>F14</f>
        <v>43908.75</v>
      </c>
      <c r="G19" s="4">
        <f t="shared" si="7"/>
        <v>105</v>
      </c>
      <c r="H19" s="4" t="s">
        <v>17</v>
      </c>
      <c r="I19" s="4" t="s">
        <v>11</v>
      </c>
      <c r="J19" s="4">
        <f t="shared" si="8"/>
        <v>4</v>
      </c>
      <c r="K19" s="4">
        <f>HOUR(F19)</f>
        <v>18</v>
      </c>
    </row>
    <row r="20" spans="1:19" ht="15.75" thickBot="1" x14ac:dyDescent="0.3">
      <c r="A20" s="3">
        <f>A19+1</f>
        <v>19</v>
      </c>
      <c r="B20" s="4" t="str">
        <f t="shared" si="5"/>
        <v>4</v>
      </c>
      <c r="C20" s="4">
        <f>VLOOKUP(I20,league_id,2,FALSE)</f>
        <v>1</v>
      </c>
      <c r="D20" s="4">
        <f t="shared" ref="D20:D21" si="17">VLOOKUP(H20,slot_compat,3,FALSE)</f>
        <v>2</v>
      </c>
      <c r="E20" s="4"/>
      <c r="F20" s="5">
        <v>43909.75</v>
      </c>
      <c r="G20" s="4">
        <f t="shared" si="7"/>
        <v>120</v>
      </c>
      <c r="H20" s="4" t="s">
        <v>7</v>
      </c>
      <c r="I20" s="4" t="s">
        <v>7</v>
      </c>
      <c r="J20" s="4">
        <f t="shared" si="8"/>
        <v>5</v>
      </c>
      <c r="K20" s="4">
        <f>HOUR(F20)</f>
        <v>18</v>
      </c>
    </row>
    <row r="21" spans="1:19" ht="15.75" thickBot="1" x14ac:dyDescent="0.3">
      <c r="A21" s="3">
        <f>A20+1</f>
        <v>20</v>
      </c>
      <c r="B21" s="4" t="str">
        <f t="shared" si="5"/>
        <v>3</v>
      </c>
      <c r="C21" s="4">
        <f t="shared" ref="C21:C84" si="18">VLOOKUP(I21,league_id,2,FALSE)</f>
        <v>2</v>
      </c>
      <c r="D21" s="4" t="str">
        <f t="shared" si="17"/>
        <v>1,3</v>
      </c>
      <c r="E21" s="4"/>
      <c r="F21" s="5">
        <f>F20</f>
        <v>43909.75</v>
      </c>
      <c r="G21" s="4">
        <f t="shared" si="7"/>
        <v>120</v>
      </c>
      <c r="H21" s="4" t="s">
        <v>8</v>
      </c>
      <c r="I21" s="4" t="s">
        <v>8</v>
      </c>
      <c r="J21" s="4">
        <f t="shared" si="8"/>
        <v>5</v>
      </c>
      <c r="K21" s="4">
        <f>HOUR(F21)</f>
        <v>18</v>
      </c>
    </row>
    <row r="22" spans="1:19" ht="15.75" thickBot="1" x14ac:dyDescent="0.3">
      <c r="A22" s="3">
        <f t="shared" ref="A22:A25" si="19">A21+1</f>
        <v>21</v>
      </c>
      <c r="B22" s="4" t="str">
        <f t="shared" si="5"/>
        <v>2</v>
      </c>
      <c r="C22" s="4">
        <f t="shared" si="18"/>
        <v>4</v>
      </c>
      <c r="D22" s="4">
        <v>5</v>
      </c>
      <c r="E22" s="4"/>
      <c r="F22" s="5">
        <f>F20</f>
        <v>43909.75</v>
      </c>
      <c r="G22" s="4">
        <f t="shared" si="7"/>
        <v>105</v>
      </c>
      <c r="H22" s="4" t="s">
        <v>9</v>
      </c>
      <c r="I22" s="4" t="s">
        <v>12</v>
      </c>
      <c r="J22" s="4">
        <f t="shared" si="8"/>
        <v>5</v>
      </c>
      <c r="K22" s="4">
        <f>HOUR(F22)</f>
        <v>18</v>
      </c>
    </row>
    <row r="23" spans="1:19" ht="15.75" thickBot="1" x14ac:dyDescent="0.3">
      <c r="A23" s="3">
        <f t="shared" si="19"/>
        <v>22</v>
      </c>
      <c r="B23" s="4" t="str">
        <f t="shared" si="5"/>
        <v>1</v>
      </c>
      <c r="C23" s="4">
        <f t="shared" si="18"/>
        <v>5</v>
      </c>
      <c r="D23" s="4"/>
      <c r="E23" s="4"/>
      <c r="F23" s="5">
        <f>F20</f>
        <v>43909.75</v>
      </c>
      <c r="G23" s="4">
        <f t="shared" si="7"/>
        <v>90</v>
      </c>
      <c r="H23" s="4" t="s">
        <v>15</v>
      </c>
      <c r="I23" s="4" t="s">
        <v>10</v>
      </c>
      <c r="J23" s="4">
        <f t="shared" si="8"/>
        <v>5</v>
      </c>
      <c r="K23" s="4">
        <f>HOUR(F23)</f>
        <v>18</v>
      </c>
    </row>
    <row r="24" spans="1:19" ht="15.75" thickBot="1" x14ac:dyDescent="0.3">
      <c r="A24" s="3">
        <f t="shared" si="19"/>
        <v>23</v>
      </c>
      <c r="B24" s="4" t="str">
        <f t="shared" si="5"/>
        <v>5</v>
      </c>
      <c r="C24" s="4">
        <f t="shared" si="18"/>
        <v>5</v>
      </c>
      <c r="D24" s="4"/>
      <c r="E24" s="4"/>
      <c r="F24" s="5">
        <f>F20</f>
        <v>43909.75</v>
      </c>
      <c r="G24" s="4">
        <f t="shared" si="7"/>
        <v>90</v>
      </c>
      <c r="H24" s="4" t="s">
        <v>16</v>
      </c>
      <c r="I24" s="4" t="s">
        <v>10</v>
      </c>
      <c r="J24" s="4">
        <f t="shared" si="8"/>
        <v>5</v>
      </c>
      <c r="K24" s="4">
        <f>HOUR(F24)</f>
        <v>18</v>
      </c>
    </row>
    <row r="25" spans="1:19" ht="15.75" thickBot="1" x14ac:dyDescent="0.3">
      <c r="A25" s="3">
        <f t="shared" si="19"/>
        <v>24</v>
      </c>
      <c r="B25" s="4" t="str">
        <f t="shared" si="5"/>
        <v>6</v>
      </c>
      <c r="C25" s="4">
        <f t="shared" si="18"/>
        <v>3</v>
      </c>
      <c r="D25" s="4" t="s">
        <v>55</v>
      </c>
      <c r="E25" s="4"/>
      <c r="F25" s="5">
        <f>F20</f>
        <v>43909.75</v>
      </c>
      <c r="G25" s="4">
        <f t="shared" si="7"/>
        <v>105</v>
      </c>
      <c r="H25" s="4" t="s">
        <v>17</v>
      </c>
      <c r="I25" s="4" t="s">
        <v>11</v>
      </c>
      <c r="J25" s="4">
        <f t="shared" si="8"/>
        <v>5</v>
      </c>
      <c r="K25" s="4">
        <f>HOUR(F25)</f>
        <v>18</v>
      </c>
    </row>
    <row r="26" spans="1:19" ht="15.75" thickBot="1" x14ac:dyDescent="0.3">
      <c r="A26" s="3">
        <f>A25+1</f>
        <v>25</v>
      </c>
      <c r="B26" s="4" t="str">
        <f t="shared" si="5"/>
        <v>4</v>
      </c>
      <c r="C26" s="4">
        <f t="shared" si="18"/>
        <v>1</v>
      </c>
      <c r="D26" s="4">
        <f t="shared" ref="D26:D35" si="20">VLOOKUP(H26,slot_compat,3,FALSE)</f>
        <v>2</v>
      </c>
      <c r="E26" s="4"/>
      <c r="F26" s="5">
        <v>43910.75</v>
      </c>
      <c r="G26" s="4">
        <f t="shared" si="7"/>
        <v>120</v>
      </c>
      <c r="H26" s="4" t="s">
        <v>7</v>
      </c>
      <c r="I26" s="4" t="s">
        <v>7</v>
      </c>
      <c r="J26" s="4">
        <f t="shared" si="8"/>
        <v>6</v>
      </c>
      <c r="K26" s="4">
        <f>HOUR(F26)</f>
        <v>18</v>
      </c>
    </row>
    <row r="27" spans="1:19" ht="15.75" thickBot="1" x14ac:dyDescent="0.3">
      <c r="A27" s="7">
        <f>A26+1</f>
        <v>26</v>
      </c>
      <c r="B27" s="8" t="str">
        <f t="shared" si="5"/>
        <v>4</v>
      </c>
      <c r="C27" s="8">
        <f t="shared" si="18"/>
        <v>1</v>
      </c>
      <c r="D27" s="8">
        <f t="shared" si="20"/>
        <v>2</v>
      </c>
      <c r="E27" s="8"/>
      <c r="F27" s="9">
        <f>F26+G26/60/24</f>
        <v>43910.833333333336</v>
      </c>
      <c r="G27" s="8">
        <f t="shared" si="7"/>
        <v>120</v>
      </c>
      <c r="H27" s="8" t="s">
        <v>7</v>
      </c>
      <c r="I27" s="8" t="s">
        <v>7</v>
      </c>
      <c r="J27" s="8">
        <f t="shared" si="8"/>
        <v>6</v>
      </c>
      <c r="K27" s="4">
        <f>HOUR(F27)</f>
        <v>20</v>
      </c>
    </row>
    <row r="28" spans="1:19" ht="15.75" thickBot="1" x14ac:dyDescent="0.3">
      <c r="A28" s="3">
        <f>A27+1</f>
        <v>27</v>
      </c>
      <c r="B28" s="4" t="str">
        <f t="shared" si="5"/>
        <v>3</v>
      </c>
      <c r="C28" s="4">
        <f t="shared" si="18"/>
        <v>2</v>
      </c>
      <c r="D28" s="4" t="str">
        <f t="shared" si="20"/>
        <v>1,3</v>
      </c>
      <c r="E28" s="4"/>
      <c r="F28" s="5">
        <f>F26</f>
        <v>43910.75</v>
      </c>
      <c r="G28" s="4">
        <f t="shared" si="7"/>
        <v>120</v>
      </c>
      <c r="H28" s="4" t="s">
        <v>8</v>
      </c>
      <c r="I28" s="4" t="s">
        <v>8</v>
      </c>
      <c r="J28" s="4">
        <f t="shared" si="8"/>
        <v>6</v>
      </c>
      <c r="K28" s="4">
        <f>HOUR(F28)</f>
        <v>18</v>
      </c>
    </row>
    <row r="29" spans="1:19" ht="15.75" thickBot="1" x14ac:dyDescent="0.3">
      <c r="A29" s="7">
        <f t="shared" ref="A29:A37" si="21">A28+1</f>
        <v>28</v>
      </c>
      <c r="B29" s="8" t="str">
        <f t="shared" si="5"/>
        <v>3</v>
      </c>
      <c r="C29" s="8">
        <f t="shared" si="18"/>
        <v>2</v>
      </c>
      <c r="D29" s="8" t="str">
        <f t="shared" si="20"/>
        <v>1,3</v>
      </c>
      <c r="E29" s="8"/>
      <c r="F29" s="9">
        <f>F28+G28/60/24</f>
        <v>43910.833333333336</v>
      </c>
      <c r="G29" s="8">
        <f t="shared" si="7"/>
        <v>120</v>
      </c>
      <c r="H29" s="8" t="s">
        <v>8</v>
      </c>
      <c r="I29" s="8" t="s">
        <v>8</v>
      </c>
      <c r="J29" s="8">
        <f t="shared" si="8"/>
        <v>6</v>
      </c>
      <c r="K29" s="4">
        <f>HOUR(F29)</f>
        <v>20</v>
      </c>
    </row>
    <row r="30" spans="1:19" ht="15.75" thickBot="1" x14ac:dyDescent="0.3">
      <c r="A30" s="3">
        <f>A29+1</f>
        <v>29</v>
      </c>
      <c r="B30" s="4" t="str">
        <f t="shared" si="5"/>
        <v>2</v>
      </c>
      <c r="C30" s="4">
        <f t="shared" si="18"/>
        <v>4</v>
      </c>
      <c r="D30" s="4">
        <v>5</v>
      </c>
      <c r="E30" s="4"/>
      <c r="F30" s="5">
        <f>F26</f>
        <v>43910.75</v>
      </c>
      <c r="G30" s="4">
        <f t="shared" si="7"/>
        <v>105</v>
      </c>
      <c r="H30" s="4" t="s">
        <v>9</v>
      </c>
      <c r="I30" s="4" t="s">
        <v>12</v>
      </c>
      <c r="J30" s="4">
        <f t="shared" si="8"/>
        <v>6</v>
      </c>
      <c r="K30" s="4">
        <f>HOUR(F30)</f>
        <v>18</v>
      </c>
    </row>
    <row r="31" spans="1:19" ht="15.75" thickBot="1" x14ac:dyDescent="0.3">
      <c r="A31" s="7">
        <f t="shared" si="21"/>
        <v>30</v>
      </c>
      <c r="B31" s="8" t="str">
        <f t="shared" si="5"/>
        <v>2</v>
      </c>
      <c r="C31" s="8">
        <f t="shared" si="18"/>
        <v>4</v>
      </c>
      <c r="D31" s="8">
        <v>5</v>
      </c>
      <c r="E31" s="8"/>
      <c r="F31" s="9">
        <f>F30+G30/60/24</f>
        <v>43910.822916666664</v>
      </c>
      <c r="G31" s="8">
        <f t="shared" si="7"/>
        <v>105</v>
      </c>
      <c r="H31" s="8" t="s">
        <v>9</v>
      </c>
      <c r="I31" s="8" t="s">
        <v>12</v>
      </c>
      <c r="J31" s="8">
        <f t="shared" si="8"/>
        <v>6</v>
      </c>
      <c r="K31" s="4">
        <f>HOUR(F31)</f>
        <v>19</v>
      </c>
    </row>
    <row r="32" spans="1:19" ht="15.75" thickBot="1" x14ac:dyDescent="0.3">
      <c r="A32" s="3">
        <f>A31+1</f>
        <v>31</v>
      </c>
      <c r="B32" s="4" t="str">
        <f t="shared" si="5"/>
        <v>1</v>
      </c>
      <c r="C32" s="4">
        <f t="shared" si="18"/>
        <v>5</v>
      </c>
      <c r="D32" s="4"/>
      <c r="E32" s="4"/>
      <c r="F32" s="5">
        <f>F26</f>
        <v>43910.75</v>
      </c>
      <c r="G32" s="4">
        <f t="shared" si="7"/>
        <v>90</v>
      </c>
      <c r="H32" s="4" t="s">
        <v>15</v>
      </c>
      <c r="I32" s="4" t="s">
        <v>10</v>
      </c>
      <c r="J32" s="4">
        <f t="shared" si="8"/>
        <v>6</v>
      </c>
      <c r="K32" s="4">
        <f>HOUR(F32)</f>
        <v>18</v>
      </c>
    </row>
    <row r="33" spans="1:11" ht="15.75" thickBot="1" x14ac:dyDescent="0.3">
      <c r="A33" s="7">
        <f t="shared" si="21"/>
        <v>32</v>
      </c>
      <c r="B33" s="8" t="str">
        <f t="shared" si="5"/>
        <v>1</v>
      </c>
      <c r="C33" s="8">
        <f t="shared" si="18"/>
        <v>5</v>
      </c>
      <c r="D33" s="8"/>
      <c r="E33" s="8"/>
      <c r="F33" s="9">
        <f>F32+G32/60/24</f>
        <v>43910.8125</v>
      </c>
      <c r="G33" s="8">
        <f t="shared" si="7"/>
        <v>90</v>
      </c>
      <c r="H33" s="8" t="s">
        <v>15</v>
      </c>
      <c r="I33" s="8" t="s">
        <v>10</v>
      </c>
      <c r="J33" s="8">
        <f t="shared" si="8"/>
        <v>6</v>
      </c>
      <c r="K33" s="4">
        <f>HOUR(F33)</f>
        <v>19</v>
      </c>
    </row>
    <row r="34" spans="1:11" ht="15.75" thickBot="1" x14ac:dyDescent="0.3">
      <c r="A34" s="3">
        <f>A33+1</f>
        <v>33</v>
      </c>
      <c r="B34" s="4" t="str">
        <f t="shared" si="5"/>
        <v>5</v>
      </c>
      <c r="C34" s="4">
        <f t="shared" si="18"/>
        <v>5</v>
      </c>
      <c r="D34" s="4"/>
      <c r="E34" s="4"/>
      <c r="F34" s="5">
        <f>F26</f>
        <v>43910.75</v>
      </c>
      <c r="G34" s="4">
        <f t="shared" si="7"/>
        <v>90</v>
      </c>
      <c r="H34" s="4" t="s">
        <v>16</v>
      </c>
      <c r="I34" s="4" t="s">
        <v>10</v>
      </c>
      <c r="J34" s="4">
        <f t="shared" si="8"/>
        <v>6</v>
      </c>
      <c r="K34" s="4">
        <f>HOUR(F34)</f>
        <v>18</v>
      </c>
    </row>
    <row r="35" spans="1:11" ht="15.75" thickBot="1" x14ac:dyDescent="0.3">
      <c r="A35" s="7">
        <f t="shared" si="21"/>
        <v>34</v>
      </c>
      <c r="B35" s="8" t="str">
        <f t="shared" si="5"/>
        <v>5</v>
      </c>
      <c r="C35" s="8">
        <f t="shared" si="18"/>
        <v>4</v>
      </c>
      <c r="D35" s="8">
        <f t="shared" si="20"/>
        <v>5</v>
      </c>
      <c r="E35" s="8"/>
      <c r="F35" s="9">
        <f>F34+G34/60/24</f>
        <v>43910.8125</v>
      </c>
      <c r="G35" s="8">
        <f t="shared" si="7"/>
        <v>105</v>
      </c>
      <c r="H35" s="8" t="s">
        <v>16</v>
      </c>
      <c r="I35" s="8" t="s">
        <v>12</v>
      </c>
      <c r="J35" s="8">
        <f t="shared" si="8"/>
        <v>6</v>
      </c>
      <c r="K35" s="4">
        <f>HOUR(F35)</f>
        <v>19</v>
      </c>
    </row>
    <row r="36" spans="1:11" ht="15.75" thickBot="1" x14ac:dyDescent="0.3">
      <c r="A36" s="3">
        <f>A35+1</f>
        <v>35</v>
      </c>
      <c r="B36" s="4" t="str">
        <f t="shared" si="5"/>
        <v>6</v>
      </c>
      <c r="C36" s="4">
        <f t="shared" si="18"/>
        <v>3</v>
      </c>
      <c r="D36" s="4" t="s">
        <v>55</v>
      </c>
      <c r="E36" s="4"/>
      <c r="F36" s="5">
        <f>F26</f>
        <v>43910.75</v>
      </c>
      <c r="G36" s="4">
        <f t="shared" si="7"/>
        <v>105</v>
      </c>
      <c r="H36" s="4" t="s">
        <v>17</v>
      </c>
      <c r="I36" s="4" t="s">
        <v>11</v>
      </c>
      <c r="J36" s="4">
        <f t="shared" si="8"/>
        <v>6</v>
      </c>
      <c r="K36" s="4">
        <f>HOUR(F36)</f>
        <v>18</v>
      </c>
    </row>
    <row r="37" spans="1:11" ht="15.75" thickBot="1" x14ac:dyDescent="0.3">
      <c r="A37" s="10">
        <f t="shared" si="21"/>
        <v>36</v>
      </c>
      <c r="B37" s="11" t="str">
        <f t="shared" si="5"/>
        <v>6</v>
      </c>
      <c r="C37" s="11">
        <f t="shared" si="18"/>
        <v>3</v>
      </c>
      <c r="D37" s="11" t="s">
        <v>55</v>
      </c>
      <c r="E37" s="11"/>
      <c r="F37" s="12">
        <f>F36+G36/60/24</f>
        <v>43910.822916666664</v>
      </c>
      <c r="G37" s="11">
        <f t="shared" si="7"/>
        <v>105</v>
      </c>
      <c r="H37" s="11" t="s">
        <v>17</v>
      </c>
      <c r="I37" s="11" t="s">
        <v>11</v>
      </c>
      <c r="J37" s="11">
        <f t="shared" si="8"/>
        <v>6</v>
      </c>
      <c r="K37" s="4">
        <f>HOUR(F37)</f>
        <v>19</v>
      </c>
    </row>
    <row r="38" spans="1:11" ht="15.75" thickBot="1" x14ac:dyDescent="0.3">
      <c r="A38" s="3">
        <f>A37+1</f>
        <v>37</v>
      </c>
      <c r="B38" s="4" t="str">
        <f t="shared" si="5"/>
        <v>7</v>
      </c>
      <c r="C38" s="4">
        <f t="shared" si="18"/>
        <v>5</v>
      </c>
      <c r="D38" s="4">
        <v>6</v>
      </c>
      <c r="E38" s="4"/>
      <c r="F38" s="5">
        <f>F26</f>
        <v>43910.75</v>
      </c>
      <c r="G38" s="4">
        <f t="shared" si="7"/>
        <v>90</v>
      </c>
      <c r="H38" s="4" t="s">
        <v>18</v>
      </c>
      <c r="I38" s="4" t="s">
        <v>10</v>
      </c>
      <c r="J38" s="4">
        <f t="shared" si="8"/>
        <v>6</v>
      </c>
      <c r="K38" s="4">
        <f>HOUR(F38)</f>
        <v>18</v>
      </c>
    </row>
    <row r="39" spans="1:11" ht="15.75" thickBot="1" x14ac:dyDescent="0.3">
      <c r="A39" s="7">
        <f t="shared" ref="A39" si="22">A38+1</f>
        <v>38</v>
      </c>
      <c r="B39" s="8" t="str">
        <f t="shared" si="5"/>
        <v>7</v>
      </c>
      <c r="C39" s="8">
        <f t="shared" si="18"/>
        <v>2</v>
      </c>
      <c r="D39" s="8" t="s">
        <v>55</v>
      </c>
      <c r="E39" s="8"/>
      <c r="F39" s="9">
        <f>F38+G38/60/24</f>
        <v>43910.8125</v>
      </c>
      <c r="G39" s="8">
        <f t="shared" si="7"/>
        <v>120</v>
      </c>
      <c r="H39" s="8" t="s">
        <v>18</v>
      </c>
      <c r="I39" s="8" t="s">
        <v>8</v>
      </c>
      <c r="J39" s="8">
        <f t="shared" si="8"/>
        <v>6</v>
      </c>
      <c r="K39" s="4">
        <f>HOUR(F39)</f>
        <v>19</v>
      </c>
    </row>
    <row r="40" spans="1:11" ht="15.75" thickBot="1" x14ac:dyDescent="0.3">
      <c r="A40" s="3">
        <f>A39+1</f>
        <v>39</v>
      </c>
      <c r="B40" s="4" t="str">
        <f t="shared" si="5"/>
        <v>8</v>
      </c>
      <c r="C40" s="4">
        <f t="shared" si="18"/>
        <v>5</v>
      </c>
      <c r="D40" s="4"/>
      <c r="E40" s="4"/>
      <c r="F40" s="5">
        <f>F26</f>
        <v>43910.75</v>
      </c>
      <c r="G40" s="4">
        <f t="shared" si="7"/>
        <v>90</v>
      </c>
      <c r="H40" s="4" t="s">
        <v>19</v>
      </c>
      <c r="I40" s="4" t="s">
        <v>10</v>
      </c>
      <c r="J40" s="4">
        <f t="shared" si="8"/>
        <v>6</v>
      </c>
      <c r="K40" s="4">
        <f>HOUR(F40)</f>
        <v>18</v>
      </c>
    </row>
    <row r="41" spans="1:11" ht="15.75" thickBot="1" x14ac:dyDescent="0.3">
      <c r="A41" s="10">
        <f t="shared" ref="A41" si="23">A40+1</f>
        <v>40</v>
      </c>
      <c r="B41" s="11" t="str">
        <f t="shared" si="5"/>
        <v>8</v>
      </c>
      <c r="C41" s="11">
        <f t="shared" si="18"/>
        <v>2</v>
      </c>
      <c r="D41" s="11" t="s">
        <v>56</v>
      </c>
      <c r="E41" s="11"/>
      <c r="F41" s="12">
        <f>F40+G40/60/24</f>
        <v>43910.8125</v>
      </c>
      <c r="G41" s="11">
        <f t="shared" si="7"/>
        <v>120</v>
      </c>
      <c r="H41" s="11" t="s">
        <v>19</v>
      </c>
      <c r="I41" s="11" t="s">
        <v>8</v>
      </c>
      <c r="J41" s="11">
        <f t="shared" si="8"/>
        <v>6</v>
      </c>
      <c r="K41" s="4">
        <f>HOUR(F41)</f>
        <v>19</v>
      </c>
    </row>
    <row r="42" spans="1:11" ht="15.75" thickBot="1" x14ac:dyDescent="0.3">
      <c r="A42" s="3">
        <f>A41+1</f>
        <v>41</v>
      </c>
      <c r="B42" s="4" t="str">
        <f t="shared" si="5"/>
        <v>4</v>
      </c>
      <c r="C42" s="4">
        <f t="shared" si="18"/>
        <v>1</v>
      </c>
      <c r="D42" s="4">
        <f t="shared" ref="D42:D59" si="24">VLOOKUP(H42,slot_compat,3,FALSE)</f>
        <v>2</v>
      </c>
      <c r="E42" s="4"/>
      <c r="F42" s="5">
        <v>43911.375</v>
      </c>
      <c r="G42" s="4">
        <f t="shared" si="7"/>
        <v>120</v>
      </c>
      <c r="H42" s="4" t="s">
        <v>7</v>
      </c>
      <c r="I42" s="4" t="s">
        <v>7</v>
      </c>
      <c r="J42" s="4">
        <f t="shared" si="8"/>
        <v>7</v>
      </c>
      <c r="K42" s="4">
        <f>HOUR(F42)</f>
        <v>9</v>
      </c>
    </row>
    <row r="43" spans="1:11" ht="15.75" thickBot="1" x14ac:dyDescent="0.3">
      <c r="A43" s="7">
        <f>A42+1</f>
        <v>42</v>
      </c>
      <c r="B43" s="8" t="str">
        <f t="shared" si="5"/>
        <v>4</v>
      </c>
      <c r="C43" s="8">
        <f t="shared" si="18"/>
        <v>1</v>
      </c>
      <c r="D43" s="8">
        <f t="shared" si="24"/>
        <v>2</v>
      </c>
      <c r="E43" s="8"/>
      <c r="F43" s="9">
        <f>F42+G42/60/24</f>
        <v>43911.458333333336</v>
      </c>
      <c r="G43" s="8">
        <f t="shared" si="7"/>
        <v>120</v>
      </c>
      <c r="H43" s="8" t="s">
        <v>7</v>
      </c>
      <c r="I43" s="8" t="s">
        <v>7</v>
      </c>
      <c r="J43" s="8">
        <f t="shared" si="8"/>
        <v>7</v>
      </c>
      <c r="K43" s="4">
        <f>HOUR(F43)</f>
        <v>11</v>
      </c>
    </row>
    <row r="44" spans="1:11" ht="15.75" thickBot="1" x14ac:dyDescent="0.3">
      <c r="A44" s="7">
        <f t="shared" ref="A44:A92" si="25">A43+1</f>
        <v>43</v>
      </c>
      <c r="B44" s="8" t="str">
        <f t="shared" si="5"/>
        <v>4</v>
      </c>
      <c r="C44" s="8">
        <f t="shared" si="18"/>
        <v>1</v>
      </c>
      <c r="D44" s="8">
        <f t="shared" si="24"/>
        <v>2</v>
      </c>
      <c r="E44" s="8"/>
      <c r="F44" s="9">
        <f>F43+G43/60/24</f>
        <v>43911.541666666672</v>
      </c>
      <c r="G44" s="8">
        <f t="shared" si="7"/>
        <v>120</v>
      </c>
      <c r="H44" s="8" t="s">
        <v>7</v>
      </c>
      <c r="I44" s="8" t="s">
        <v>7</v>
      </c>
      <c r="J44" s="8">
        <f t="shared" si="8"/>
        <v>7</v>
      </c>
      <c r="K44" s="4">
        <f>HOUR(F44)</f>
        <v>13</v>
      </c>
    </row>
    <row r="45" spans="1:11" ht="15.75" thickBot="1" x14ac:dyDescent="0.3">
      <c r="A45" s="7">
        <f t="shared" si="25"/>
        <v>44</v>
      </c>
      <c r="B45" s="8" t="str">
        <f t="shared" si="5"/>
        <v>4</v>
      </c>
      <c r="C45" s="8">
        <f t="shared" si="18"/>
        <v>1</v>
      </c>
      <c r="D45" s="8">
        <f t="shared" si="24"/>
        <v>2</v>
      </c>
      <c r="E45" s="8"/>
      <c r="F45" s="9">
        <f>F44+G44/60/24</f>
        <v>43911.625000000007</v>
      </c>
      <c r="G45" s="8">
        <f t="shared" si="7"/>
        <v>120</v>
      </c>
      <c r="H45" s="8" t="s">
        <v>7</v>
      </c>
      <c r="I45" s="8" t="s">
        <v>7</v>
      </c>
      <c r="J45" s="8">
        <f t="shared" si="8"/>
        <v>7</v>
      </c>
      <c r="K45" s="4">
        <f>HOUR(F45)</f>
        <v>15</v>
      </c>
    </row>
    <row r="46" spans="1:11" ht="15.75" thickBot="1" x14ac:dyDescent="0.3">
      <c r="A46" s="7">
        <f>A44+1</f>
        <v>44</v>
      </c>
      <c r="B46" s="8" t="str">
        <f t="shared" si="5"/>
        <v>4</v>
      </c>
      <c r="C46" s="8">
        <f t="shared" si="18"/>
        <v>1</v>
      </c>
      <c r="D46" s="8">
        <f t="shared" si="24"/>
        <v>2</v>
      </c>
      <c r="E46" s="8"/>
      <c r="F46" s="9">
        <f>F45+G45/60/24</f>
        <v>43911.708333333343</v>
      </c>
      <c r="G46" s="8">
        <f t="shared" si="7"/>
        <v>120</v>
      </c>
      <c r="H46" s="8" t="s">
        <v>7</v>
      </c>
      <c r="I46" s="8" t="s">
        <v>7</v>
      </c>
      <c r="J46" s="8">
        <f t="shared" si="8"/>
        <v>7</v>
      </c>
      <c r="K46" s="4">
        <f>HOUR(F46)</f>
        <v>17</v>
      </c>
    </row>
    <row r="47" spans="1:11" ht="15.75" thickBot="1" x14ac:dyDescent="0.3">
      <c r="A47" s="10">
        <f>A45+1</f>
        <v>45</v>
      </c>
      <c r="B47" s="11" t="str">
        <f t="shared" si="5"/>
        <v>4</v>
      </c>
      <c r="C47" s="11">
        <f t="shared" si="18"/>
        <v>1</v>
      </c>
      <c r="D47" s="11">
        <f t="shared" si="24"/>
        <v>2</v>
      </c>
      <c r="E47" s="11"/>
      <c r="F47" s="9">
        <f>F46+G46/60/24</f>
        <v>43911.791666666679</v>
      </c>
      <c r="G47" s="11">
        <f t="shared" si="7"/>
        <v>120</v>
      </c>
      <c r="H47" s="11" t="s">
        <v>7</v>
      </c>
      <c r="I47" s="11" t="s">
        <v>7</v>
      </c>
      <c r="J47" s="11">
        <f t="shared" si="8"/>
        <v>7</v>
      </c>
      <c r="K47" s="4">
        <f>HOUR(F47)</f>
        <v>19</v>
      </c>
    </row>
    <row r="48" spans="1:11" ht="15.75" thickBot="1" x14ac:dyDescent="0.3">
      <c r="A48" s="3">
        <f t="shared" si="25"/>
        <v>46</v>
      </c>
      <c r="B48" s="4" t="str">
        <f t="shared" si="5"/>
        <v>3</v>
      </c>
      <c r="C48" s="8">
        <f t="shared" si="18"/>
        <v>2</v>
      </c>
      <c r="D48" s="8" t="str">
        <f t="shared" si="24"/>
        <v>1,3</v>
      </c>
      <c r="E48" s="4"/>
      <c r="F48" s="5">
        <f>F42</f>
        <v>43911.375</v>
      </c>
      <c r="G48" s="4">
        <f t="shared" si="7"/>
        <v>120</v>
      </c>
      <c r="H48" s="4" t="s">
        <v>8</v>
      </c>
      <c r="I48" s="4" t="s">
        <v>8</v>
      </c>
      <c r="J48" s="4">
        <f t="shared" si="8"/>
        <v>7</v>
      </c>
      <c r="K48" s="4">
        <f>HOUR(F48)</f>
        <v>9</v>
      </c>
    </row>
    <row r="49" spans="1:11" ht="15.75" thickBot="1" x14ac:dyDescent="0.3">
      <c r="A49" s="7">
        <f t="shared" si="25"/>
        <v>47</v>
      </c>
      <c r="B49" s="8" t="str">
        <f t="shared" si="5"/>
        <v>3</v>
      </c>
      <c r="C49" s="8">
        <f t="shared" si="18"/>
        <v>2</v>
      </c>
      <c r="D49" s="8" t="str">
        <f t="shared" si="24"/>
        <v>1,3</v>
      </c>
      <c r="E49" s="8"/>
      <c r="F49" s="9">
        <f>F48+G48/60/24</f>
        <v>43911.458333333336</v>
      </c>
      <c r="G49" s="8">
        <f t="shared" si="7"/>
        <v>120</v>
      </c>
      <c r="H49" s="8" t="s">
        <v>8</v>
      </c>
      <c r="I49" s="8" t="s">
        <v>8</v>
      </c>
      <c r="J49" s="8">
        <f t="shared" si="8"/>
        <v>7</v>
      </c>
      <c r="K49" s="4">
        <f>HOUR(F49)</f>
        <v>11</v>
      </c>
    </row>
    <row r="50" spans="1:11" ht="15.75" thickBot="1" x14ac:dyDescent="0.3">
      <c r="A50" s="7">
        <f t="shared" si="25"/>
        <v>48</v>
      </c>
      <c r="B50" s="8" t="str">
        <f t="shared" si="5"/>
        <v>3</v>
      </c>
      <c r="C50" s="8">
        <f t="shared" si="18"/>
        <v>2</v>
      </c>
      <c r="D50" s="8" t="str">
        <f t="shared" si="24"/>
        <v>1,3</v>
      </c>
      <c r="E50" s="8"/>
      <c r="F50" s="9">
        <f t="shared" ref="F50:F53" si="26">F49+G49/60/24</f>
        <v>43911.541666666672</v>
      </c>
      <c r="G50" s="8">
        <f t="shared" si="7"/>
        <v>120</v>
      </c>
      <c r="H50" s="8" t="s">
        <v>8</v>
      </c>
      <c r="I50" s="8" t="s">
        <v>8</v>
      </c>
      <c r="J50" s="8">
        <f t="shared" si="8"/>
        <v>7</v>
      </c>
      <c r="K50" s="4">
        <f>HOUR(F50)</f>
        <v>13</v>
      </c>
    </row>
    <row r="51" spans="1:11" ht="15.75" thickBot="1" x14ac:dyDescent="0.3">
      <c r="A51" s="7">
        <f t="shared" si="25"/>
        <v>49</v>
      </c>
      <c r="B51" s="8" t="str">
        <f t="shared" si="5"/>
        <v>3</v>
      </c>
      <c r="C51" s="8">
        <f t="shared" si="18"/>
        <v>2</v>
      </c>
      <c r="D51" s="8" t="str">
        <f t="shared" si="24"/>
        <v>1,3</v>
      </c>
      <c r="E51" s="8"/>
      <c r="F51" s="9">
        <f t="shared" si="26"/>
        <v>43911.625000000007</v>
      </c>
      <c r="G51" s="8">
        <f t="shared" si="7"/>
        <v>120</v>
      </c>
      <c r="H51" s="8" t="s">
        <v>8</v>
      </c>
      <c r="I51" s="8" t="s">
        <v>8</v>
      </c>
      <c r="J51" s="8">
        <f t="shared" si="8"/>
        <v>7</v>
      </c>
      <c r="K51" s="4">
        <f>HOUR(F51)</f>
        <v>15</v>
      </c>
    </row>
    <row r="52" spans="1:11" ht="15.75" thickBot="1" x14ac:dyDescent="0.3">
      <c r="A52" s="7">
        <f t="shared" si="25"/>
        <v>50</v>
      </c>
      <c r="B52" s="8" t="str">
        <f t="shared" si="5"/>
        <v>3</v>
      </c>
      <c r="C52" s="8">
        <f t="shared" si="18"/>
        <v>2</v>
      </c>
      <c r="D52" s="8" t="str">
        <f t="shared" si="24"/>
        <v>1,3</v>
      </c>
      <c r="E52" s="8"/>
      <c r="F52" s="9">
        <f t="shared" si="26"/>
        <v>43911.708333333343</v>
      </c>
      <c r="G52" s="8">
        <f t="shared" si="7"/>
        <v>120</v>
      </c>
      <c r="H52" s="8" t="s">
        <v>8</v>
      </c>
      <c r="I52" s="8" t="s">
        <v>8</v>
      </c>
      <c r="J52" s="8">
        <f t="shared" si="8"/>
        <v>7</v>
      </c>
      <c r="K52" s="4">
        <f>HOUR(F52)</f>
        <v>17</v>
      </c>
    </row>
    <row r="53" spans="1:11" ht="15.75" thickBot="1" x14ac:dyDescent="0.3">
      <c r="A53" s="7">
        <f t="shared" si="25"/>
        <v>51</v>
      </c>
      <c r="B53" s="8" t="str">
        <f t="shared" si="5"/>
        <v>3</v>
      </c>
      <c r="C53" s="8">
        <f t="shared" si="18"/>
        <v>2</v>
      </c>
      <c r="D53" s="8" t="str">
        <f t="shared" si="24"/>
        <v>1,3</v>
      </c>
      <c r="E53" s="8"/>
      <c r="F53" s="9">
        <f t="shared" si="26"/>
        <v>43911.791666666679</v>
      </c>
      <c r="G53" s="8">
        <f t="shared" si="7"/>
        <v>120</v>
      </c>
      <c r="H53" s="8" t="s">
        <v>8</v>
      </c>
      <c r="I53" s="8" t="s">
        <v>8</v>
      </c>
      <c r="J53" s="8">
        <f t="shared" si="8"/>
        <v>7</v>
      </c>
      <c r="K53" s="4">
        <f>HOUR(F53)</f>
        <v>19</v>
      </c>
    </row>
    <row r="54" spans="1:11" ht="15.75" thickBot="1" x14ac:dyDescent="0.3">
      <c r="A54" s="3">
        <f t="shared" si="25"/>
        <v>52</v>
      </c>
      <c r="B54" s="4" t="str">
        <f t="shared" si="5"/>
        <v>2</v>
      </c>
      <c r="C54" s="4">
        <f t="shared" si="18"/>
        <v>6</v>
      </c>
      <c r="D54" s="4"/>
      <c r="E54" s="4"/>
      <c r="F54" s="5">
        <f>F42</f>
        <v>43911.375</v>
      </c>
      <c r="G54" s="4">
        <f t="shared" si="7"/>
        <v>60</v>
      </c>
      <c r="H54" s="4" t="s">
        <v>9</v>
      </c>
      <c r="I54" s="4" t="s">
        <v>13</v>
      </c>
      <c r="J54" s="4">
        <f t="shared" si="8"/>
        <v>7</v>
      </c>
      <c r="K54" s="4">
        <f>HOUR(F54)</f>
        <v>9</v>
      </c>
    </row>
    <row r="55" spans="1:11" ht="15.75" thickBot="1" x14ac:dyDescent="0.3">
      <c r="A55" s="7">
        <f t="shared" si="25"/>
        <v>53</v>
      </c>
      <c r="B55" s="8" t="str">
        <f t="shared" si="5"/>
        <v>2</v>
      </c>
      <c r="C55" s="8">
        <f t="shared" si="18"/>
        <v>4</v>
      </c>
      <c r="D55" s="8" t="str">
        <f t="shared" si="24"/>
        <v>5,6</v>
      </c>
      <c r="E55" s="8"/>
      <c r="F55" s="9">
        <f>F54+G54/60/24</f>
        <v>43911.416666666664</v>
      </c>
      <c r="G55" s="8">
        <f t="shared" si="7"/>
        <v>105</v>
      </c>
      <c r="H55" s="8" t="s">
        <v>9</v>
      </c>
      <c r="I55" s="8" t="s">
        <v>12</v>
      </c>
      <c r="J55" s="8">
        <f t="shared" si="8"/>
        <v>7</v>
      </c>
      <c r="K55" s="4">
        <f>HOUR(F55)</f>
        <v>10</v>
      </c>
    </row>
    <row r="56" spans="1:11" ht="15.75" thickBot="1" x14ac:dyDescent="0.3">
      <c r="A56" s="7">
        <f t="shared" si="25"/>
        <v>54</v>
      </c>
      <c r="B56" s="8" t="str">
        <f t="shared" si="5"/>
        <v>2</v>
      </c>
      <c r="C56" s="8">
        <f t="shared" si="18"/>
        <v>4</v>
      </c>
      <c r="D56" s="8" t="str">
        <f t="shared" si="24"/>
        <v>5,6</v>
      </c>
      <c r="E56" s="8"/>
      <c r="F56" s="9">
        <f t="shared" ref="F56:F60" si="27">F55+G55/60/24</f>
        <v>43911.489583333328</v>
      </c>
      <c r="G56" s="8">
        <f t="shared" si="7"/>
        <v>105</v>
      </c>
      <c r="H56" s="8" t="s">
        <v>9</v>
      </c>
      <c r="I56" s="8" t="s">
        <v>12</v>
      </c>
      <c r="J56" s="8">
        <f t="shared" si="8"/>
        <v>7</v>
      </c>
      <c r="K56" s="4">
        <f>HOUR(F56)</f>
        <v>11</v>
      </c>
    </row>
    <row r="57" spans="1:11" ht="15.75" thickBot="1" x14ac:dyDescent="0.3">
      <c r="A57" s="7">
        <f t="shared" si="25"/>
        <v>55</v>
      </c>
      <c r="B57" s="8" t="str">
        <f t="shared" si="5"/>
        <v>2</v>
      </c>
      <c r="C57" s="8">
        <f t="shared" si="18"/>
        <v>4</v>
      </c>
      <c r="D57" s="8" t="str">
        <f t="shared" si="24"/>
        <v>5,6</v>
      </c>
      <c r="E57" s="8"/>
      <c r="F57" s="9">
        <f t="shared" si="27"/>
        <v>43911.562499999993</v>
      </c>
      <c r="G57" s="8">
        <f t="shared" si="7"/>
        <v>105</v>
      </c>
      <c r="H57" s="8" t="s">
        <v>9</v>
      </c>
      <c r="I57" s="8" t="s">
        <v>12</v>
      </c>
      <c r="J57" s="8">
        <f t="shared" si="8"/>
        <v>7</v>
      </c>
      <c r="K57" s="4">
        <f>HOUR(F57)</f>
        <v>13</v>
      </c>
    </row>
    <row r="58" spans="1:11" ht="15.75" thickBot="1" x14ac:dyDescent="0.3">
      <c r="A58" s="7">
        <f t="shared" si="25"/>
        <v>56</v>
      </c>
      <c r="B58" s="8" t="str">
        <f t="shared" si="5"/>
        <v>2</v>
      </c>
      <c r="C58" s="8">
        <f t="shared" si="18"/>
        <v>4</v>
      </c>
      <c r="D58" s="8" t="str">
        <f t="shared" si="24"/>
        <v>5,6</v>
      </c>
      <c r="E58" s="8"/>
      <c r="F58" s="9">
        <f t="shared" si="27"/>
        <v>43911.635416666657</v>
      </c>
      <c r="G58" s="8">
        <f t="shared" si="7"/>
        <v>105</v>
      </c>
      <c r="H58" s="8" t="s">
        <v>9</v>
      </c>
      <c r="I58" s="8" t="s">
        <v>12</v>
      </c>
      <c r="J58" s="8">
        <f t="shared" si="8"/>
        <v>7</v>
      </c>
      <c r="K58" s="4">
        <f>HOUR(F58)</f>
        <v>15</v>
      </c>
    </row>
    <row r="59" spans="1:11" ht="15.75" thickBot="1" x14ac:dyDescent="0.3">
      <c r="A59" s="7">
        <f t="shared" si="25"/>
        <v>57</v>
      </c>
      <c r="B59" s="8" t="str">
        <f t="shared" si="5"/>
        <v>2</v>
      </c>
      <c r="C59" s="8">
        <f t="shared" si="18"/>
        <v>4</v>
      </c>
      <c r="D59" s="8" t="str">
        <f t="shared" si="24"/>
        <v>5,6</v>
      </c>
      <c r="E59" s="8"/>
      <c r="F59" s="9">
        <f t="shared" si="27"/>
        <v>43911.708333333321</v>
      </c>
      <c r="G59" s="8">
        <f t="shared" si="7"/>
        <v>105</v>
      </c>
      <c r="H59" s="8" t="s">
        <v>9</v>
      </c>
      <c r="I59" s="8" t="s">
        <v>12</v>
      </c>
      <c r="J59" s="8">
        <f t="shared" si="8"/>
        <v>7</v>
      </c>
      <c r="K59" s="4">
        <f>HOUR(F59)</f>
        <v>17</v>
      </c>
    </row>
    <row r="60" spans="1:11" ht="15.75" thickBot="1" x14ac:dyDescent="0.3">
      <c r="A60" s="7">
        <f t="shared" si="25"/>
        <v>58</v>
      </c>
      <c r="B60" s="8" t="str">
        <f t="shared" si="5"/>
        <v>2</v>
      </c>
      <c r="C60" s="8">
        <f t="shared" si="18"/>
        <v>4</v>
      </c>
      <c r="D60" s="8"/>
      <c r="E60" s="8"/>
      <c r="F60" s="9">
        <f t="shared" si="27"/>
        <v>43911.781249999985</v>
      </c>
      <c r="G60" s="8">
        <f t="shared" si="7"/>
        <v>105</v>
      </c>
      <c r="H60" s="8" t="s">
        <v>9</v>
      </c>
      <c r="I60" s="8" t="s">
        <v>12</v>
      </c>
      <c r="J60" s="8">
        <f t="shared" si="8"/>
        <v>7</v>
      </c>
      <c r="K60" s="4">
        <f>HOUR(F60)</f>
        <v>18</v>
      </c>
    </row>
    <row r="61" spans="1:11" ht="15.75" thickBot="1" x14ac:dyDescent="0.3">
      <c r="A61" s="3">
        <f t="shared" si="25"/>
        <v>59</v>
      </c>
      <c r="B61" s="4" t="str">
        <f t="shared" si="5"/>
        <v>1</v>
      </c>
      <c r="C61" s="4">
        <v>6</v>
      </c>
      <c r="D61" s="4"/>
      <c r="E61" s="4"/>
      <c r="F61" s="5">
        <f>F42</f>
        <v>43911.375</v>
      </c>
      <c r="G61" s="4">
        <f t="shared" si="7"/>
        <v>60</v>
      </c>
      <c r="H61" s="4" t="s">
        <v>15</v>
      </c>
      <c r="I61" s="4" t="s">
        <v>14</v>
      </c>
      <c r="J61" s="4">
        <f>WEEKDAY(F61)</f>
        <v>7</v>
      </c>
      <c r="K61" s="4">
        <f>HOUR(F61)</f>
        <v>9</v>
      </c>
    </row>
    <row r="62" spans="1:11" ht="15.75" thickBot="1" x14ac:dyDescent="0.3">
      <c r="A62" s="7">
        <f t="shared" si="25"/>
        <v>60</v>
      </c>
      <c r="B62" s="8" t="str">
        <f t="shared" si="5"/>
        <v>1</v>
      </c>
      <c r="C62" s="8">
        <f t="shared" si="18"/>
        <v>6</v>
      </c>
      <c r="D62" s="8"/>
      <c r="E62" s="8"/>
      <c r="F62" s="9">
        <f>F61+G61/60/24</f>
        <v>43911.416666666664</v>
      </c>
      <c r="G62" s="8">
        <f t="shared" si="7"/>
        <v>60</v>
      </c>
      <c r="H62" s="8" t="s">
        <v>15</v>
      </c>
      <c r="I62" s="8" t="s">
        <v>13</v>
      </c>
      <c r="J62" s="8">
        <f>WEEKDAY(F62)</f>
        <v>7</v>
      </c>
      <c r="K62" s="4">
        <f>HOUR(F62)</f>
        <v>10</v>
      </c>
    </row>
    <row r="63" spans="1:11" ht="15.75" thickBot="1" x14ac:dyDescent="0.3">
      <c r="A63" s="7">
        <f t="shared" si="25"/>
        <v>61</v>
      </c>
      <c r="B63" s="8" t="str">
        <f t="shared" si="5"/>
        <v>1</v>
      </c>
      <c r="C63" s="8">
        <f t="shared" si="18"/>
        <v>5</v>
      </c>
      <c r="D63" s="8"/>
      <c r="E63" s="8"/>
      <c r="F63" s="9">
        <f t="shared" ref="F63:F67" si="28">F62+G62/60/24</f>
        <v>43911.458333333328</v>
      </c>
      <c r="G63" s="8">
        <f t="shared" si="7"/>
        <v>90</v>
      </c>
      <c r="H63" s="8" t="s">
        <v>15</v>
      </c>
      <c r="I63" s="8" t="s">
        <v>10</v>
      </c>
      <c r="J63" s="8">
        <f>WEEKDAY(F63)</f>
        <v>7</v>
      </c>
      <c r="K63" s="4">
        <f>HOUR(F63)</f>
        <v>11</v>
      </c>
    </row>
    <row r="64" spans="1:11" ht="15.75" thickBot="1" x14ac:dyDescent="0.3">
      <c r="A64" s="7">
        <f t="shared" si="25"/>
        <v>62</v>
      </c>
      <c r="B64" s="8" t="str">
        <f t="shared" si="5"/>
        <v>1</v>
      </c>
      <c r="C64" s="8">
        <f t="shared" si="18"/>
        <v>5</v>
      </c>
      <c r="D64" s="8"/>
      <c r="E64" s="8"/>
      <c r="F64" s="9">
        <f t="shared" si="28"/>
        <v>43911.520833333328</v>
      </c>
      <c r="G64" s="8">
        <f t="shared" si="7"/>
        <v>90</v>
      </c>
      <c r="H64" s="8" t="s">
        <v>15</v>
      </c>
      <c r="I64" s="8" t="s">
        <v>10</v>
      </c>
      <c r="J64" s="8">
        <f>WEEKDAY(F64)</f>
        <v>7</v>
      </c>
      <c r="K64" s="4">
        <f>HOUR(F64)</f>
        <v>12</v>
      </c>
    </row>
    <row r="65" spans="1:11" ht="15.75" thickBot="1" x14ac:dyDescent="0.3">
      <c r="A65" s="7">
        <f t="shared" si="25"/>
        <v>63</v>
      </c>
      <c r="B65" s="8" t="str">
        <f t="shared" si="5"/>
        <v>1</v>
      </c>
      <c r="C65" s="8">
        <f t="shared" si="18"/>
        <v>5</v>
      </c>
      <c r="D65" s="8"/>
      <c r="E65" s="8"/>
      <c r="F65" s="9">
        <f t="shared" si="28"/>
        <v>43911.583333333328</v>
      </c>
      <c r="G65" s="8">
        <f t="shared" si="7"/>
        <v>90</v>
      </c>
      <c r="H65" s="8" t="s">
        <v>15</v>
      </c>
      <c r="I65" s="8" t="s">
        <v>10</v>
      </c>
      <c r="J65" s="8">
        <f t="shared" ref="J65:J67" si="29">WEEKDAY(F65)</f>
        <v>7</v>
      </c>
      <c r="K65" s="4">
        <f>HOUR(F65)</f>
        <v>14</v>
      </c>
    </row>
    <row r="66" spans="1:11" ht="15.75" thickBot="1" x14ac:dyDescent="0.3">
      <c r="A66" s="7">
        <f t="shared" si="25"/>
        <v>64</v>
      </c>
      <c r="B66" s="8" t="str">
        <f t="shared" ref="B66:B129" si="30">VLOOKUP(H66,field_id,2,FALSE)</f>
        <v>1</v>
      </c>
      <c r="C66" s="8">
        <f t="shared" si="18"/>
        <v>5</v>
      </c>
      <c r="D66" s="8"/>
      <c r="E66" s="8"/>
      <c r="F66" s="9">
        <f t="shared" si="28"/>
        <v>43911.645833333328</v>
      </c>
      <c r="G66" s="8">
        <f t="shared" ref="G66:G129" si="31">VLOOKUP(I66,GameDuration,2,FALSE)</f>
        <v>90</v>
      </c>
      <c r="H66" s="8" t="s">
        <v>15</v>
      </c>
      <c r="I66" s="8" t="s">
        <v>10</v>
      </c>
      <c r="J66" s="8">
        <f t="shared" si="29"/>
        <v>7</v>
      </c>
      <c r="K66" s="4">
        <f>HOUR(F66)</f>
        <v>15</v>
      </c>
    </row>
    <row r="67" spans="1:11" ht="15.75" thickBot="1" x14ac:dyDescent="0.3">
      <c r="A67" s="10">
        <f t="shared" si="25"/>
        <v>65</v>
      </c>
      <c r="B67" s="11" t="str">
        <f t="shared" si="30"/>
        <v>1</v>
      </c>
      <c r="C67" s="11">
        <f t="shared" si="18"/>
        <v>5</v>
      </c>
      <c r="D67" s="11"/>
      <c r="E67" s="11"/>
      <c r="F67" s="9">
        <f t="shared" si="28"/>
        <v>43911.708333333328</v>
      </c>
      <c r="G67" s="11">
        <f t="shared" si="31"/>
        <v>90</v>
      </c>
      <c r="H67" s="11" t="s">
        <v>15</v>
      </c>
      <c r="I67" s="11" t="s">
        <v>10</v>
      </c>
      <c r="J67" s="11">
        <f t="shared" si="29"/>
        <v>7</v>
      </c>
      <c r="K67" s="4">
        <f>HOUR(F67)</f>
        <v>17</v>
      </c>
    </row>
    <row r="68" spans="1:11" ht="15.75" thickBot="1" x14ac:dyDescent="0.3">
      <c r="A68" s="3">
        <f t="shared" si="25"/>
        <v>66</v>
      </c>
      <c r="B68" s="4" t="str">
        <f t="shared" si="30"/>
        <v>5</v>
      </c>
      <c r="C68" s="4">
        <f t="shared" si="18"/>
        <v>6</v>
      </c>
      <c r="D68" s="4"/>
      <c r="E68" s="4"/>
      <c r="F68" s="5">
        <f>F42</f>
        <v>43911.375</v>
      </c>
      <c r="G68" s="4">
        <f t="shared" si="31"/>
        <v>60</v>
      </c>
      <c r="H68" s="4" t="s">
        <v>16</v>
      </c>
      <c r="I68" s="4" t="s">
        <v>13</v>
      </c>
      <c r="J68" s="4">
        <f>WEEKDAY(F68)</f>
        <v>7</v>
      </c>
      <c r="K68" s="4">
        <f>HOUR(F68)</f>
        <v>9</v>
      </c>
    </row>
    <row r="69" spans="1:11" ht="15.75" thickBot="1" x14ac:dyDescent="0.3">
      <c r="A69" s="7">
        <f t="shared" si="25"/>
        <v>67</v>
      </c>
      <c r="B69" s="8" t="str">
        <f t="shared" si="30"/>
        <v>5</v>
      </c>
      <c r="C69" s="8">
        <f t="shared" si="18"/>
        <v>5</v>
      </c>
      <c r="D69" s="8">
        <v>6</v>
      </c>
      <c r="E69" s="8"/>
      <c r="F69" s="9">
        <f>F68+G68/60/24</f>
        <v>43911.416666666664</v>
      </c>
      <c r="G69" s="8">
        <f t="shared" si="31"/>
        <v>90</v>
      </c>
      <c r="H69" s="8" t="s">
        <v>16</v>
      </c>
      <c r="I69" s="8" t="s">
        <v>10</v>
      </c>
      <c r="J69" s="8">
        <f>WEEKDAY(F69)</f>
        <v>7</v>
      </c>
      <c r="K69" s="4">
        <f>HOUR(F69)</f>
        <v>10</v>
      </c>
    </row>
    <row r="70" spans="1:11" ht="15.75" thickBot="1" x14ac:dyDescent="0.3">
      <c r="A70" s="7">
        <f t="shared" si="25"/>
        <v>68</v>
      </c>
      <c r="B70" s="8" t="str">
        <f t="shared" si="30"/>
        <v>5</v>
      </c>
      <c r="C70" s="8">
        <f t="shared" si="18"/>
        <v>4</v>
      </c>
      <c r="D70" s="8">
        <f t="shared" ref="D70:D73" si="32">VLOOKUP(H70,slot_compat,3,FALSE)</f>
        <v>5</v>
      </c>
      <c r="E70" s="8"/>
      <c r="F70" s="9">
        <f t="shared" ref="F70:F74" si="33">F69+G69/60/24</f>
        <v>43911.479166666664</v>
      </c>
      <c r="G70" s="8">
        <f t="shared" si="31"/>
        <v>105</v>
      </c>
      <c r="H70" s="8" t="s">
        <v>16</v>
      </c>
      <c r="I70" s="8" t="s">
        <v>12</v>
      </c>
      <c r="J70" s="8">
        <f>WEEKDAY(F70)</f>
        <v>7</v>
      </c>
      <c r="K70" s="4">
        <f>HOUR(F70)</f>
        <v>11</v>
      </c>
    </row>
    <row r="71" spans="1:11" ht="15.75" thickBot="1" x14ac:dyDescent="0.3">
      <c r="A71" s="7">
        <f t="shared" si="25"/>
        <v>69</v>
      </c>
      <c r="B71" s="8" t="str">
        <f t="shared" si="30"/>
        <v>5</v>
      </c>
      <c r="C71" s="8">
        <f t="shared" si="18"/>
        <v>4</v>
      </c>
      <c r="D71" s="8">
        <f t="shared" si="32"/>
        <v>5</v>
      </c>
      <c r="E71" s="8"/>
      <c r="F71" s="9">
        <f t="shared" si="33"/>
        <v>43911.552083333328</v>
      </c>
      <c r="G71" s="8">
        <f t="shared" si="31"/>
        <v>105</v>
      </c>
      <c r="H71" s="8" t="s">
        <v>16</v>
      </c>
      <c r="I71" s="8" t="s">
        <v>12</v>
      </c>
      <c r="J71" s="8">
        <f>WEEKDAY(F71)</f>
        <v>7</v>
      </c>
      <c r="K71" s="4">
        <f>HOUR(F71)</f>
        <v>13</v>
      </c>
    </row>
    <row r="72" spans="1:11" ht="15.75" thickBot="1" x14ac:dyDescent="0.3">
      <c r="A72" s="7">
        <f t="shared" si="25"/>
        <v>70</v>
      </c>
      <c r="B72" s="8" t="str">
        <f t="shared" si="30"/>
        <v>5</v>
      </c>
      <c r="C72" s="8">
        <f t="shared" si="18"/>
        <v>4</v>
      </c>
      <c r="D72" s="8">
        <f t="shared" si="32"/>
        <v>5</v>
      </c>
      <c r="E72" s="8"/>
      <c r="F72" s="9">
        <f t="shared" si="33"/>
        <v>43911.624999999993</v>
      </c>
      <c r="G72" s="8">
        <f t="shared" si="31"/>
        <v>105</v>
      </c>
      <c r="H72" s="8" t="s">
        <v>16</v>
      </c>
      <c r="I72" s="8" t="s">
        <v>12</v>
      </c>
      <c r="J72" s="8">
        <f t="shared" ref="J72:J135" si="34">WEEKDAY(F72)</f>
        <v>7</v>
      </c>
      <c r="K72" s="4">
        <f>HOUR(F72)</f>
        <v>15</v>
      </c>
    </row>
    <row r="73" spans="1:11" ht="15.75" thickBot="1" x14ac:dyDescent="0.3">
      <c r="A73" s="7">
        <f t="shared" si="25"/>
        <v>71</v>
      </c>
      <c r="B73" s="8" t="str">
        <f t="shared" si="30"/>
        <v>5</v>
      </c>
      <c r="C73" s="8">
        <f t="shared" si="18"/>
        <v>4</v>
      </c>
      <c r="D73" s="8">
        <f t="shared" si="32"/>
        <v>5</v>
      </c>
      <c r="E73" s="8"/>
      <c r="F73" s="9">
        <f t="shared" si="33"/>
        <v>43911.697916666657</v>
      </c>
      <c r="G73" s="8">
        <f t="shared" si="31"/>
        <v>105</v>
      </c>
      <c r="H73" s="8" t="s">
        <v>16</v>
      </c>
      <c r="I73" s="8" t="s">
        <v>12</v>
      </c>
      <c r="J73" s="8">
        <f t="shared" si="34"/>
        <v>7</v>
      </c>
      <c r="K73" s="4">
        <f>HOUR(F73)</f>
        <v>16</v>
      </c>
    </row>
    <row r="74" spans="1:11" ht="15.75" thickBot="1" x14ac:dyDescent="0.3">
      <c r="A74" s="7">
        <f t="shared" si="25"/>
        <v>72</v>
      </c>
      <c r="B74" s="8" t="str">
        <f t="shared" si="30"/>
        <v>5</v>
      </c>
      <c r="C74" s="8">
        <f t="shared" si="18"/>
        <v>4</v>
      </c>
      <c r="D74" s="8"/>
      <c r="E74" s="8"/>
      <c r="F74" s="9">
        <f t="shared" si="33"/>
        <v>43911.770833333321</v>
      </c>
      <c r="G74" s="8">
        <f t="shared" si="31"/>
        <v>105</v>
      </c>
      <c r="H74" s="8" t="s">
        <v>16</v>
      </c>
      <c r="I74" s="8" t="s">
        <v>12</v>
      </c>
      <c r="J74" s="8">
        <f t="shared" si="34"/>
        <v>7</v>
      </c>
      <c r="K74" s="4">
        <f>HOUR(F74)</f>
        <v>18</v>
      </c>
    </row>
    <row r="75" spans="1:11" ht="15.75" thickBot="1" x14ac:dyDescent="0.3">
      <c r="A75" s="3">
        <f t="shared" si="25"/>
        <v>73</v>
      </c>
      <c r="B75" s="4" t="str">
        <f t="shared" si="30"/>
        <v>6</v>
      </c>
      <c r="C75" s="4">
        <f t="shared" si="18"/>
        <v>4</v>
      </c>
      <c r="D75" s="4">
        <v>5</v>
      </c>
      <c r="E75" s="4"/>
      <c r="F75" s="5">
        <f>F42</f>
        <v>43911.375</v>
      </c>
      <c r="G75" s="4">
        <f t="shared" si="31"/>
        <v>105</v>
      </c>
      <c r="H75" s="4" t="s">
        <v>17</v>
      </c>
      <c r="I75" s="4" t="s">
        <v>12</v>
      </c>
      <c r="J75" s="4">
        <f t="shared" si="34"/>
        <v>7</v>
      </c>
      <c r="K75" s="4">
        <f>HOUR(F75)</f>
        <v>9</v>
      </c>
    </row>
    <row r="76" spans="1:11" ht="15.75" thickBot="1" x14ac:dyDescent="0.3">
      <c r="A76" s="7">
        <f t="shared" si="25"/>
        <v>74</v>
      </c>
      <c r="B76" s="8" t="str">
        <f t="shared" si="30"/>
        <v>6</v>
      </c>
      <c r="C76" s="8">
        <f t="shared" si="18"/>
        <v>3</v>
      </c>
      <c r="D76" s="8" t="s">
        <v>55</v>
      </c>
      <c r="E76" s="8"/>
      <c r="F76" s="9">
        <f>F75+G75/60/24</f>
        <v>43911.447916666664</v>
      </c>
      <c r="G76" s="8">
        <f t="shared" si="31"/>
        <v>105</v>
      </c>
      <c r="H76" s="8" t="s">
        <v>17</v>
      </c>
      <c r="I76" s="8" t="s">
        <v>11</v>
      </c>
      <c r="J76" s="8">
        <f t="shared" si="34"/>
        <v>7</v>
      </c>
      <c r="K76" s="4">
        <f>HOUR(F76)</f>
        <v>10</v>
      </c>
    </row>
    <row r="77" spans="1:11" ht="15.75" thickBot="1" x14ac:dyDescent="0.3">
      <c r="A77" s="7">
        <f t="shared" si="25"/>
        <v>75</v>
      </c>
      <c r="B77" s="8" t="str">
        <f t="shared" si="30"/>
        <v>6</v>
      </c>
      <c r="C77" s="8">
        <f t="shared" si="18"/>
        <v>3</v>
      </c>
      <c r="D77" s="8" t="s">
        <v>55</v>
      </c>
      <c r="E77" s="8"/>
      <c r="F77" s="9">
        <f t="shared" ref="F77:F80" si="35">F76+G76/60/24</f>
        <v>43911.520833333328</v>
      </c>
      <c r="G77" s="8">
        <f t="shared" si="31"/>
        <v>105</v>
      </c>
      <c r="H77" s="8" t="s">
        <v>17</v>
      </c>
      <c r="I77" s="8" t="s">
        <v>11</v>
      </c>
      <c r="J77" s="8">
        <f t="shared" si="34"/>
        <v>7</v>
      </c>
      <c r="K77" s="4">
        <f>HOUR(F77)</f>
        <v>12</v>
      </c>
    </row>
    <row r="78" spans="1:11" ht="15.75" thickBot="1" x14ac:dyDescent="0.3">
      <c r="A78" s="7">
        <f t="shared" si="25"/>
        <v>76</v>
      </c>
      <c r="B78" s="8" t="str">
        <f t="shared" si="30"/>
        <v>6</v>
      </c>
      <c r="C78" s="8">
        <f t="shared" si="18"/>
        <v>3</v>
      </c>
      <c r="D78" s="8" t="s">
        <v>55</v>
      </c>
      <c r="E78" s="8"/>
      <c r="F78" s="9">
        <f t="shared" si="35"/>
        <v>43911.593749999993</v>
      </c>
      <c r="G78" s="8">
        <f t="shared" si="31"/>
        <v>105</v>
      </c>
      <c r="H78" s="8" t="s">
        <v>17</v>
      </c>
      <c r="I78" s="8" t="s">
        <v>11</v>
      </c>
      <c r="J78" s="8">
        <f t="shared" si="34"/>
        <v>7</v>
      </c>
      <c r="K78" s="4">
        <f>HOUR(F78)</f>
        <v>14</v>
      </c>
    </row>
    <row r="79" spans="1:11" ht="15.75" thickBot="1" x14ac:dyDescent="0.3">
      <c r="A79" s="7">
        <f t="shared" si="25"/>
        <v>77</v>
      </c>
      <c r="B79" s="8" t="str">
        <f t="shared" si="30"/>
        <v>6</v>
      </c>
      <c r="C79" s="8">
        <f t="shared" si="18"/>
        <v>3</v>
      </c>
      <c r="D79" s="8" t="s">
        <v>55</v>
      </c>
      <c r="E79" s="8"/>
      <c r="F79" s="9">
        <f t="shared" si="35"/>
        <v>43911.666666666657</v>
      </c>
      <c r="G79" s="8">
        <f t="shared" si="31"/>
        <v>105</v>
      </c>
      <c r="H79" s="8" t="s">
        <v>17</v>
      </c>
      <c r="I79" s="8" t="s">
        <v>11</v>
      </c>
      <c r="J79" s="8">
        <f t="shared" si="34"/>
        <v>7</v>
      </c>
      <c r="K79" s="4">
        <f>HOUR(F79)</f>
        <v>16</v>
      </c>
    </row>
    <row r="80" spans="1:11" ht="15.75" thickBot="1" x14ac:dyDescent="0.3">
      <c r="A80" s="7">
        <f t="shared" si="25"/>
        <v>78</v>
      </c>
      <c r="B80" s="8" t="str">
        <f t="shared" si="30"/>
        <v>6</v>
      </c>
      <c r="C80" s="8">
        <v>2</v>
      </c>
      <c r="D80" s="14" t="s">
        <v>61</v>
      </c>
      <c r="E80" s="8"/>
      <c r="F80" s="9">
        <f t="shared" si="35"/>
        <v>43911.739583333321</v>
      </c>
      <c r="G80" s="8">
        <f t="shared" si="31"/>
        <v>105</v>
      </c>
      <c r="H80" s="8" t="s">
        <v>17</v>
      </c>
      <c r="I80" s="8" t="s">
        <v>11</v>
      </c>
      <c r="J80" s="8">
        <f t="shared" si="34"/>
        <v>7</v>
      </c>
      <c r="K80" s="4">
        <f>HOUR(F80)</f>
        <v>17</v>
      </c>
    </row>
    <row r="81" spans="1:11" ht="15.75" thickBot="1" x14ac:dyDescent="0.3">
      <c r="A81" s="3">
        <f t="shared" si="25"/>
        <v>79</v>
      </c>
      <c r="B81" s="4" t="str">
        <f t="shared" si="30"/>
        <v>7</v>
      </c>
      <c r="C81" s="4">
        <f t="shared" si="18"/>
        <v>6</v>
      </c>
      <c r="D81" s="4"/>
      <c r="E81" s="4"/>
      <c r="F81" s="5">
        <f>F42</f>
        <v>43911.375</v>
      </c>
      <c r="G81" s="4">
        <f t="shared" si="31"/>
        <v>60</v>
      </c>
      <c r="H81" s="4" t="s">
        <v>18</v>
      </c>
      <c r="I81" s="4" t="s">
        <v>13</v>
      </c>
      <c r="J81" s="4">
        <f t="shared" si="34"/>
        <v>7</v>
      </c>
      <c r="K81" s="4">
        <f>HOUR(F81)</f>
        <v>9</v>
      </c>
    </row>
    <row r="82" spans="1:11" ht="15.75" thickBot="1" x14ac:dyDescent="0.3">
      <c r="A82" s="7">
        <f t="shared" si="25"/>
        <v>80</v>
      </c>
      <c r="B82" s="8" t="str">
        <f t="shared" si="30"/>
        <v>7</v>
      </c>
      <c r="C82" s="8">
        <f t="shared" si="18"/>
        <v>3</v>
      </c>
      <c r="D82" s="8" t="s">
        <v>55</v>
      </c>
      <c r="E82" s="8"/>
      <c r="F82" s="9">
        <f>F81+G81/60/24</f>
        <v>43911.416666666664</v>
      </c>
      <c r="G82" s="8">
        <f t="shared" si="31"/>
        <v>105</v>
      </c>
      <c r="H82" s="8" t="s">
        <v>18</v>
      </c>
      <c r="I82" s="8" t="s">
        <v>11</v>
      </c>
      <c r="J82" s="8">
        <f t="shared" si="34"/>
        <v>7</v>
      </c>
      <c r="K82" s="4">
        <f>HOUR(F82)</f>
        <v>10</v>
      </c>
    </row>
    <row r="83" spans="1:11" ht="15.75" thickBot="1" x14ac:dyDescent="0.3">
      <c r="A83" s="7">
        <f t="shared" si="25"/>
        <v>81</v>
      </c>
      <c r="B83" s="8" t="str">
        <f t="shared" si="30"/>
        <v>7</v>
      </c>
      <c r="C83" s="8">
        <f t="shared" si="18"/>
        <v>3</v>
      </c>
      <c r="D83" s="8" t="s">
        <v>55</v>
      </c>
      <c r="E83" s="8"/>
      <c r="F83" s="9">
        <f t="shared" ref="F83:F86" si="36">F82+G82/60/24</f>
        <v>43911.489583333328</v>
      </c>
      <c r="G83" s="8">
        <f t="shared" si="31"/>
        <v>105</v>
      </c>
      <c r="H83" s="8" t="s">
        <v>18</v>
      </c>
      <c r="I83" s="8" t="s">
        <v>11</v>
      </c>
      <c r="J83" s="8">
        <f t="shared" si="34"/>
        <v>7</v>
      </c>
      <c r="K83" s="4">
        <f>HOUR(F83)</f>
        <v>11</v>
      </c>
    </row>
    <row r="84" spans="1:11" ht="15.75" thickBot="1" x14ac:dyDescent="0.3">
      <c r="A84" s="7">
        <f t="shared" si="25"/>
        <v>82</v>
      </c>
      <c r="B84" s="8" t="str">
        <f t="shared" si="30"/>
        <v>7</v>
      </c>
      <c r="C84" s="8">
        <f t="shared" si="18"/>
        <v>2</v>
      </c>
      <c r="D84" s="8" t="s">
        <v>56</v>
      </c>
      <c r="E84" s="8"/>
      <c r="F84" s="9">
        <f t="shared" si="36"/>
        <v>43911.562499999993</v>
      </c>
      <c r="G84" s="8">
        <f t="shared" si="31"/>
        <v>120</v>
      </c>
      <c r="H84" s="8" t="s">
        <v>18</v>
      </c>
      <c r="I84" s="8" t="s">
        <v>8</v>
      </c>
      <c r="J84" s="8">
        <f t="shared" si="34"/>
        <v>7</v>
      </c>
      <c r="K84" s="4">
        <f>HOUR(F84)</f>
        <v>13</v>
      </c>
    </row>
    <row r="85" spans="1:11" ht="15.75" thickBot="1" x14ac:dyDescent="0.3">
      <c r="A85" s="7">
        <f t="shared" si="25"/>
        <v>83</v>
      </c>
      <c r="B85" s="8" t="str">
        <f t="shared" si="30"/>
        <v>7</v>
      </c>
      <c r="C85" s="8">
        <f t="shared" ref="C85:C92" si="37">VLOOKUP(I85,league_id,2,FALSE)</f>
        <v>2</v>
      </c>
      <c r="D85" s="8" t="s">
        <v>56</v>
      </c>
      <c r="E85" s="8"/>
      <c r="F85" s="9">
        <f t="shared" si="36"/>
        <v>43911.645833333328</v>
      </c>
      <c r="G85" s="8">
        <f t="shared" si="31"/>
        <v>120</v>
      </c>
      <c r="H85" s="8" t="s">
        <v>18</v>
      </c>
      <c r="I85" s="8" t="s">
        <v>8</v>
      </c>
      <c r="J85" s="8">
        <f t="shared" si="34"/>
        <v>7</v>
      </c>
      <c r="K85" s="4">
        <f>HOUR(F85)</f>
        <v>15</v>
      </c>
    </row>
    <row r="86" spans="1:11" ht="15.75" thickBot="1" x14ac:dyDescent="0.3">
      <c r="A86" s="7">
        <f t="shared" si="25"/>
        <v>84</v>
      </c>
      <c r="B86" s="8" t="str">
        <f t="shared" si="30"/>
        <v>7</v>
      </c>
      <c r="C86" s="8">
        <f t="shared" si="37"/>
        <v>2</v>
      </c>
      <c r="D86" s="8" t="s">
        <v>61</v>
      </c>
      <c r="E86" s="8"/>
      <c r="F86" s="9">
        <f t="shared" si="36"/>
        <v>43911.729166666664</v>
      </c>
      <c r="G86" s="8">
        <f t="shared" si="31"/>
        <v>120</v>
      </c>
      <c r="H86" s="8" t="s">
        <v>18</v>
      </c>
      <c r="I86" s="8" t="s">
        <v>8</v>
      </c>
      <c r="J86" s="8">
        <f t="shared" si="34"/>
        <v>7</v>
      </c>
      <c r="K86" s="4">
        <f>HOUR(F86)</f>
        <v>17</v>
      </c>
    </row>
    <row r="87" spans="1:11" ht="15.75" thickBot="1" x14ac:dyDescent="0.3">
      <c r="A87" s="3">
        <f t="shared" si="25"/>
        <v>85</v>
      </c>
      <c r="B87" s="4" t="str">
        <f t="shared" si="30"/>
        <v>8</v>
      </c>
      <c r="C87" s="4">
        <f t="shared" si="37"/>
        <v>5</v>
      </c>
      <c r="D87" s="4"/>
      <c r="E87" s="4"/>
      <c r="F87" s="5">
        <f>F42</f>
        <v>43911.375</v>
      </c>
      <c r="G87" s="4">
        <f t="shared" si="31"/>
        <v>90</v>
      </c>
      <c r="H87" s="4" t="s">
        <v>19</v>
      </c>
      <c r="I87" s="4" t="s">
        <v>10</v>
      </c>
      <c r="J87" s="4">
        <f t="shared" si="34"/>
        <v>7</v>
      </c>
      <c r="K87" s="4">
        <f>HOUR(F87)</f>
        <v>9</v>
      </c>
    </row>
    <row r="88" spans="1:11" ht="15.75" thickBot="1" x14ac:dyDescent="0.3">
      <c r="A88" s="7">
        <f t="shared" si="25"/>
        <v>86</v>
      </c>
      <c r="B88" s="8" t="str">
        <f t="shared" si="30"/>
        <v>8</v>
      </c>
      <c r="C88" s="8">
        <f t="shared" si="37"/>
        <v>5</v>
      </c>
      <c r="D88" s="8"/>
      <c r="E88" s="8"/>
      <c r="F88" s="9">
        <f>F87+G87/60/24</f>
        <v>43911.4375</v>
      </c>
      <c r="G88" s="8">
        <f t="shared" si="31"/>
        <v>90</v>
      </c>
      <c r="H88" s="8" t="s">
        <v>19</v>
      </c>
      <c r="I88" s="8" t="s">
        <v>10</v>
      </c>
      <c r="J88" s="8">
        <f t="shared" si="34"/>
        <v>7</v>
      </c>
      <c r="K88" s="4">
        <f>HOUR(F88)</f>
        <v>10</v>
      </c>
    </row>
    <row r="89" spans="1:11" ht="15.75" thickBot="1" x14ac:dyDescent="0.3">
      <c r="A89" s="7">
        <f t="shared" si="25"/>
        <v>87</v>
      </c>
      <c r="B89" s="8" t="str">
        <f t="shared" si="30"/>
        <v>8</v>
      </c>
      <c r="C89" s="8">
        <f t="shared" si="37"/>
        <v>3</v>
      </c>
      <c r="D89" s="8" t="s">
        <v>55</v>
      </c>
      <c r="E89" s="8"/>
      <c r="F89" s="9">
        <f t="shared" ref="F89:F92" si="38">F88+G88/60/24</f>
        <v>43911.5</v>
      </c>
      <c r="G89" s="8">
        <f t="shared" si="31"/>
        <v>105</v>
      </c>
      <c r="H89" s="8" t="s">
        <v>19</v>
      </c>
      <c r="I89" s="8" t="s">
        <v>11</v>
      </c>
      <c r="J89" s="8">
        <f t="shared" si="34"/>
        <v>7</v>
      </c>
      <c r="K89" s="4">
        <f>HOUR(F89)</f>
        <v>12</v>
      </c>
    </row>
    <row r="90" spans="1:11" ht="15.75" thickBot="1" x14ac:dyDescent="0.3">
      <c r="A90" s="7">
        <f t="shared" si="25"/>
        <v>88</v>
      </c>
      <c r="B90" s="8" t="str">
        <f t="shared" si="30"/>
        <v>8</v>
      </c>
      <c r="C90" s="8">
        <f t="shared" si="37"/>
        <v>2</v>
      </c>
      <c r="D90" s="8" t="s">
        <v>56</v>
      </c>
      <c r="E90" s="8"/>
      <c r="F90" s="9">
        <f t="shared" si="38"/>
        <v>43911.572916666664</v>
      </c>
      <c r="G90" s="8">
        <f t="shared" si="31"/>
        <v>120</v>
      </c>
      <c r="H90" s="8" t="s">
        <v>19</v>
      </c>
      <c r="I90" s="8" t="s">
        <v>8</v>
      </c>
      <c r="J90" s="8">
        <f t="shared" si="34"/>
        <v>7</v>
      </c>
      <c r="K90" s="4">
        <f>HOUR(F90)</f>
        <v>13</v>
      </c>
    </row>
    <row r="91" spans="1:11" ht="15.75" thickBot="1" x14ac:dyDescent="0.3">
      <c r="A91" s="7">
        <f t="shared" si="25"/>
        <v>89</v>
      </c>
      <c r="B91" s="8" t="str">
        <f t="shared" si="30"/>
        <v>8</v>
      </c>
      <c r="C91" s="8">
        <f t="shared" si="37"/>
        <v>2</v>
      </c>
      <c r="D91" s="8" t="s">
        <v>56</v>
      </c>
      <c r="E91" s="8"/>
      <c r="F91" s="9">
        <f t="shared" si="38"/>
        <v>43911.65625</v>
      </c>
      <c r="G91" s="8">
        <f t="shared" si="31"/>
        <v>120</v>
      </c>
      <c r="H91" s="8" t="s">
        <v>19</v>
      </c>
      <c r="I91" s="8" t="s">
        <v>8</v>
      </c>
      <c r="J91" s="8">
        <f t="shared" si="34"/>
        <v>7</v>
      </c>
      <c r="K91" s="4">
        <f>HOUR(F91)</f>
        <v>15</v>
      </c>
    </row>
    <row r="92" spans="1:11" ht="15.75" thickBot="1" x14ac:dyDescent="0.3">
      <c r="A92" s="7">
        <f t="shared" si="25"/>
        <v>90</v>
      </c>
      <c r="B92" s="8" t="str">
        <f t="shared" si="30"/>
        <v>8</v>
      </c>
      <c r="C92" s="8">
        <f t="shared" si="37"/>
        <v>2</v>
      </c>
      <c r="D92" s="8" t="s">
        <v>61</v>
      </c>
      <c r="E92" s="8"/>
      <c r="F92" s="9">
        <f t="shared" si="38"/>
        <v>43911.739583333336</v>
      </c>
      <c r="G92" s="8">
        <f t="shared" si="31"/>
        <v>120</v>
      </c>
      <c r="H92" s="8" t="s">
        <v>19</v>
      </c>
      <c r="I92" s="8" t="s">
        <v>8</v>
      </c>
      <c r="J92" s="8">
        <f t="shared" si="34"/>
        <v>7</v>
      </c>
      <c r="K92" s="4">
        <f>HOUR(F92)</f>
        <v>17</v>
      </c>
    </row>
    <row r="93" spans="1:11" ht="15.75" thickBot="1" x14ac:dyDescent="0.3">
      <c r="A93" s="3">
        <f>A92+1</f>
        <v>91</v>
      </c>
      <c r="B93" s="4" t="str">
        <f t="shared" si="30"/>
        <v>4</v>
      </c>
      <c r="C93" s="4">
        <f>VLOOKUP(I93,league_id,2,FALSE)</f>
        <v>1</v>
      </c>
      <c r="D93" s="4">
        <f t="shared" ref="D93:D94" si="39">VLOOKUP(H93,slot_compat,3,FALSE)</f>
        <v>2</v>
      </c>
      <c r="E93" s="4"/>
      <c r="F93" s="5">
        <v>43913.75</v>
      </c>
      <c r="G93" s="4">
        <f t="shared" si="31"/>
        <v>120</v>
      </c>
      <c r="H93" s="4" t="s">
        <v>7</v>
      </c>
      <c r="I93" s="4" t="s">
        <v>7</v>
      </c>
      <c r="J93" s="4">
        <f t="shared" si="34"/>
        <v>2</v>
      </c>
      <c r="K93" s="4">
        <f>HOUR(F93)</f>
        <v>18</v>
      </c>
    </row>
    <row r="94" spans="1:11" ht="15.75" thickBot="1" x14ac:dyDescent="0.3">
      <c r="A94" s="3">
        <f>A93+1</f>
        <v>92</v>
      </c>
      <c r="B94" s="4" t="str">
        <f t="shared" si="30"/>
        <v>3</v>
      </c>
      <c r="C94" s="4">
        <f t="shared" ref="C94:C98" si="40">VLOOKUP(I94,league_id,2,FALSE)</f>
        <v>2</v>
      </c>
      <c r="D94" s="4" t="str">
        <f t="shared" si="39"/>
        <v>1,3</v>
      </c>
      <c r="E94" s="4"/>
      <c r="F94" s="5">
        <f>F93</f>
        <v>43913.75</v>
      </c>
      <c r="G94" s="4">
        <f t="shared" si="31"/>
        <v>120</v>
      </c>
      <c r="H94" s="4" t="s">
        <v>8</v>
      </c>
      <c r="I94" s="4" t="s">
        <v>8</v>
      </c>
      <c r="J94" s="4">
        <f t="shared" si="34"/>
        <v>2</v>
      </c>
      <c r="K94" s="4">
        <f>HOUR(F94)</f>
        <v>18</v>
      </c>
    </row>
    <row r="95" spans="1:11" ht="15.75" thickBot="1" x14ac:dyDescent="0.3">
      <c r="A95" s="3">
        <f t="shared" ref="A95:A98" si="41">A94+1</f>
        <v>93</v>
      </c>
      <c r="B95" s="4" t="str">
        <f t="shared" si="30"/>
        <v>2</v>
      </c>
      <c r="C95" s="4">
        <f t="shared" si="40"/>
        <v>4</v>
      </c>
      <c r="D95" s="4">
        <v>5</v>
      </c>
      <c r="E95" s="4"/>
      <c r="F95" s="5">
        <f>F93</f>
        <v>43913.75</v>
      </c>
      <c r="G95" s="4">
        <f t="shared" si="31"/>
        <v>105</v>
      </c>
      <c r="H95" s="4" t="s">
        <v>9</v>
      </c>
      <c r="I95" s="4" t="s">
        <v>12</v>
      </c>
      <c r="J95" s="4">
        <f t="shared" si="34"/>
        <v>2</v>
      </c>
      <c r="K95" s="4">
        <f>HOUR(F95)</f>
        <v>18</v>
      </c>
    </row>
    <row r="96" spans="1:11" ht="15.75" thickBot="1" x14ac:dyDescent="0.3">
      <c r="A96" s="3">
        <f t="shared" si="41"/>
        <v>94</v>
      </c>
      <c r="B96" s="4" t="str">
        <f t="shared" si="30"/>
        <v>1</v>
      </c>
      <c r="C96" s="4">
        <f t="shared" si="40"/>
        <v>5</v>
      </c>
      <c r="D96" s="4"/>
      <c r="E96" s="4"/>
      <c r="F96" s="5">
        <f>F93</f>
        <v>43913.75</v>
      </c>
      <c r="G96" s="4">
        <f t="shared" si="31"/>
        <v>90</v>
      </c>
      <c r="H96" s="4" t="s">
        <v>15</v>
      </c>
      <c r="I96" s="4" t="s">
        <v>10</v>
      </c>
      <c r="J96" s="4">
        <f t="shared" si="34"/>
        <v>2</v>
      </c>
      <c r="K96" s="4">
        <f>HOUR(F96)</f>
        <v>18</v>
      </c>
    </row>
    <row r="97" spans="1:11" ht="15.75" thickBot="1" x14ac:dyDescent="0.3">
      <c r="A97" s="3">
        <f t="shared" si="41"/>
        <v>95</v>
      </c>
      <c r="B97" s="4" t="str">
        <f t="shared" si="30"/>
        <v>5</v>
      </c>
      <c r="C97" s="4">
        <f t="shared" si="40"/>
        <v>5</v>
      </c>
      <c r="D97" s="4"/>
      <c r="E97" s="4"/>
      <c r="F97" s="5">
        <f>F93</f>
        <v>43913.75</v>
      </c>
      <c r="G97" s="4">
        <f t="shared" si="31"/>
        <v>90</v>
      </c>
      <c r="H97" s="4" t="s">
        <v>16</v>
      </c>
      <c r="I97" s="4" t="s">
        <v>10</v>
      </c>
      <c r="J97" s="4">
        <f t="shared" si="34"/>
        <v>2</v>
      </c>
      <c r="K97" s="4">
        <f>HOUR(F97)</f>
        <v>18</v>
      </c>
    </row>
    <row r="98" spans="1:11" ht="15.75" thickBot="1" x14ac:dyDescent="0.3">
      <c r="A98" s="3">
        <f t="shared" si="41"/>
        <v>96</v>
      </c>
      <c r="B98" s="4" t="str">
        <f t="shared" si="30"/>
        <v>6</v>
      </c>
      <c r="C98" s="4">
        <f t="shared" si="40"/>
        <v>3</v>
      </c>
      <c r="D98" s="4" t="s">
        <v>55</v>
      </c>
      <c r="E98" s="4"/>
      <c r="F98" s="5">
        <f>F93</f>
        <v>43913.75</v>
      </c>
      <c r="G98" s="4">
        <f t="shared" si="31"/>
        <v>105</v>
      </c>
      <c r="H98" s="4" t="s">
        <v>17</v>
      </c>
      <c r="I98" s="4" t="s">
        <v>11</v>
      </c>
      <c r="J98" s="4">
        <f t="shared" si="34"/>
        <v>2</v>
      </c>
      <c r="K98" s="4">
        <f>HOUR(F98)</f>
        <v>18</v>
      </c>
    </row>
    <row r="99" spans="1:11" ht="15.75" thickBot="1" x14ac:dyDescent="0.3">
      <c r="A99" s="3">
        <f>A98+1</f>
        <v>97</v>
      </c>
      <c r="B99" s="4" t="str">
        <f t="shared" si="30"/>
        <v>4</v>
      </c>
      <c r="C99" s="4">
        <f>VLOOKUP(I99,league_id,2,FALSE)</f>
        <v>1</v>
      </c>
      <c r="D99" s="4">
        <f t="shared" ref="D99:D100" si="42">VLOOKUP(H99,slot_compat,3,FALSE)</f>
        <v>2</v>
      </c>
      <c r="E99" s="4"/>
      <c r="F99" s="5">
        <v>43914.75</v>
      </c>
      <c r="G99" s="4">
        <f t="shared" si="31"/>
        <v>120</v>
      </c>
      <c r="H99" s="4" t="s">
        <v>7</v>
      </c>
      <c r="I99" s="4" t="s">
        <v>7</v>
      </c>
      <c r="J99" s="4">
        <f t="shared" si="34"/>
        <v>3</v>
      </c>
      <c r="K99" s="4">
        <f>HOUR(F99)</f>
        <v>18</v>
      </c>
    </row>
    <row r="100" spans="1:11" ht="15.75" thickBot="1" x14ac:dyDescent="0.3">
      <c r="A100" s="3">
        <f>A99+1</f>
        <v>98</v>
      </c>
      <c r="B100" s="4" t="str">
        <f t="shared" si="30"/>
        <v>3</v>
      </c>
      <c r="C100" s="4">
        <f t="shared" ref="C100:C104" si="43">VLOOKUP(I100,league_id,2,FALSE)</f>
        <v>2</v>
      </c>
      <c r="D100" s="4" t="str">
        <f t="shared" si="42"/>
        <v>1,3</v>
      </c>
      <c r="E100" s="4"/>
      <c r="F100" s="5">
        <f>F99</f>
        <v>43914.75</v>
      </c>
      <c r="G100" s="4">
        <f t="shared" si="31"/>
        <v>120</v>
      </c>
      <c r="H100" s="4" t="s">
        <v>8</v>
      </c>
      <c r="I100" s="4" t="s">
        <v>8</v>
      </c>
      <c r="J100" s="4">
        <f t="shared" si="34"/>
        <v>3</v>
      </c>
      <c r="K100" s="4">
        <f>HOUR(F100)</f>
        <v>18</v>
      </c>
    </row>
    <row r="101" spans="1:11" ht="15.75" thickBot="1" x14ac:dyDescent="0.3">
      <c r="A101" s="3">
        <f t="shared" ref="A101:A104" si="44">A100+1</f>
        <v>99</v>
      </c>
      <c r="B101" s="4" t="str">
        <f t="shared" si="30"/>
        <v>2</v>
      </c>
      <c r="C101" s="4">
        <f t="shared" si="43"/>
        <v>4</v>
      </c>
      <c r="D101" s="4">
        <v>5</v>
      </c>
      <c r="E101" s="4"/>
      <c r="F101" s="5">
        <f>F99</f>
        <v>43914.75</v>
      </c>
      <c r="G101" s="4">
        <f t="shared" si="31"/>
        <v>105</v>
      </c>
      <c r="H101" s="4" t="s">
        <v>9</v>
      </c>
      <c r="I101" s="4" t="s">
        <v>12</v>
      </c>
      <c r="J101" s="4">
        <f t="shared" si="34"/>
        <v>3</v>
      </c>
      <c r="K101" s="4">
        <f>HOUR(F101)</f>
        <v>18</v>
      </c>
    </row>
    <row r="102" spans="1:11" ht="15.75" thickBot="1" x14ac:dyDescent="0.3">
      <c r="A102" s="3">
        <f t="shared" si="44"/>
        <v>100</v>
      </c>
      <c r="B102" s="4" t="str">
        <f t="shared" si="30"/>
        <v>1</v>
      </c>
      <c r="C102" s="4">
        <f t="shared" si="43"/>
        <v>5</v>
      </c>
      <c r="D102" s="4"/>
      <c r="E102" s="4"/>
      <c r="F102" s="5">
        <f>F99</f>
        <v>43914.75</v>
      </c>
      <c r="G102" s="4">
        <f t="shared" si="31"/>
        <v>90</v>
      </c>
      <c r="H102" s="4" t="s">
        <v>15</v>
      </c>
      <c r="I102" s="4" t="s">
        <v>10</v>
      </c>
      <c r="J102" s="4">
        <f t="shared" si="34"/>
        <v>3</v>
      </c>
      <c r="K102" s="4">
        <f>HOUR(F102)</f>
        <v>18</v>
      </c>
    </row>
    <row r="103" spans="1:11" ht="15.75" thickBot="1" x14ac:dyDescent="0.3">
      <c r="A103" s="3">
        <f t="shared" si="44"/>
        <v>101</v>
      </c>
      <c r="B103" s="4" t="str">
        <f t="shared" si="30"/>
        <v>5</v>
      </c>
      <c r="C103" s="4">
        <f t="shared" si="43"/>
        <v>5</v>
      </c>
      <c r="D103" s="4"/>
      <c r="E103" s="4"/>
      <c r="F103" s="5">
        <f>F99</f>
        <v>43914.75</v>
      </c>
      <c r="G103" s="4">
        <f t="shared" si="31"/>
        <v>90</v>
      </c>
      <c r="H103" s="4" t="s">
        <v>16</v>
      </c>
      <c r="I103" s="4" t="s">
        <v>10</v>
      </c>
      <c r="J103" s="4">
        <f t="shared" si="34"/>
        <v>3</v>
      </c>
      <c r="K103" s="4">
        <f>HOUR(F103)</f>
        <v>18</v>
      </c>
    </row>
    <row r="104" spans="1:11" ht="15.75" thickBot="1" x14ac:dyDescent="0.3">
      <c r="A104" s="3">
        <f t="shared" si="44"/>
        <v>102</v>
      </c>
      <c r="B104" s="4" t="str">
        <f t="shared" si="30"/>
        <v>6</v>
      </c>
      <c r="C104" s="4">
        <f t="shared" si="43"/>
        <v>3</v>
      </c>
      <c r="D104" s="4" t="s">
        <v>55</v>
      </c>
      <c r="E104" s="4"/>
      <c r="F104" s="5">
        <f>F99</f>
        <v>43914.75</v>
      </c>
      <c r="G104" s="4">
        <f t="shared" si="31"/>
        <v>105</v>
      </c>
      <c r="H104" s="4" t="s">
        <v>17</v>
      </c>
      <c r="I104" s="4" t="s">
        <v>11</v>
      </c>
      <c r="J104" s="4">
        <f t="shared" si="34"/>
        <v>3</v>
      </c>
      <c r="K104" s="4">
        <f>HOUR(F104)</f>
        <v>18</v>
      </c>
    </row>
    <row r="105" spans="1:11" ht="15.75" thickBot="1" x14ac:dyDescent="0.3">
      <c r="A105" s="3">
        <f>A104+1</f>
        <v>103</v>
      </c>
      <c r="B105" s="4" t="str">
        <f t="shared" si="30"/>
        <v>4</v>
      </c>
      <c r="C105" s="4">
        <f>VLOOKUP(I105,league_id,2,FALSE)</f>
        <v>1</v>
      </c>
      <c r="D105" s="4">
        <f t="shared" ref="D105:D106" si="45">VLOOKUP(H105,slot_compat,3,FALSE)</f>
        <v>2</v>
      </c>
      <c r="E105" s="4"/>
      <c r="F105" s="5">
        <v>43915.75</v>
      </c>
      <c r="G105" s="4">
        <f t="shared" si="31"/>
        <v>120</v>
      </c>
      <c r="H105" s="4" t="s">
        <v>7</v>
      </c>
      <c r="I105" s="4" t="s">
        <v>7</v>
      </c>
      <c r="J105" s="4">
        <f t="shared" si="34"/>
        <v>4</v>
      </c>
      <c r="K105" s="4">
        <f>HOUR(F105)</f>
        <v>18</v>
      </c>
    </row>
    <row r="106" spans="1:11" ht="15.75" thickBot="1" x14ac:dyDescent="0.3">
      <c r="A106" s="3">
        <f>A105+1</f>
        <v>104</v>
      </c>
      <c r="B106" s="4" t="str">
        <f t="shared" si="30"/>
        <v>3</v>
      </c>
      <c r="C106" s="4">
        <f t="shared" ref="C106:C110" si="46">VLOOKUP(I106,league_id,2,FALSE)</f>
        <v>2</v>
      </c>
      <c r="D106" s="4" t="str">
        <f t="shared" si="45"/>
        <v>1,3</v>
      </c>
      <c r="E106" s="4"/>
      <c r="F106" s="5">
        <f>F105</f>
        <v>43915.75</v>
      </c>
      <c r="G106" s="4">
        <f t="shared" si="31"/>
        <v>120</v>
      </c>
      <c r="H106" s="4" t="s">
        <v>8</v>
      </c>
      <c r="I106" s="4" t="s">
        <v>8</v>
      </c>
      <c r="J106" s="4">
        <f t="shared" si="34"/>
        <v>4</v>
      </c>
      <c r="K106" s="4">
        <f>HOUR(F106)</f>
        <v>18</v>
      </c>
    </row>
    <row r="107" spans="1:11" ht="15.75" thickBot="1" x14ac:dyDescent="0.3">
      <c r="A107" s="3">
        <f t="shared" ref="A107:A110" si="47">A106+1</f>
        <v>105</v>
      </c>
      <c r="B107" s="4" t="str">
        <f t="shared" si="30"/>
        <v>2</v>
      </c>
      <c r="C107" s="4">
        <f t="shared" si="46"/>
        <v>4</v>
      </c>
      <c r="D107" s="4">
        <v>5</v>
      </c>
      <c r="E107" s="4"/>
      <c r="F107" s="5">
        <f>F105</f>
        <v>43915.75</v>
      </c>
      <c r="G107" s="4">
        <f t="shared" si="31"/>
        <v>105</v>
      </c>
      <c r="H107" s="4" t="s">
        <v>9</v>
      </c>
      <c r="I107" s="4" t="s">
        <v>12</v>
      </c>
      <c r="J107" s="4">
        <f t="shared" si="34"/>
        <v>4</v>
      </c>
      <c r="K107" s="4">
        <f>HOUR(F107)</f>
        <v>18</v>
      </c>
    </row>
    <row r="108" spans="1:11" ht="15.75" thickBot="1" x14ac:dyDescent="0.3">
      <c r="A108" s="3">
        <f t="shared" si="47"/>
        <v>106</v>
      </c>
      <c r="B108" s="4" t="str">
        <f t="shared" si="30"/>
        <v>1</v>
      </c>
      <c r="C108" s="4">
        <f t="shared" si="46"/>
        <v>5</v>
      </c>
      <c r="D108" s="4"/>
      <c r="E108" s="4"/>
      <c r="F108" s="5">
        <f>F105</f>
        <v>43915.75</v>
      </c>
      <c r="G108" s="4">
        <f t="shared" si="31"/>
        <v>90</v>
      </c>
      <c r="H108" s="4" t="s">
        <v>15</v>
      </c>
      <c r="I108" s="4" t="s">
        <v>10</v>
      </c>
      <c r="J108" s="4">
        <f t="shared" si="34"/>
        <v>4</v>
      </c>
      <c r="K108" s="4">
        <f>HOUR(F108)</f>
        <v>18</v>
      </c>
    </row>
    <row r="109" spans="1:11" ht="15.75" thickBot="1" x14ac:dyDescent="0.3">
      <c r="A109" s="3">
        <f t="shared" si="47"/>
        <v>107</v>
      </c>
      <c r="B109" s="4" t="str">
        <f t="shared" si="30"/>
        <v>5</v>
      </c>
      <c r="C109" s="4">
        <f t="shared" si="46"/>
        <v>5</v>
      </c>
      <c r="D109" s="4"/>
      <c r="E109" s="4"/>
      <c r="F109" s="5">
        <f>F105</f>
        <v>43915.75</v>
      </c>
      <c r="G109" s="4">
        <f t="shared" si="31"/>
        <v>90</v>
      </c>
      <c r="H109" s="4" t="s">
        <v>16</v>
      </c>
      <c r="I109" s="4" t="s">
        <v>10</v>
      </c>
      <c r="J109" s="4">
        <f t="shared" si="34"/>
        <v>4</v>
      </c>
      <c r="K109" s="4">
        <f>HOUR(F109)</f>
        <v>18</v>
      </c>
    </row>
    <row r="110" spans="1:11" ht="15.75" thickBot="1" x14ac:dyDescent="0.3">
      <c r="A110" s="3">
        <f t="shared" si="47"/>
        <v>108</v>
      </c>
      <c r="B110" s="4" t="str">
        <f t="shared" si="30"/>
        <v>6</v>
      </c>
      <c r="C110" s="4">
        <f t="shared" si="46"/>
        <v>3</v>
      </c>
      <c r="D110" s="4" t="s">
        <v>55</v>
      </c>
      <c r="E110" s="4"/>
      <c r="F110" s="5">
        <f>F105</f>
        <v>43915.75</v>
      </c>
      <c r="G110" s="4">
        <f t="shared" si="31"/>
        <v>105</v>
      </c>
      <c r="H110" s="4" t="s">
        <v>17</v>
      </c>
      <c r="I110" s="4" t="s">
        <v>11</v>
      </c>
      <c r="J110" s="4">
        <f t="shared" si="34"/>
        <v>4</v>
      </c>
      <c r="K110" s="4">
        <f>HOUR(F110)</f>
        <v>18</v>
      </c>
    </row>
    <row r="111" spans="1:11" ht="15.75" thickBot="1" x14ac:dyDescent="0.3">
      <c r="A111" s="3">
        <f>A110+1</f>
        <v>109</v>
      </c>
      <c r="B111" s="4" t="str">
        <f t="shared" si="30"/>
        <v>4</v>
      </c>
      <c r="C111" s="4">
        <f>VLOOKUP(I111,league_id,2,FALSE)</f>
        <v>1</v>
      </c>
      <c r="D111" s="4">
        <f t="shared" ref="D111:D112" si="48">VLOOKUP(H111,slot_compat,3,FALSE)</f>
        <v>2</v>
      </c>
      <c r="E111" s="4"/>
      <c r="F111" s="5">
        <v>43916.75</v>
      </c>
      <c r="G111" s="4">
        <f t="shared" si="31"/>
        <v>120</v>
      </c>
      <c r="H111" s="4" t="s">
        <v>7</v>
      </c>
      <c r="I111" s="4" t="s">
        <v>7</v>
      </c>
      <c r="J111" s="4">
        <f t="shared" si="34"/>
        <v>5</v>
      </c>
      <c r="K111" s="4">
        <f>HOUR(F111)</f>
        <v>18</v>
      </c>
    </row>
    <row r="112" spans="1:11" ht="15.75" thickBot="1" x14ac:dyDescent="0.3">
      <c r="A112" s="3">
        <f>A111+1</f>
        <v>110</v>
      </c>
      <c r="B112" s="4" t="str">
        <f t="shared" si="30"/>
        <v>3</v>
      </c>
      <c r="C112" s="4">
        <f t="shared" ref="C112:C175" si="49">VLOOKUP(I112,league_id,2,FALSE)</f>
        <v>2</v>
      </c>
      <c r="D112" s="4" t="str">
        <f t="shared" si="48"/>
        <v>1,3</v>
      </c>
      <c r="E112" s="4"/>
      <c r="F112" s="5">
        <f>F111</f>
        <v>43916.75</v>
      </c>
      <c r="G112" s="4">
        <f t="shared" si="31"/>
        <v>120</v>
      </c>
      <c r="H112" s="4" t="s">
        <v>8</v>
      </c>
      <c r="I112" s="4" t="s">
        <v>8</v>
      </c>
      <c r="J112" s="4">
        <f t="shared" si="34"/>
        <v>5</v>
      </c>
      <c r="K112" s="4">
        <f>HOUR(F112)</f>
        <v>18</v>
      </c>
    </row>
    <row r="113" spans="1:11" ht="15.75" thickBot="1" x14ac:dyDescent="0.3">
      <c r="A113" s="3">
        <f t="shared" ref="A113:A116" si="50">A112+1</f>
        <v>111</v>
      </c>
      <c r="B113" s="4" t="str">
        <f t="shared" si="30"/>
        <v>2</v>
      </c>
      <c r="C113" s="4">
        <f t="shared" si="49"/>
        <v>4</v>
      </c>
      <c r="D113" s="4">
        <v>5</v>
      </c>
      <c r="E113" s="4"/>
      <c r="F113" s="5">
        <f>F111</f>
        <v>43916.75</v>
      </c>
      <c r="G113" s="4">
        <f t="shared" si="31"/>
        <v>105</v>
      </c>
      <c r="H113" s="4" t="s">
        <v>9</v>
      </c>
      <c r="I113" s="4" t="s">
        <v>12</v>
      </c>
      <c r="J113" s="4">
        <f t="shared" si="34"/>
        <v>5</v>
      </c>
      <c r="K113" s="4">
        <f>HOUR(F113)</f>
        <v>18</v>
      </c>
    </row>
    <row r="114" spans="1:11" ht="15.75" thickBot="1" x14ac:dyDescent="0.3">
      <c r="A114" s="3">
        <f t="shared" si="50"/>
        <v>112</v>
      </c>
      <c r="B114" s="4" t="str">
        <f t="shared" si="30"/>
        <v>1</v>
      </c>
      <c r="C114" s="4">
        <f t="shared" si="49"/>
        <v>5</v>
      </c>
      <c r="D114" s="4"/>
      <c r="E114" s="4"/>
      <c r="F114" s="5">
        <f>F111</f>
        <v>43916.75</v>
      </c>
      <c r="G114" s="4">
        <f t="shared" si="31"/>
        <v>90</v>
      </c>
      <c r="H114" s="4" t="s">
        <v>15</v>
      </c>
      <c r="I114" s="4" t="s">
        <v>10</v>
      </c>
      <c r="J114" s="4">
        <f t="shared" si="34"/>
        <v>5</v>
      </c>
      <c r="K114" s="4">
        <f>HOUR(F114)</f>
        <v>18</v>
      </c>
    </row>
    <row r="115" spans="1:11" ht="15.75" thickBot="1" x14ac:dyDescent="0.3">
      <c r="A115" s="3">
        <f t="shared" si="50"/>
        <v>113</v>
      </c>
      <c r="B115" s="4" t="str">
        <f t="shared" si="30"/>
        <v>5</v>
      </c>
      <c r="C115" s="4">
        <f t="shared" si="49"/>
        <v>5</v>
      </c>
      <c r="D115" s="4"/>
      <c r="E115" s="4"/>
      <c r="F115" s="5">
        <f>F111</f>
        <v>43916.75</v>
      </c>
      <c r="G115" s="4">
        <f t="shared" si="31"/>
        <v>90</v>
      </c>
      <c r="H115" s="4" t="s">
        <v>16</v>
      </c>
      <c r="I115" s="4" t="s">
        <v>10</v>
      </c>
      <c r="J115" s="4">
        <f t="shared" si="34"/>
        <v>5</v>
      </c>
      <c r="K115" s="4">
        <f>HOUR(F115)</f>
        <v>18</v>
      </c>
    </row>
    <row r="116" spans="1:11" ht="15.75" thickBot="1" x14ac:dyDescent="0.3">
      <c r="A116" s="3">
        <f t="shared" si="50"/>
        <v>114</v>
      </c>
      <c r="B116" s="4" t="str">
        <f t="shared" si="30"/>
        <v>6</v>
      </c>
      <c r="C116" s="4">
        <f t="shared" si="49"/>
        <v>3</v>
      </c>
      <c r="D116" s="4" t="s">
        <v>55</v>
      </c>
      <c r="E116" s="4"/>
      <c r="F116" s="5">
        <f>F111</f>
        <v>43916.75</v>
      </c>
      <c r="G116" s="4">
        <f t="shared" si="31"/>
        <v>105</v>
      </c>
      <c r="H116" s="4" t="s">
        <v>17</v>
      </c>
      <c r="I116" s="4" t="s">
        <v>11</v>
      </c>
      <c r="J116" s="4">
        <f t="shared" si="34"/>
        <v>5</v>
      </c>
      <c r="K116" s="4">
        <f>HOUR(F116)</f>
        <v>18</v>
      </c>
    </row>
    <row r="117" spans="1:11" ht="15.75" thickBot="1" x14ac:dyDescent="0.3">
      <c r="A117" s="3">
        <f>A116+1</f>
        <v>115</v>
      </c>
      <c r="B117" s="4" t="str">
        <f t="shared" si="30"/>
        <v>4</v>
      </c>
      <c r="C117" s="4">
        <f t="shared" si="49"/>
        <v>1</v>
      </c>
      <c r="D117" s="4">
        <f t="shared" ref="D117:D126" si="51">VLOOKUP(H117,slot_compat,3,FALSE)</f>
        <v>2</v>
      </c>
      <c r="E117" s="4"/>
      <c r="F117" s="5">
        <v>43917.75</v>
      </c>
      <c r="G117" s="4">
        <f t="shared" si="31"/>
        <v>120</v>
      </c>
      <c r="H117" s="4" t="s">
        <v>7</v>
      </c>
      <c r="I117" s="4" t="s">
        <v>7</v>
      </c>
      <c r="J117" s="4">
        <f t="shared" si="34"/>
        <v>6</v>
      </c>
      <c r="K117" s="4">
        <f>HOUR(F117)</f>
        <v>18</v>
      </c>
    </row>
    <row r="118" spans="1:11" ht="15.75" thickBot="1" x14ac:dyDescent="0.3">
      <c r="A118" s="7">
        <f>A117+1</f>
        <v>116</v>
      </c>
      <c r="B118" s="8" t="str">
        <f t="shared" si="30"/>
        <v>4</v>
      </c>
      <c r="C118" s="8">
        <f t="shared" si="49"/>
        <v>1</v>
      </c>
      <c r="D118" s="8">
        <f t="shared" si="51"/>
        <v>2</v>
      </c>
      <c r="E118" s="8"/>
      <c r="F118" s="9">
        <f>F117+G117/60/24</f>
        <v>43917.833333333336</v>
      </c>
      <c r="G118" s="8">
        <f t="shared" si="31"/>
        <v>120</v>
      </c>
      <c r="H118" s="8" t="s">
        <v>7</v>
      </c>
      <c r="I118" s="8" t="s">
        <v>7</v>
      </c>
      <c r="J118" s="8">
        <f t="shared" si="34"/>
        <v>6</v>
      </c>
      <c r="K118" s="4">
        <f>HOUR(F118)</f>
        <v>20</v>
      </c>
    </row>
    <row r="119" spans="1:11" ht="15.75" thickBot="1" x14ac:dyDescent="0.3">
      <c r="A119" s="3">
        <f>A118+1</f>
        <v>117</v>
      </c>
      <c r="B119" s="4" t="str">
        <f t="shared" si="30"/>
        <v>3</v>
      </c>
      <c r="C119" s="4">
        <f t="shared" si="49"/>
        <v>2</v>
      </c>
      <c r="D119" s="4" t="str">
        <f t="shared" si="51"/>
        <v>1,3</v>
      </c>
      <c r="E119" s="4"/>
      <c r="F119" s="5">
        <f>F117</f>
        <v>43917.75</v>
      </c>
      <c r="G119" s="4">
        <f t="shared" si="31"/>
        <v>120</v>
      </c>
      <c r="H119" s="4" t="s">
        <v>8</v>
      </c>
      <c r="I119" s="4" t="s">
        <v>8</v>
      </c>
      <c r="J119" s="4">
        <f t="shared" si="34"/>
        <v>6</v>
      </c>
      <c r="K119" s="4">
        <f>HOUR(F119)</f>
        <v>18</v>
      </c>
    </row>
    <row r="120" spans="1:11" ht="15.75" thickBot="1" x14ac:dyDescent="0.3">
      <c r="A120" s="7">
        <f t="shared" ref="A120:A128" si="52">A119+1</f>
        <v>118</v>
      </c>
      <c r="B120" s="8" t="str">
        <f t="shared" si="30"/>
        <v>3</v>
      </c>
      <c r="C120" s="8">
        <f t="shared" si="49"/>
        <v>2</v>
      </c>
      <c r="D120" s="8" t="str">
        <f t="shared" si="51"/>
        <v>1,3</v>
      </c>
      <c r="E120" s="8"/>
      <c r="F120" s="9">
        <f>F119+G119/60/24</f>
        <v>43917.833333333336</v>
      </c>
      <c r="G120" s="8">
        <f t="shared" si="31"/>
        <v>120</v>
      </c>
      <c r="H120" s="8" t="s">
        <v>8</v>
      </c>
      <c r="I120" s="8" t="s">
        <v>8</v>
      </c>
      <c r="J120" s="8">
        <f t="shared" si="34"/>
        <v>6</v>
      </c>
      <c r="K120" s="4">
        <f>HOUR(F120)</f>
        <v>20</v>
      </c>
    </row>
    <row r="121" spans="1:11" ht="15.75" thickBot="1" x14ac:dyDescent="0.3">
      <c r="A121" s="3">
        <f>A120+1</f>
        <v>119</v>
      </c>
      <c r="B121" s="4" t="str">
        <f t="shared" si="30"/>
        <v>2</v>
      </c>
      <c r="C121" s="4">
        <f t="shared" si="49"/>
        <v>4</v>
      </c>
      <c r="D121" s="4">
        <v>5</v>
      </c>
      <c r="E121" s="4"/>
      <c r="F121" s="5">
        <f>F117</f>
        <v>43917.75</v>
      </c>
      <c r="G121" s="4">
        <f t="shared" si="31"/>
        <v>105</v>
      </c>
      <c r="H121" s="4" t="s">
        <v>9</v>
      </c>
      <c r="I121" s="4" t="s">
        <v>12</v>
      </c>
      <c r="J121" s="4">
        <f t="shared" si="34"/>
        <v>6</v>
      </c>
      <c r="K121" s="4">
        <f>HOUR(F121)</f>
        <v>18</v>
      </c>
    </row>
    <row r="122" spans="1:11" ht="15.75" thickBot="1" x14ac:dyDescent="0.3">
      <c r="A122" s="7">
        <f t="shared" si="52"/>
        <v>120</v>
      </c>
      <c r="B122" s="8" t="str">
        <f t="shared" si="30"/>
        <v>2</v>
      </c>
      <c r="C122" s="8">
        <f t="shared" si="49"/>
        <v>4</v>
      </c>
      <c r="D122" s="8">
        <v>5</v>
      </c>
      <c r="E122" s="8"/>
      <c r="F122" s="9">
        <f>F121+G121/60/24</f>
        <v>43917.822916666664</v>
      </c>
      <c r="G122" s="8">
        <f t="shared" si="31"/>
        <v>105</v>
      </c>
      <c r="H122" s="8" t="s">
        <v>9</v>
      </c>
      <c r="I122" s="8" t="s">
        <v>12</v>
      </c>
      <c r="J122" s="8">
        <f t="shared" si="34"/>
        <v>6</v>
      </c>
      <c r="K122" s="4">
        <f>HOUR(F122)</f>
        <v>19</v>
      </c>
    </row>
    <row r="123" spans="1:11" ht="15.75" thickBot="1" x14ac:dyDescent="0.3">
      <c r="A123" s="3">
        <f>A122+1</f>
        <v>121</v>
      </c>
      <c r="B123" s="4" t="str">
        <f t="shared" si="30"/>
        <v>1</v>
      </c>
      <c r="C123" s="4">
        <f t="shared" si="49"/>
        <v>5</v>
      </c>
      <c r="D123" s="4"/>
      <c r="E123" s="4"/>
      <c r="F123" s="5">
        <f>F117</f>
        <v>43917.75</v>
      </c>
      <c r="G123" s="4">
        <f t="shared" si="31"/>
        <v>90</v>
      </c>
      <c r="H123" s="4" t="s">
        <v>15</v>
      </c>
      <c r="I123" s="4" t="s">
        <v>10</v>
      </c>
      <c r="J123" s="4">
        <f t="shared" si="34"/>
        <v>6</v>
      </c>
      <c r="K123" s="4">
        <f>HOUR(F123)</f>
        <v>18</v>
      </c>
    </row>
    <row r="124" spans="1:11" ht="15.75" thickBot="1" x14ac:dyDescent="0.3">
      <c r="A124" s="7">
        <f t="shared" si="52"/>
        <v>122</v>
      </c>
      <c r="B124" s="8" t="str">
        <f t="shared" si="30"/>
        <v>1</v>
      </c>
      <c r="C124" s="8">
        <f t="shared" si="49"/>
        <v>5</v>
      </c>
      <c r="D124" s="8"/>
      <c r="E124" s="8"/>
      <c r="F124" s="9">
        <f>F123+G123/60/24</f>
        <v>43917.8125</v>
      </c>
      <c r="G124" s="8">
        <f t="shared" si="31"/>
        <v>90</v>
      </c>
      <c r="H124" s="8" t="s">
        <v>15</v>
      </c>
      <c r="I124" s="8" t="s">
        <v>10</v>
      </c>
      <c r="J124" s="8">
        <f t="shared" si="34"/>
        <v>6</v>
      </c>
      <c r="K124" s="4">
        <f>HOUR(F124)</f>
        <v>19</v>
      </c>
    </row>
    <row r="125" spans="1:11" ht="15.75" thickBot="1" x14ac:dyDescent="0.3">
      <c r="A125" s="3">
        <f>A124+1</f>
        <v>123</v>
      </c>
      <c r="B125" s="4" t="str">
        <f t="shared" si="30"/>
        <v>5</v>
      </c>
      <c r="C125" s="4">
        <f t="shared" si="49"/>
        <v>5</v>
      </c>
      <c r="D125" s="4"/>
      <c r="E125" s="4"/>
      <c r="F125" s="5">
        <f>F117</f>
        <v>43917.75</v>
      </c>
      <c r="G125" s="4">
        <f t="shared" si="31"/>
        <v>90</v>
      </c>
      <c r="H125" s="4" t="s">
        <v>16</v>
      </c>
      <c r="I125" s="4" t="s">
        <v>10</v>
      </c>
      <c r="J125" s="4">
        <f t="shared" si="34"/>
        <v>6</v>
      </c>
      <c r="K125" s="4">
        <f>HOUR(F125)</f>
        <v>18</v>
      </c>
    </row>
    <row r="126" spans="1:11" ht="15.75" thickBot="1" x14ac:dyDescent="0.3">
      <c r="A126" s="7">
        <f t="shared" si="52"/>
        <v>124</v>
      </c>
      <c r="B126" s="8" t="str">
        <f t="shared" si="30"/>
        <v>5</v>
      </c>
      <c r="C126" s="8">
        <f t="shared" si="49"/>
        <v>4</v>
      </c>
      <c r="D126" s="8">
        <f t="shared" si="51"/>
        <v>5</v>
      </c>
      <c r="E126" s="8"/>
      <c r="F126" s="9">
        <f>F125+G125/60/24</f>
        <v>43917.8125</v>
      </c>
      <c r="G126" s="8">
        <f t="shared" si="31"/>
        <v>105</v>
      </c>
      <c r="H126" s="8" t="s">
        <v>16</v>
      </c>
      <c r="I126" s="8" t="s">
        <v>12</v>
      </c>
      <c r="J126" s="8">
        <f t="shared" si="34"/>
        <v>6</v>
      </c>
      <c r="K126" s="4">
        <f>HOUR(F126)</f>
        <v>19</v>
      </c>
    </row>
    <row r="127" spans="1:11" ht="15.75" thickBot="1" x14ac:dyDescent="0.3">
      <c r="A127" s="3">
        <f>A126+1</f>
        <v>125</v>
      </c>
      <c r="B127" s="4" t="str">
        <f t="shared" si="30"/>
        <v>6</v>
      </c>
      <c r="C127" s="4">
        <f t="shared" si="49"/>
        <v>3</v>
      </c>
      <c r="D127" s="4" t="s">
        <v>55</v>
      </c>
      <c r="E127" s="4"/>
      <c r="F127" s="5">
        <f>F117</f>
        <v>43917.75</v>
      </c>
      <c r="G127" s="4">
        <f t="shared" si="31"/>
        <v>105</v>
      </c>
      <c r="H127" s="4" t="s">
        <v>17</v>
      </c>
      <c r="I127" s="4" t="s">
        <v>11</v>
      </c>
      <c r="J127" s="4">
        <f t="shared" si="34"/>
        <v>6</v>
      </c>
      <c r="K127" s="4">
        <f>HOUR(F127)</f>
        <v>18</v>
      </c>
    </row>
    <row r="128" spans="1:11" ht="15.75" thickBot="1" x14ac:dyDescent="0.3">
      <c r="A128" s="10">
        <f t="shared" si="52"/>
        <v>126</v>
      </c>
      <c r="B128" s="11" t="str">
        <f t="shared" si="30"/>
        <v>6</v>
      </c>
      <c r="C128" s="11">
        <f t="shared" si="49"/>
        <v>3</v>
      </c>
      <c r="D128" s="11" t="s">
        <v>55</v>
      </c>
      <c r="E128" s="11"/>
      <c r="F128" s="12">
        <f>F127+G127/60/24</f>
        <v>43917.822916666664</v>
      </c>
      <c r="G128" s="11">
        <f t="shared" si="31"/>
        <v>105</v>
      </c>
      <c r="H128" s="11" t="s">
        <v>17</v>
      </c>
      <c r="I128" s="11" t="s">
        <v>11</v>
      </c>
      <c r="J128" s="11">
        <f t="shared" si="34"/>
        <v>6</v>
      </c>
      <c r="K128" s="4">
        <f>HOUR(F128)</f>
        <v>19</v>
      </c>
    </row>
    <row r="129" spans="1:11" ht="15.75" thickBot="1" x14ac:dyDescent="0.3">
      <c r="A129" s="3">
        <f>A128+1</f>
        <v>127</v>
      </c>
      <c r="B129" s="4" t="str">
        <f t="shared" si="30"/>
        <v>7</v>
      </c>
      <c r="C129" s="4">
        <f t="shared" si="49"/>
        <v>5</v>
      </c>
      <c r="D129" s="4">
        <v>6</v>
      </c>
      <c r="E129" s="4"/>
      <c r="F129" s="5">
        <f>F117</f>
        <v>43917.75</v>
      </c>
      <c r="G129" s="4">
        <f t="shared" si="31"/>
        <v>90</v>
      </c>
      <c r="H129" s="4" t="s">
        <v>18</v>
      </c>
      <c r="I129" s="4" t="s">
        <v>10</v>
      </c>
      <c r="J129" s="4">
        <f t="shared" si="34"/>
        <v>6</v>
      </c>
      <c r="K129" s="4">
        <f>HOUR(F129)</f>
        <v>18</v>
      </c>
    </row>
    <row r="130" spans="1:11" ht="15.75" thickBot="1" x14ac:dyDescent="0.3">
      <c r="A130" s="7">
        <f t="shared" ref="A130" si="53">A129+1</f>
        <v>128</v>
      </c>
      <c r="B130" s="8" t="str">
        <f t="shared" ref="B130:B193" si="54">VLOOKUP(H130,field_id,2,FALSE)</f>
        <v>7</v>
      </c>
      <c r="C130" s="8">
        <f t="shared" si="49"/>
        <v>2</v>
      </c>
      <c r="D130" s="8" t="s">
        <v>55</v>
      </c>
      <c r="E130" s="8"/>
      <c r="F130" s="9">
        <f>F129+G129/60/24</f>
        <v>43917.8125</v>
      </c>
      <c r="G130" s="8">
        <f t="shared" ref="G130:G193" si="55">VLOOKUP(I130,GameDuration,2,FALSE)</f>
        <v>120</v>
      </c>
      <c r="H130" s="8" t="s">
        <v>18</v>
      </c>
      <c r="I130" s="8" t="s">
        <v>8</v>
      </c>
      <c r="J130" s="8">
        <f t="shared" si="34"/>
        <v>6</v>
      </c>
      <c r="K130" s="4">
        <f>HOUR(F130)</f>
        <v>19</v>
      </c>
    </row>
    <row r="131" spans="1:11" ht="15.75" thickBot="1" x14ac:dyDescent="0.3">
      <c r="A131" s="3">
        <f>A130+1</f>
        <v>129</v>
      </c>
      <c r="B131" s="4" t="str">
        <f t="shared" si="54"/>
        <v>8</v>
      </c>
      <c r="C131" s="4">
        <f t="shared" si="49"/>
        <v>5</v>
      </c>
      <c r="D131" s="4"/>
      <c r="E131" s="4"/>
      <c r="F131" s="5">
        <f>F117</f>
        <v>43917.75</v>
      </c>
      <c r="G131" s="4">
        <f t="shared" si="55"/>
        <v>90</v>
      </c>
      <c r="H131" s="4" t="s">
        <v>19</v>
      </c>
      <c r="I131" s="4" t="s">
        <v>10</v>
      </c>
      <c r="J131" s="4">
        <f t="shared" si="34"/>
        <v>6</v>
      </c>
      <c r="K131" s="4">
        <f>HOUR(F131)</f>
        <v>18</v>
      </c>
    </row>
    <row r="132" spans="1:11" ht="15.75" thickBot="1" x14ac:dyDescent="0.3">
      <c r="A132" s="10">
        <f t="shared" ref="A132" si="56">A131+1</f>
        <v>130</v>
      </c>
      <c r="B132" s="11" t="str">
        <f t="shared" si="54"/>
        <v>8</v>
      </c>
      <c r="C132" s="11">
        <f t="shared" si="49"/>
        <v>2</v>
      </c>
      <c r="D132" s="11" t="s">
        <v>56</v>
      </c>
      <c r="E132" s="11"/>
      <c r="F132" s="12">
        <f>F131+G131/60/24</f>
        <v>43917.8125</v>
      </c>
      <c r="G132" s="11">
        <f t="shared" si="55"/>
        <v>120</v>
      </c>
      <c r="H132" s="11" t="s">
        <v>19</v>
      </c>
      <c r="I132" s="11" t="s">
        <v>8</v>
      </c>
      <c r="J132" s="11">
        <f t="shared" si="34"/>
        <v>6</v>
      </c>
      <c r="K132" s="4">
        <f>HOUR(F132)</f>
        <v>19</v>
      </c>
    </row>
    <row r="133" spans="1:11" ht="15.75" thickBot="1" x14ac:dyDescent="0.3">
      <c r="A133" s="3">
        <f>A132+1</f>
        <v>131</v>
      </c>
      <c r="B133" s="4" t="str">
        <f t="shared" si="54"/>
        <v>4</v>
      </c>
      <c r="C133" s="4">
        <f t="shared" si="49"/>
        <v>1</v>
      </c>
      <c r="D133" s="4">
        <f t="shared" ref="D133:D150" si="57">VLOOKUP(H133,slot_compat,3,FALSE)</f>
        <v>2</v>
      </c>
      <c r="E133" s="4"/>
      <c r="F133" s="5">
        <v>43918.375</v>
      </c>
      <c r="G133" s="4">
        <f t="shared" si="55"/>
        <v>120</v>
      </c>
      <c r="H133" s="4" t="s">
        <v>7</v>
      </c>
      <c r="I133" s="4" t="s">
        <v>7</v>
      </c>
      <c r="J133" s="4">
        <f t="shared" si="34"/>
        <v>7</v>
      </c>
      <c r="K133" s="4">
        <f>HOUR(F133)</f>
        <v>9</v>
      </c>
    </row>
    <row r="134" spans="1:11" ht="15.75" thickBot="1" x14ac:dyDescent="0.3">
      <c r="A134" s="7">
        <f>A133+1</f>
        <v>132</v>
      </c>
      <c r="B134" s="8" t="str">
        <f t="shared" si="54"/>
        <v>4</v>
      </c>
      <c r="C134" s="8">
        <f t="shared" si="49"/>
        <v>1</v>
      </c>
      <c r="D134" s="8">
        <f t="shared" si="57"/>
        <v>2</v>
      </c>
      <c r="E134" s="8"/>
      <c r="F134" s="9">
        <f>F133+G133/60/24</f>
        <v>43918.458333333336</v>
      </c>
      <c r="G134" s="8">
        <f t="shared" si="55"/>
        <v>120</v>
      </c>
      <c r="H134" s="8" t="s">
        <v>7</v>
      </c>
      <c r="I134" s="8" t="s">
        <v>7</v>
      </c>
      <c r="J134" s="8">
        <f t="shared" si="34"/>
        <v>7</v>
      </c>
      <c r="K134" s="4">
        <f>HOUR(F134)</f>
        <v>11</v>
      </c>
    </row>
    <row r="135" spans="1:11" ht="15.75" thickBot="1" x14ac:dyDescent="0.3">
      <c r="A135" s="7">
        <f t="shared" ref="A135:A183" si="58">A134+1</f>
        <v>133</v>
      </c>
      <c r="B135" s="8" t="str">
        <f t="shared" si="54"/>
        <v>4</v>
      </c>
      <c r="C135" s="8">
        <f t="shared" si="49"/>
        <v>1</v>
      </c>
      <c r="D135" s="8">
        <f t="shared" si="57"/>
        <v>2</v>
      </c>
      <c r="E135" s="8"/>
      <c r="F135" s="9">
        <f>F134+G134/60/24</f>
        <v>43918.541666666672</v>
      </c>
      <c r="G135" s="8">
        <f t="shared" si="55"/>
        <v>120</v>
      </c>
      <c r="H135" s="8" t="s">
        <v>7</v>
      </c>
      <c r="I135" s="8" t="s">
        <v>7</v>
      </c>
      <c r="J135" s="8">
        <f t="shared" si="34"/>
        <v>7</v>
      </c>
      <c r="K135" s="4">
        <f>HOUR(F135)</f>
        <v>13</v>
      </c>
    </row>
    <row r="136" spans="1:11" ht="15.75" thickBot="1" x14ac:dyDescent="0.3">
      <c r="A136" s="7">
        <f t="shared" si="58"/>
        <v>134</v>
      </c>
      <c r="B136" s="8" t="str">
        <f t="shared" si="54"/>
        <v>4</v>
      </c>
      <c r="C136" s="8">
        <f t="shared" si="49"/>
        <v>1</v>
      </c>
      <c r="D136" s="8">
        <f t="shared" si="57"/>
        <v>2</v>
      </c>
      <c r="E136" s="8"/>
      <c r="F136" s="9">
        <f>F135+G135/60/24</f>
        <v>43918.625000000007</v>
      </c>
      <c r="G136" s="8">
        <f t="shared" si="55"/>
        <v>120</v>
      </c>
      <c r="H136" s="8" t="s">
        <v>7</v>
      </c>
      <c r="I136" s="8" t="s">
        <v>7</v>
      </c>
      <c r="J136" s="8">
        <f t="shared" ref="J136:J151" si="59">WEEKDAY(F136)</f>
        <v>7</v>
      </c>
      <c r="K136" s="4">
        <f>HOUR(F136)</f>
        <v>15</v>
      </c>
    </row>
    <row r="137" spans="1:11" ht="15.75" thickBot="1" x14ac:dyDescent="0.3">
      <c r="A137" s="7">
        <f>A135+1</f>
        <v>134</v>
      </c>
      <c r="B137" s="8" t="str">
        <f t="shared" si="54"/>
        <v>4</v>
      </c>
      <c r="C137" s="8">
        <f t="shared" si="49"/>
        <v>1</v>
      </c>
      <c r="D137" s="8">
        <f t="shared" si="57"/>
        <v>2</v>
      </c>
      <c r="E137" s="8"/>
      <c r="F137" s="9">
        <f>F136+G136/60/24</f>
        <v>43918.708333333343</v>
      </c>
      <c r="G137" s="8">
        <f t="shared" si="55"/>
        <v>120</v>
      </c>
      <c r="H137" s="8" t="s">
        <v>7</v>
      </c>
      <c r="I137" s="8" t="s">
        <v>7</v>
      </c>
      <c r="J137" s="8">
        <f t="shared" si="59"/>
        <v>7</v>
      </c>
      <c r="K137" s="4">
        <f>HOUR(F137)</f>
        <v>17</v>
      </c>
    </row>
    <row r="138" spans="1:11" ht="15.75" thickBot="1" x14ac:dyDescent="0.3">
      <c r="A138" s="10">
        <f>A136+1</f>
        <v>135</v>
      </c>
      <c r="B138" s="11" t="str">
        <f t="shared" si="54"/>
        <v>4</v>
      </c>
      <c r="C138" s="11">
        <f t="shared" si="49"/>
        <v>1</v>
      </c>
      <c r="D138" s="11">
        <f t="shared" si="57"/>
        <v>2</v>
      </c>
      <c r="E138" s="11"/>
      <c r="F138" s="9">
        <f>F137+G137/60/24</f>
        <v>43918.791666666679</v>
      </c>
      <c r="G138" s="11">
        <f t="shared" si="55"/>
        <v>120</v>
      </c>
      <c r="H138" s="11" t="s">
        <v>7</v>
      </c>
      <c r="I138" s="11" t="s">
        <v>7</v>
      </c>
      <c r="J138" s="11">
        <f t="shared" si="59"/>
        <v>7</v>
      </c>
      <c r="K138" s="4">
        <f>HOUR(F138)</f>
        <v>19</v>
      </c>
    </row>
    <row r="139" spans="1:11" ht="15.75" thickBot="1" x14ac:dyDescent="0.3">
      <c r="A139" s="3">
        <f t="shared" si="58"/>
        <v>136</v>
      </c>
      <c r="B139" s="4" t="str">
        <f t="shared" si="54"/>
        <v>3</v>
      </c>
      <c r="C139" s="8">
        <f t="shared" si="49"/>
        <v>2</v>
      </c>
      <c r="D139" s="8" t="str">
        <f t="shared" si="57"/>
        <v>1,3</v>
      </c>
      <c r="E139" s="4"/>
      <c r="F139" s="5">
        <f>F133</f>
        <v>43918.375</v>
      </c>
      <c r="G139" s="4">
        <f t="shared" si="55"/>
        <v>120</v>
      </c>
      <c r="H139" s="4" t="s">
        <v>8</v>
      </c>
      <c r="I139" s="4" t="s">
        <v>8</v>
      </c>
      <c r="J139" s="4">
        <f t="shared" si="59"/>
        <v>7</v>
      </c>
      <c r="K139" s="4">
        <f>HOUR(F139)</f>
        <v>9</v>
      </c>
    </row>
    <row r="140" spans="1:11" ht="15.75" thickBot="1" x14ac:dyDescent="0.3">
      <c r="A140" s="7">
        <f t="shared" si="58"/>
        <v>137</v>
      </c>
      <c r="B140" s="8" t="str">
        <f t="shared" si="54"/>
        <v>3</v>
      </c>
      <c r="C140" s="8">
        <f t="shared" si="49"/>
        <v>2</v>
      </c>
      <c r="D140" s="8" t="str">
        <f t="shared" si="57"/>
        <v>1,3</v>
      </c>
      <c r="E140" s="8"/>
      <c r="F140" s="9">
        <f>F139+G139/60/24</f>
        <v>43918.458333333336</v>
      </c>
      <c r="G140" s="8">
        <f t="shared" si="55"/>
        <v>120</v>
      </c>
      <c r="H140" s="8" t="s">
        <v>8</v>
      </c>
      <c r="I140" s="8" t="s">
        <v>8</v>
      </c>
      <c r="J140" s="8">
        <f t="shared" si="59"/>
        <v>7</v>
      </c>
      <c r="K140" s="4">
        <f>HOUR(F140)</f>
        <v>11</v>
      </c>
    </row>
    <row r="141" spans="1:11" ht="15.75" thickBot="1" x14ac:dyDescent="0.3">
      <c r="A141" s="7">
        <f t="shared" si="58"/>
        <v>138</v>
      </c>
      <c r="B141" s="8" t="str">
        <f t="shared" si="54"/>
        <v>3</v>
      </c>
      <c r="C141" s="8">
        <f t="shared" si="49"/>
        <v>2</v>
      </c>
      <c r="D141" s="8" t="str">
        <f t="shared" si="57"/>
        <v>1,3</v>
      </c>
      <c r="E141" s="8"/>
      <c r="F141" s="9">
        <f t="shared" ref="F141:F144" si="60">F140+G140/60/24</f>
        <v>43918.541666666672</v>
      </c>
      <c r="G141" s="8">
        <f t="shared" si="55"/>
        <v>120</v>
      </c>
      <c r="H141" s="8" t="s">
        <v>8</v>
      </c>
      <c r="I141" s="8" t="s">
        <v>8</v>
      </c>
      <c r="J141" s="8">
        <f t="shared" si="59"/>
        <v>7</v>
      </c>
      <c r="K141" s="4">
        <f>HOUR(F141)</f>
        <v>13</v>
      </c>
    </row>
    <row r="142" spans="1:11" ht="15.75" thickBot="1" x14ac:dyDescent="0.3">
      <c r="A142" s="7">
        <f t="shared" si="58"/>
        <v>139</v>
      </c>
      <c r="B142" s="8" t="str">
        <f t="shared" si="54"/>
        <v>3</v>
      </c>
      <c r="C142" s="8">
        <f t="shared" si="49"/>
        <v>2</v>
      </c>
      <c r="D142" s="8" t="str">
        <f t="shared" si="57"/>
        <v>1,3</v>
      </c>
      <c r="E142" s="8"/>
      <c r="F142" s="9">
        <f t="shared" si="60"/>
        <v>43918.625000000007</v>
      </c>
      <c r="G142" s="8">
        <f t="shared" si="55"/>
        <v>120</v>
      </c>
      <c r="H142" s="8" t="s">
        <v>8</v>
      </c>
      <c r="I142" s="8" t="s">
        <v>8</v>
      </c>
      <c r="J142" s="8">
        <f t="shared" si="59"/>
        <v>7</v>
      </c>
      <c r="K142" s="4">
        <f>HOUR(F142)</f>
        <v>15</v>
      </c>
    </row>
    <row r="143" spans="1:11" ht="15.75" thickBot="1" x14ac:dyDescent="0.3">
      <c r="A143" s="7">
        <f t="shared" si="58"/>
        <v>140</v>
      </c>
      <c r="B143" s="8" t="str">
        <f t="shared" si="54"/>
        <v>3</v>
      </c>
      <c r="C143" s="8">
        <f t="shared" si="49"/>
        <v>2</v>
      </c>
      <c r="D143" s="8" t="str">
        <f t="shared" si="57"/>
        <v>1,3</v>
      </c>
      <c r="E143" s="8"/>
      <c r="F143" s="9">
        <f t="shared" si="60"/>
        <v>43918.708333333343</v>
      </c>
      <c r="G143" s="8">
        <f t="shared" si="55"/>
        <v>120</v>
      </c>
      <c r="H143" s="8" t="s">
        <v>8</v>
      </c>
      <c r="I143" s="8" t="s">
        <v>8</v>
      </c>
      <c r="J143" s="8">
        <f t="shared" si="59"/>
        <v>7</v>
      </c>
      <c r="K143" s="4">
        <f>HOUR(F143)</f>
        <v>17</v>
      </c>
    </row>
    <row r="144" spans="1:11" ht="15.75" thickBot="1" x14ac:dyDescent="0.3">
      <c r="A144" s="7">
        <f t="shared" si="58"/>
        <v>141</v>
      </c>
      <c r="B144" s="8" t="str">
        <f t="shared" si="54"/>
        <v>3</v>
      </c>
      <c r="C144" s="8">
        <f t="shared" si="49"/>
        <v>2</v>
      </c>
      <c r="D144" s="8" t="str">
        <f t="shared" si="57"/>
        <v>1,3</v>
      </c>
      <c r="E144" s="8"/>
      <c r="F144" s="9">
        <f t="shared" si="60"/>
        <v>43918.791666666679</v>
      </c>
      <c r="G144" s="8">
        <f t="shared" si="55"/>
        <v>120</v>
      </c>
      <c r="H144" s="8" t="s">
        <v>8</v>
      </c>
      <c r="I144" s="8" t="s">
        <v>8</v>
      </c>
      <c r="J144" s="8">
        <f t="shared" si="59"/>
        <v>7</v>
      </c>
      <c r="K144" s="4">
        <f>HOUR(F144)</f>
        <v>19</v>
      </c>
    </row>
    <row r="145" spans="1:11" ht="15.75" thickBot="1" x14ac:dyDescent="0.3">
      <c r="A145" s="3">
        <f t="shared" si="58"/>
        <v>142</v>
      </c>
      <c r="B145" s="4" t="str">
        <f t="shared" si="54"/>
        <v>2</v>
      </c>
      <c r="C145" s="4">
        <f t="shared" si="49"/>
        <v>6</v>
      </c>
      <c r="D145" s="4"/>
      <c r="E145" s="4"/>
      <c r="F145" s="5">
        <f>F133</f>
        <v>43918.375</v>
      </c>
      <c r="G145" s="4">
        <f t="shared" si="55"/>
        <v>60</v>
      </c>
      <c r="H145" s="4" t="s">
        <v>9</v>
      </c>
      <c r="I145" s="4" t="s">
        <v>13</v>
      </c>
      <c r="J145" s="4">
        <f t="shared" si="59"/>
        <v>7</v>
      </c>
      <c r="K145" s="4">
        <f>HOUR(F145)</f>
        <v>9</v>
      </c>
    </row>
    <row r="146" spans="1:11" ht="15.75" thickBot="1" x14ac:dyDescent="0.3">
      <c r="A146" s="7">
        <f t="shared" si="58"/>
        <v>143</v>
      </c>
      <c r="B146" s="8" t="str">
        <f t="shared" si="54"/>
        <v>2</v>
      </c>
      <c r="C146" s="8">
        <f t="shared" si="49"/>
        <v>4</v>
      </c>
      <c r="D146" s="8" t="str">
        <f t="shared" si="57"/>
        <v>5,6</v>
      </c>
      <c r="E146" s="8"/>
      <c r="F146" s="9">
        <f>F145+G145/60/24</f>
        <v>43918.416666666664</v>
      </c>
      <c r="G146" s="8">
        <f t="shared" si="55"/>
        <v>105</v>
      </c>
      <c r="H146" s="8" t="s">
        <v>9</v>
      </c>
      <c r="I146" s="8" t="s">
        <v>12</v>
      </c>
      <c r="J146" s="8">
        <f t="shared" si="59"/>
        <v>7</v>
      </c>
      <c r="K146" s="4">
        <f>HOUR(F146)</f>
        <v>10</v>
      </c>
    </row>
    <row r="147" spans="1:11" ht="15.75" thickBot="1" x14ac:dyDescent="0.3">
      <c r="A147" s="7">
        <f t="shared" si="58"/>
        <v>144</v>
      </c>
      <c r="B147" s="8" t="str">
        <f t="shared" si="54"/>
        <v>2</v>
      </c>
      <c r="C147" s="8">
        <f t="shared" si="49"/>
        <v>4</v>
      </c>
      <c r="D147" s="8" t="str">
        <f t="shared" si="57"/>
        <v>5,6</v>
      </c>
      <c r="E147" s="8"/>
      <c r="F147" s="9">
        <f t="shared" ref="F147:F151" si="61">F146+G146/60/24</f>
        <v>43918.489583333328</v>
      </c>
      <c r="G147" s="8">
        <f t="shared" si="55"/>
        <v>105</v>
      </c>
      <c r="H147" s="8" t="s">
        <v>9</v>
      </c>
      <c r="I147" s="8" t="s">
        <v>12</v>
      </c>
      <c r="J147" s="8">
        <f t="shared" si="59"/>
        <v>7</v>
      </c>
      <c r="K147" s="4">
        <f>HOUR(F147)</f>
        <v>11</v>
      </c>
    </row>
    <row r="148" spans="1:11" ht="15.75" thickBot="1" x14ac:dyDescent="0.3">
      <c r="A148" s="7">
        <f t="shared" si="58"/>
        <v>145</v>
      </c>
      <c r="B148" s="8" t="str">
        <f t="shared" si="54"/>
        <v>2</v>
      </c>
      <c r="C148" s="8">
        <f t="shared" si="49"/>
        <v>4</v>
      </c>
      <c r="D148" s="8" t="str">
        <f t="shared" si="57"/>
        <v>5,6</v>
      </c>
      <c r="E148" s="8"/>
      <c r="F148" s="9">
        <f t="shared" si="61"/>
        <v>43918.562499999993</v>
      </c>
      <c r="G148" s="8">
        <f t="shared" si="55"/>
        <v>105</v>
      </c>
      <c r="H148" s="8" t="s">
        <v>9</v>
      </c>
      <c r="I148" s="8" t="s">
        <v>12</v>
      </c>
      <c r="J148" s="8">
        <f t="shared" si="59"/>
        <v>7</v>
      </c>
      <c r="K148" s="4">
        <f>HOUR(F148)</f>
        <v>13</v>
      </c>
    </row>
    <row r="149" spans="1:11" ht="15.75" thickBot="1" x14ac:dyDescent="0.3">
      <c r="A149" s="7">
        <f t="shared" si="58"/>
        <v>146</v>
      </c>
      <c r="B149" s="8" t="str">
        <f t="shared" si="54"/>
        <v>2</v>
      </c>
      <c r="C149" s="8">
        <f t="shared" si="49"/>
        <v>4</v>
      </c>
      <c r="D149" s="8" t="str">
        <f t="shared" si="57"/>
        <v>5,6</v>
      </c>
      <c r="E149" s="8"/>
      <c r="F149" s="9">
        <f t="shared" si="61"/>
        <v>43918.635416666657</v>
      </c>
      <c r="G149" s="8">
        <f t="shared" si="55"/>
        <v>105</v>
      </c>
      <c r="H149" s="8" t="s">
        <v>9</v>
      </c>
      <c r="I149" s="8" t="s">
        <v>12</v>
      </c>
      <c r="J149" s="8">
        <f t="shared" si="59"/>
        <v>7</v>
      </c>
      <c r="K149" s="4">
        <f>HOUR(F149)</f>
        <v>15</v>
      </c>
    </row>
    <row r="150" spans="1:11" ht="15.75" thickBot="1" x14ac:dyDescent="0.3">
      <c r="A150" s="7">
        <f t="shared" si="58"/>
        <v>147</v>
      </c>
      <c r="B150" s="8" t="str">
        <f t="shared" si="54"/>
        <v>2</v>
      </c>
      <c r="C150" s="8">
        <f t="shared" si="49"/>
        <v>4</v>
      </c>
      <c r="D150" s="8" t="str">
        <f t="shared" si="57"/>
        <v>5,6</v>
      </c>
      <c r="E150" s="8"/>
      <c r="F150" s="9">
        <f t="shared" si="61"/>
        <v>43918.708333333321</v>
      </c>
      <c r="G150" s="8">
        <f t="shared" si="55"/>
        <v>105</v>
      </c>
      <c r="H150" s="8" t="s">
        <v>9</v>
      </c>
      <c r="I150" s="8" t="s">
        <v>12</v>
      </c>
      <c r="J150" s="8">
        <f t="shared" si="59"/>
        <v>7</v>
      </c>
      <c r="K150" s="4">
        <f>HOUR(F150)</f>
        <v>17</v>
      </c>
    </row>
    <row r="151" spans="1:11" ht="15.75" thickBot="1" x14ac:dyDescent="0.3">
      <c r="A151" s="7">
        <f t="shared" si="58"/>
        <v>148</v>
      </c>
      <c r="B151" s="8" t="str">
        <f t="shared" si="54"/>
        <v>2</v>
      </c>
      <c r="C151" s="8">
        <f t="shared" si="49"/>
        <v>4</v>
      </c>
      <c r="D151" s="8"/>
      <c r="E151" s="8"/>
      <c r="F151" s="9">
        <f t="shared" si="61"/>
        <v>43918.781249999985</v>
      </c>
      <c r="G151" s="8">
        <f t="shared" si="55"/>
        <v>105</v>
      </c>
      <c r="H151" s="8" t="s">
        <v>9</v>
      </c>
      <c r="I151" s="8" t="s">
        <v>12</v>
      </c>
      <c r="J151" s="8">
        <f t="shared" si="59"/>
        <v>7</v>
      </c>
      <c r="K151" s="4">
        <f>HOUR(F151)</f>
        <v>18</v>
      </c>
    </row>
    <row r="152" spans="1:11" ht="15.75" thickBot="1" x14ac:dyDescent="0.3">
      <c r="A152" s="3">
        <f t="shared" si="58"/>
        <v>149</v>
      </c>
      <c r="B152" s="4" t="str">
        <f t="shared" si="54"/>
        <v>1</v>
      </c>
      <c r="C152" s="4">
        <v>6</v>
      </c>
      <c r="D152" s="4"/>
      <c r="E152" s="4"/>
      <c r="F152" s="5">
        <f>F133</f>
        <v>43918.375</v>
      </c>
      <c r="G152" s="4">
        <f t="shared" si="55"/>
        <v>60</v>
      </c>
      <c r="H152" s="4" t="s">
        <v>15</v>
      </c>
      <c r="I152" s="4" t="s">
        <v>14</v>
      </c>
      <c r="J152" s="4">
        <f>WEEKDAY(F152)</f>
        <v>7</v>
      </c>
      <c r="K152" s="4">
        <f>HOUR(F152)</f>
        <v>9</v>
      </c>
    </row>
    <row r="153" spans="1:11" ht="15.75" thickBot="1" x14ac:dyDescent="0.3">
      <c r="A153" s="7">
        <f t="shared" si="58"/>
        <v>150</v>
      </c>
      <c r="B153" s="8" t="str">
        <f t="shared" si="54"/>
        <v>1</v>
      </c>
      <c r="C153" s="8">
        <f t="shared" si="49"/>
        <v>6</v>
      </c>
      <c r="D153" s="8"/>
      <c r="E153" s="8"/>
      <c r="F153" s="9">
        <f>F152+G152/60/24</f>
        <v>43918.416666666664</v>
      </c>
      <c r="G153" s="8">
        <f t="shared" si="55"/>
        <v>60</v>
      </c>
      <c r="H153" s="8" t="s">
        <v>15</v>
      </c>
      <c r="I153" s="8" t="s">
        <v>13</v>
      </c>
      <c r="J153" s="8">
        <f>WEEKDAY(F153)</f>
        <v>7</v>
      </c>
      <c r="K153" s="4">
        <f>HOUR(F153)</f>
        <v>10</v>
      </c>
    </row>
    <row r="154" spans="1:11" ht="15.75" thickBot="1" x14ac:dyDescent="0.3">
      <c r="A154" s="7">
        <f t="shared" si="58"/>
        <v>151</v>
      </c>
      <c r="B154" s="8" t="str">
        <f t="shared" si="54"/>
        <v>1</v>
      </c>
      <c r="C154" s="8">
        <f t="shared" si="49"/>
        <v>5</v>
      </c>
      <c r="D154" s="8"/>
      <c r="E154" s="8"/>
      <c r="F154" s="9">
        <f t="shared" ref="F154:F158" si="62">F153+G153/60/24</f>
        <v>43918.458333333328</v>
      </c>
      <c r="G154" s="8">
        <f t="shared" si="55"/>
        <v>90</v>
      </c>
      <c r="H154" s="8" t="s">
        <v>15</v>
      </c>
      <c r="I154" s="8" t="s">
        <v>10</v>
      </c>
      <c r="J154" s="8">
        <f>WEEKDAY(F154)</f>
        <v>7</v>
      </c>
      <c r="K154" s="4">
        <f>HOUR(F154)</f>
        <v>11</v>
      </c>
    </row>
    <row r="155" spans="1:11" ht="15.75" thickBot="1" x14ac:dyDescent="0.3">
      <c r="A155" s="7">
        <f t="shared" si="58"/>
        <v>152</v>
      </c>
      <c r="B155" s="8" t="str">
        <f t="shared" si="54"/>
        <v>1</v>
      </c>
      <c r="C155" s="8">
        <f t="shared" si="49"/>
        <v>5</v>
      </c>
      <c r="D155" s="8"/>
      <c r="E155" s="8"/>
      <c r="F155" s="9">
        <f t="shared" si="62"/>
        <v>43918.520833333328</v>
      </c>
      <c r="G155" s="8">
        <f t="shared" si="55"/>
        <v>90</v>
      </c>
      <c r="H155" s="8" t="s">
        <v>15</v>
      </c>
      <c r="I155" s="8" t="s">
        <v>10</v>
      </c>
      <c r="J155" s="8">
        <f>WEEKDAY(F155)</f>
        <v>7</v>
      </c>
      <c r="K155" s="4">
        <f>HOUR(F155)</f>
        <v>12</v>
      </c>
    </row>
    <row r="156" spans="1:11" ht="15.75" thickBot="1" x14ac:dyDescent="0.3">
      <c r="A156" s="7">
        <f t="shared" si="58"/>
        <v>153</v>
      </c>
      <c r="B156" s="8" t="str">
        <f t="shared" si="54"/>
        <v>1</v>
      </c>
      <c r="C156" s="8">
        <f t="shared" si="49"/>
        <v>5</v>
      </c>
      <c r="D156" s="8"/>
      <c r="E156" s="8"/>
      <c r="F156" s="9">
        <f t="shared" si="62"/>
        <v>43918.583333333328</v>
      </c>
      <c r="G156" s="8">
        <f t="shared" si="55"/>
        <v>90</v>
      </c>
      <c r="H156" s="8" t="s">
        <v>15</v>
      </c>
      <c r="I156" s="8" t="s">
        <v>10</v>
      </c>
      <c r="J156" s="8">
        <f t="shared" ref="J156:J158" si="63">WEEKDAY(F156)</f>
        <v>7</v>
      </c>
      <c r="K156" s="4">
        <f>HOUR(F156)</f>
        <v>14</v>
      </c>
    </row>
    <row r="157" spans="1:11" ht="15.75" thickBot="1" x14ac:dyDescent="0.3">
      <c r="A157" s="7">
        <f t="shared" si="58"/>
        <v>154</v>
      </c>
      <c r="B157" s="8" t="str">
        <f t="shared" si="54"/>
        <v>1</v>
      </c>
      <c r="C157" s="8">
        <f t="shared" si="49"/>
        <v>5</v>
      </c>
      <c r="D157" s="8"/>
      <c r="E157" s="8"/>
      <c r="F157" s="9">
        <f t="shared" si="62"/>
        <v>43918.645833333328</v>
      </c>
      <c r="G157" s="8">
        <f t="shared" si="55"/>
        <v>90</v>
      </c>
      <c r="H157" s="8" t="s">
        <v>15</v>
      </c>
      <c r="I157" s="8" t="s">
        <v>10</v>
      </c>
      <c r="J157" s="8">
        <f t="shared" si="63"/>
        <v>7</v>
      </c>
      <c r="K157" s="4">
        <f>HOUR(F157)</f>
        <v>15</v>
      </c>
    </row>
    <row r="158" spans="1:11" ht="15.75" thickBot="1" x14ac:dyDescent="0.3">
      <c r="A158" s="10">
        <f t="shared" si="58"/>
        <v>155</v>
      </c>
      <c r="B158" s="11" t="str">
        <f t="shared" si="54"/>
        <v>1</v>
      </c>
      <c r="C158" s="11">
        <f t="shared" si="49"/>
        <v>5</v>
      </c>
      <c r="D158" s="11"/>
      <c r="E158" s="11"/>
      <c r="F158" s="9">
        <f t="shared" si="62"/>
        <v>43918.708333333328</v>
      </c>
      <c r="G158" s="11">
        <f t="shared" si="55"/>
        <v>90</v>
      </c>
      <c r="H158" s="11" t="s">
        <v>15</v>
      </c>
      <c r="I158" s="11" t="s">
        <v>10</v>
      </c>
      <c r="J158" s="11">
        <f t="shared" si="63"/>
        <v>7</v>
      </c>
      <c r="K158" s="4">
        <f>HOUR(F158)</f>
        <v>17</v>
      </c>
    </row>
    <row r="159" spans="1:11" ht="15.75" thickBot="1" x14ac:dyDescent="0.3">
      <c r="A159" s="3">
        <f t="shared" si="58"/>
        <v>156</v>
      </c>
      <c r="B159" s="4" t="str">
        <f t="shared" si="54"/>
        <v>5</v>
      </c>
      <c r="C159" s="4">
        <f t="shared" si="49"/>
        <v>6</v>
      </c>
      <c r="D159" s="4"/>
      <c r="E159" s="4"/>
      <c r="F159" s="5">
        <f>F133</f>
        <v>43918.375</v>
      </c>
      <c r="G159" s="4">
        <f t="shared" si="55"/>
        <v>60</v>
      </c>
      <c r="H159" s="4" t="s">
        <v>16</v>
      </c>
      <c r="I159" s="4" t="s">
        <v>13</v>
      </c>
      <c r="J159" s="4">
        <f>WEEKDAY(F159)</f>
        <v>7</v>
      </c>
      <c r="K159" s="4">
        <f>HOUR(F159)</f>
        <v>9</v>
      </c>
    </row>
    <row r="160" spans="1:11" ht="15.75" thickBot="1" x14ac:dyDescent="0.3">
      <c r="A160" s="7">
        <f t="shared" si="58"/>
        <v>157</v>
      </c>
      <c r="B160" s="8" t="str">
        <f t="shared" si="54"/>
        <v>5</v>
      </c>
      <c r="C160" s="8">
        <f t="shared" si="49"/>
        <v>5</v>
      </c>
      <c r="D160" s="8">
        <v>6</v>
      </c>
      <c r="E160" s="8"/>
      <c r="F160" s="9">
        <f>F159+G159/60/24</f>
        <v>43918.416666666664</v>
      </c>
      <c r="G160" s="8">
        <f t="shared" si="55"/>
        <v>90</v>
      </c>
      <c r="H160" s="8" t="s">
        <v>16</v>
      </c>
      <c r="I160" s="8" t="s">
        <v>10</v>
      </c>
      <c r="J160" s="8">
        <f>WEEKDAY(F160)</f>
        <v>7</v>
      </c>
      <c r="K160" s="4">
        <f>HOUR(F160)</f>
        <v>10</v>
      </c>
    </row>
    <row r="161" spans="1:11" ht="15.75" thickBot="1" x14ac:dyDescent="0.3">
      <c r="A161" s="7">
        <f t="shared" si="58"/>
        <v>158</v>
      </c>
      <c r="B161" s="8" t="str">
        <f t="shared" si="54"/>
        <v>5</v>
      </c>
      <c r="C161" s="8">
        <f t="shared" si="49"/>
        <v>4</v>
      </c>
      <c r="D161" s="8">
        <f t="shared" ref="D161:D164" si="64">VLOOKUP(H161,slot_compat,3,FALSE)</f>
        <v>5</v>
      </c>
      <c r="E161" s="8"/>
      <c r="F161" s="9">
        <f t="shared" ref="F161:F165" si="65">F160+G160/60/24</f>
        <v>43918.479166666664</v>
      </c>
      <c r="G161" s="8">
        <f t="shared" si="55"/>
        <v>105</v>
      </c>
      <c r="H161" s="8" t="s">
        <v>16</v>
      </c>
      <c r="I161" s="8" t="s">
        <v>12</v>
      </c>
      <c r="J161" s="8">
        <f>WEEKDAY(F161)</f>
        <v>7</v>
      </c>
      <c r="K161" s="4">
        <f>HOUR(F161)</f>
        <v>11</v>
      </c>
    </row>
    <row r="162" spans="1:11" ht="15.75" thickBot="1" x14ac:dyDescent="0.3">
      <c r="A162" s="7">
        <f t="shared" si="58"/>
        <v>159</v>
      </c>
      <c r="B162" s="8" t="str">
        <f t="shared" si="54"/>
        <v>5</v>
      </c>
      <c r="C162" s="8">
        <f t="shared" si="49"/>
        <v>4</v>
      </c>
      <c r="D162" s="8">
        <f t="shared" si="64"/>
        <v>5</v>
      </c>
      <c r="E162" s="8"/>
      <c r="F162" s="9">
        <f t="shared" si="65"/>
        <v>43918.552083333328</v>
      </c>
      <c r="G162" s="8">
        <f t="shared" si="55"/>
        <v>105</v>
      </c>
      <c r="H162" s="8" t="s">
        <v>16</v>
      </c>
      <c r="I162" s="8" t="s">
        <v>12</v>
      </c>
      <c r="J162" s="8">
        <f>WEEKDAY(F162)</f>
        <v>7</v>
      </c>
      <c r="K162" s="4">
        <f>HOUR(F162)</f>
        <v>13</v>
      </c>
    </row>
    <row r="163" spans="1:11" ht="15.75" thickBot="1" x14ac:dyDescent="0.3">
      <c r="A163" s="7">
        <f t="shared" si="58"/>
        <v>160</v>
      </c>
      <c r="B163" s="8" t="str">
        <f t="shared" si="54"/>
        <v>5</v>
      </c>
      <c r="C163" s="8">
        <f t="shared" si="49"/>
        <v>4</v>
      </c>
      <c r="D163" s="8">
        <f t="shared" si="64"/>
        <v>5</v>
      </c>
      <c r="E163" s="8"/>
      <c r="F163" s="9">
        <f t="shared" si="65"/>
        <v>43918.624999999993</v>
      </c>
      <c r="G163" s="8">
        <f t="shared" si="55"/>
        <v>105</v>
      </c>
      <c r="H163" s="8" t="s">
        <v>16</v>
      </c>
      <c r="I163" s="8" t="s">
        <v>12</v>
      </c>
      <c r="J163" s="8">
        <f t="shared" ref="J163:J226" si="66">WEEKDAY(F163)</f>
        <v>7</v>
      </c>
      <c r="K163" s="4">
        <f>HOUR(F163)</f>
        <v>15</v>
      </c>
    </row>
    <row r="164" spans="1:11" ht="15.75" thickBot="1" x14ac:dyDescent="0.3">
      <c r="A164" s="7">
        <f t="shared" si="58"/>
        <v>161</v>
      </c>
      <c r="B164" s="8" t="str">
        <f t="shared" si="54"/>
        <v>5</v>
      </c>
      <c r="C164" s="8">
        <f t="shared" si="49"/>
        <v>4</v>
      </c>
      <c r="D164" s="8">
        <f t="shared" si="64"/>
        <v>5</v>
      </c>
      <c r="E164" s="8"/>
      <c r="F164" s="9">
        <f t="shared" si="65"/>
        <v>43918.697916666657</v>
      </c>
      <c r="G164" s="8">
        <f t="shared" si="55"/>
        <v>105</v>
      </c>
      <c r="H164" s="8" t="s">
        <v>16</v>
      </c>
      <c r="I164" s="8" t="s">
        <v>12</v>
      </c>
      <c r="J164" s="8">
        <f t="shared" si="66"/>
        <v>7</v>
      </c>
      <c r="K164" s="4">
        <f>HOUR(F164)</f>
        <v>16</v>
      </c>
    </row>
    <row r="165" spans="1:11" ht="15.75" thickBot="1" x14ac:dyDescent="0.3">
      <c r="A165" s="7">
        <f t="shared" si="58"/>
        <v>162</v>
      </c>
      <c r="B165" s="8" t="str">
        <f t="shared" si="54"/>
        <v>5</v>
      </c>
      <c r="C165" s="8">
        <f t="shared" si="49"/>
        <v>4</v>
      </c>
      <c r="D165" s="8"/>
      <c r="E165" s="8"/>
      <c r="F165" s="9">
        <f t="shared" si="65"/>
        <v>43918.770833333321</v>
      </c>
      <c r="G165" s="8">
        <f t="shared" si="55"/>
        <v>105</v>
      </c>
      <c r="H165" s="8" t="s">
        <v>16</v>
      </c>
      <c r="I165" s="8" t="s">
        <v>12</v>
      </c>
      <c r="J165" s="8">
        <f t="shared" si="66"/>
        <v>7</v>
      </c>
      <c r="K165" s="4">
        <f>HOUR(F165)</f>
        <v>18</v>
      </c>
    </row>
    <row r="166" spans="1:11" ht="15.75" thickBot="1" x14ac:dyDescent="0.3">
      <c r="A166" s="3">
        <f t="shared" si="58"/>
        <v>163</v>
      </c>
      <c r="B166" s="4" t="str">
        <f t="shared" si="54"/>
        <v>6</v>
      </c>
      <c r="C166" s="4">
        <f t="shared" si="49"/>
        <v>4</v>
      </c>
      <c r="D166" s="4">
        <v>5</v>
      </c>
      <c r="E166" s="4"/>
      <c r="F166" s="5">
        <f>F133</f>
        <v>43918.375</v>
      </c>
      <c r="G166" s="4">
        <f t="shared" si="55"/>
        <v>105</v>
      </c>
      <c r="H166" s="4" t="s">
        <v>17</v>
      </c>
      <c r="I166" s="4" t="s">
        <v>12</v>
      </c>
      <c r="J166" s="4">
        <f t="shared" si="66"/>
        <v>7</v>
      </c>
      <c r="K166" s="4">
        <f>HOUR(F166)</f>
        <v>9</v>
      </c>
    </row>
    <row r="167" spans="1:11" ht="15.75" thickBot="1" x14ac:dyDescent="0.3">
      <c r="A167" s="7">
        <f t="shared" si="58"/>
        <v>164</v>
      </c>
      <c r="B167" s="8" t="str">
        <f t="shared" si="54"/>
        <v>6</v>
      </c>
      <c r="C167" s="8">
        <f t="shared" si="49"/>
        <v>3</v>
      </c>
      <c r="D167" s="8" t="s">
        <v>55</v>
      </c>
      <c r="E167" s="8"/>
      <c r="F167" s="9">
        <f>F166+G166/60/24</f>
        <v>43918.447916666664</v>
      </c>
      <c r="G167" s="8">
        <f t="shared" si="55"/>
        <v>105</v>
      </c>
      <c r="H167" s="8" t="s">
        <v>17</v>
      </c>
      <c r="I167" s="8" t="s">
        <v>11</v>
      </c>
      <c r="J167" s="8">
        <f t="shared" si="66"/>
        <v>7</v>
      </c>
      <c r="K167" s="4">
        <f>HOUR(F167)</f>
        <v>10</v>
      </c>
    </row>
    <row r="168" spans="1:11" ht="15.75" thickBot="1" x14ac:dyDescent="0.3">
      <c r="A168" s="7">
        <f t="shared" si="58"/>
        <v>165</v>
      </c>
      <c r="B168" s="8" t="str">
        <f t="shared" si="54"/>
        <v>6</v>
      </c>
      <c r="C168" s="8">
        <f t="shared" si="49"/>
        <v>3</v>
      </c>
      <c r="D168" s="8" t="s">
        <v>55</v>
      </c>
      <c r="E168" s="8"/>
      <c r="F168" s="9">
        <f t="shared" ref="F168:F171" si="67">F167+G167/60/24</f>
        <v>43918.520833333328</v>
      </c>
      <c r="G168" s="8">
        <f t="shared" si="55"/>
        <v>105</v>
      </c>
      <c r="H168" s="8" t="s">
        <v>17</v>
      </c>
      <c r="I168" s="8" t="s">
        <v>11</v>
      </c>
      <c r="J168" s="8">
        <f t="shared" si="66"/>
        <v>7</v>
      </c>
      <c r="K168" s="4">
        <f>HOUR(F168)</f>
        <v>12</v>
      </c>
    </row>
    <row r="169" spans="1:11" ht="15.75" thickBot="1" x14ac:dyDescent="0.3">
      <c r="A169" s="7">
        <f t="shared" si="58"/>
        <v>166</v>
      </c>
      <c r="B169" s="8" t="str">
        <f t="shared" si="54"/>
        <v>6</v>
      </c>
      <c r="C169" s="8">
        <f t="shared" si="49"/>
        <v>3</v>
      </c>
      <c r="D169" s="8" t="s">
        <v>55</v>
      </c>
      <c r="E169" s="8"/>
      <c r="F169" s="9">
        <f t="shared" si="67"/>
        <v>43918.593749999993</v>
      </c>
      <c r="G169" s="8">
        <f t="shared" si="55"/>
        <v>105</v>
      </c>
      <c r="H169" s="8" t="s">
        <v>17</v>
      </c>
      <c r="I169" s="8" t="s">
        <v>11</v>
      </c>
      <c r="J169" s="8">
        <f t="shared" si="66"/>
        <v>7</v>
      </c>
      <c r="K169" s="4">
        <f>HOUR(F169)</f>
        <v>14</v>
      </c>
    </row>
    <row r="170" spans="1:11" ht="15.75" thickBot="1" x14ac:dyDescent="0.3">
      <c r="A170" s="7">
        <f t="shared" si="58"/>
        <v>167</v>
      </c>
      <c r="B170" s="8" t="str">
        <f t="shared" si="54"/>
        <v>6</v>
      </c>
      <c r="C170" s="8">
        <f t="shared" si="49"/>
        <v>3</v>
      </c>
      <c r="D170" s="8" t="s">
        <v>55</v>
      </c>
      <c r="E170" s="8"/>
      <c r="F170" s="9">
        <f t="shared" si="67"/>
        <v>43918.666666666657</v>
      </c>
      <c r="G170" s="8">
        <f t="shared" si="55"/>
        <v>105</v>
      </c>
      <c r="H170" s="8" t="s">
        <v>17</v>
      </c>
      <c r="I170" s="8" t="s">
        <v>11</v>
      </c>
      <c r="J170" s="8">
        <f t="shared" si="66"/>
        <v>7</v>
      </c>
      <c r="K170" s="4">
        <f>HOUR(F170)</f>
        <v>16</v>
      </c>
    </row>
    <row r="171" spans="1:11" ht="15.75" thickBot="1" x14ac:dyDescent="0.3">
      <c r="A171" s="7">
        <f t="shared" si="58"/>
        <v>168</v>
      </c>
      <c r="B171" s="8" t="str">
        <f t="shared" si="54"/>
        <v>6</v>
      </c>
      <c r="C171" s="8">
        <v>2</v>
      </c>
      <c r="D171" s="14" t="s">
        <v>61</v>
      </c>
      <c r="E171" s="8"/>
      <c r="F171" s="9">
        <f t="shared" si="67"/>
        <v>43918.739583333321</v>
      </c>
      <c r="G171" s="8">
        <f t="shared" si="55"/>
        <v>105</v>
      </c>
      <c r="H171" s="8" t="s">
        <v>17</v>
      </c>
      <c r="I171" s="8" t="s">
        <v>11</v>
      </c>
      <c r="J171" s="8">
        <f t="shared" si="66"/>
        <v>7</v>
      </c>
      <c r="K171" s="4">
        <f>HOUR(F171)</f>
        <v>17</v>
      </c>
    </row>
    <row r="172" spans="1:11" ht="15.75" thickBot="1" x14ac:dyDescent="0.3">
      <c r="A172" s="3">
        <f t="shared" si="58"/>
        <v>169</v>
      </c>
      <c r="B172" s="4" t="str">
        <f t="shared" si="54"/>
        <v>7</v>
      </c>
      <c r="C172" s="4">
        <f t="shared" si="49"/>
        <v>6</v>
      </c>
      <c r="D172" s="4"/>
      <c r="E172" s="4"/>
      <c r="F172" s="5">
        <f>F133</f>
        <v>43918.375</v>
      </c>
      <c r="G172" s="4">
        <f t="shared" si="55"/>
        <v>60</v>
      </c>
      <c r="H172" s="4" t="s">
        <v>18</v>
      </c>
      <c r="I172" s="4" t="s">
        <v>13</v>
      </c>
      <c r="J172" s="4">
        <f t="shared" si="66"/>
        <v>7</v>
      </c>
      <c r="K172" s="4">
        <f>HOUR(F172)</f>
        <v>9</v>
      </c>
    </row>
    <row r="173" spans="1:11" ht="15.75" thickBot="1" x14ac:dyDescent="0.3">
      <c r="A173" s="7">
        <f t="shared" si="58"/>
        <v>170</v>
      </c>
      <c r="B173" s="8" t="str">
        <f t="shared" si="54"/>
        <v>7</v>
      </c>
      <c r="C173" s="8">
        <f t="shared" si="49"/>
        <v>3</v>
      </c>
      <c r="D173" s="8" t="s">
        <v>55</v>
      </c>
      <c r="E173" s="8"/>
      <c r="F173" s="9">
        <f>F172+G172/60/24</f>
        <v>43918.416666666664</v>
      </c>
      <c r="G173" s="8">
        <f t="shared" si="55"/>
        <v>105</v>
      </c>
      <c r="H173" s="8" t="s">
        <v>18</v>
      </c>
      <c r="I173" s="8" t="s">
        <v>11</v>
      </c>
      <c r="J173" s="8">
        <f t="shared" si="66"/>
        <v>7</v>
      </c>
      <c r="K173" s="4">
        <f>HOUR(F173)</f>
        <v>10</v>
      </c>
    </row>
    <row r="174" spans="1:11" ht="15.75" thickBot="1" x14ac:dyDescent="0.3">
      <c r="A174" s="7">
        <f t="shared" si="58"/>
        <v>171</v>
      </c>
      <c r="B174" s="8" t="str">
        <f t="shared" si="54"/>
        <v>7</v>
      </c>
      <c r="C174" s="8">
        <f t="shared" si="49"/>
        <v>3</v>
      </c>
      <c r="D174" s="8" t="s">
        <v>55</v>
      </c>
      <c r="E174" s="8"/>
      <c r="F174" s="9">
        <f t="shared" ref="F174:F177" si="68">F173+G173/60/24</f>
        <v>43918.489583333328</v>
      </c>
      <c r="G174" s="8">
        <f t="shared" si="55"/>
        <v>105</v>
      </c>
      <c r="H174" s="8" t="s">
        <v>18</v>
      </c>
      <c r="I174" s="8" t="s">
        <v>11</v>
      </c>
      <c r="J174" s="8">
        <f t="shared" si="66"/>
        <v>7</v>
      </c>
      <c r="K174" s="4">
        <f>HOUR(F174)</f>
        <v>11</v>
      </c>
    </row>
    <row r="175" spans="1:11" ht="15.75" thickBot="1" x14ac:dyDescent="0.3">
      <c r="A175" s="7">
        <f t="shared" si="58"/>
        <v>172</v>
      </c>
      <c r="B175" s="8" t="str">
        <f t="shared" si="54"/>
        <v>7</v>
      </c>
      <c r="C175" s="8">
        <f t="shared" si="49"/>
        <v>2</v>
      </c>
      <c r="D175" s="8" t="s">
        <v>56</v>
      </c>
      <c r="E175" s="8"/>
      <c r="F175" s="9">
        <f t="shared" si="68"/>
        <v>43918.562499999993</v>
      </c>
      <c r="G175" s="8">
        <f t="shared" si="55"/>
        <v>120</v>
      </c>
      <c r="H175" s="8" t="s">
        <v>18</v>
      </c>
      <c r="I175" s="8" t="s">
        <v>8</v>
      </c>
      <c r="J175" s="8">
        <f t="shared" si="66"/>
        <v>7</v>
      </c>
      <c r="K175" s="4">
        <f>HOUR(F175)</f>
        <v>13</v>
      </c>
    </row>
    <row r="176" spans="1:11" ht="15.75" thickBot="1" x14ac:dyDescent="0.3">
      <c r="A176" s="7">
        <f t="shared" si="58"/>
        <v>173</v>
      </c>
      <c r="B176" s="8" t="str">
        <f t="shared" si="54"/>
        <v>7</v>
      </c>
      <c r="C176" s="8">
        <f t="shared" ref="C176:C183" si="69">VLOOKUP(I176,league_id,2,FALSE)</f>
        <v>2</v>
      </c>
      <c r="D176" s="8" t="s">
        <v>56</v>
      </c>
      <c r="E176" s="8"/>
      <c r="F176" s="9">
        <f t="shared" si="68"/>
        <v>43918.645833333328</v>
      </c>
      <c r="G176" s="8">
        <f t="shared" si="55"/>
        <v>120</v>
      </c>
      <c r="H176" s="8" t="s">
        <v>18</v>
      </c>
      <c r="I176" s="8" t="s">
        <v>8</v>
      </c>
      <c r="J176" s="8">
        <f t="shared" si="66"/>
        <v>7</v>
      </c>
      <c r="K176" s="4">
        <f>HOUR(F176)</f>
        <v>15</v>
      </c>
    </row>
    <row r="177" spans="1:11" ht="15.75" thickBot="1" x14ac:dyDescent="0.3">
      <c r="A177" s="7">
        <f t="shared" si="58"/>
        <v>174</v>
      </c>
      <c r="B177" s="8" t="str">
        <f t="shared" si="54"/>
        <v>7</v>
      </c>
      <c r="C177" s="8">
        <f t="shared" si="69"/>
        <v>2</v>
      </c>
      <c r="D177" s="8" t="s">
        <v>61</v>
      </c>
      <c r="E177" s="8"/>
      <c r="F177" s="9">
        <f t="shared" si="68"/>
        <v>43918.729166666664</v>
      </c>
      <c r="G177" s="8">
        <f t="shared" si="55"/>
        <v>120</v>
      </c>
      <c r="H177" s="8" t="s">
        <v>18</v>
      </c>
      <c r="I177" s="8" t="s">
        <v>8</v>
      </c>
      <c r="J177" s="8">
        <f t="shared" si="66"/>
        <v>7</v>
      </c>
      <c r="K177" s="4">
        <f>HOUR(F177)</f>
        <v>17</v>
      </c>
    </row>
    <row r="178" spans="1:11" ht="15.75" thickBot="1" x14ac:dyDescent="0.3">
      <c r="A178" s="3">
        <f t="shared" si="58"/>
        <v>175</v>
      </c>
      <c r="B178" s="4" t="str">
        <f t="shared" si="54"/>
        <v>8</v>
      </c>
      <c r="C178" s="4">
        <f t="shared" si="69"/>
        <v>5</v>
      </c>
      <c r="D178" s="4"/>
      <c r="E178" s="4"/>
      <c r="F178" s="5">
        <f>F133</f>
        <v>43918.375</v>
      </c>
      <c r="G178" s="4">
        <f t="shared" si="55"/>
        <v>90</v>
      </c>
      <c r="H178" s="4" t="s">
        <v>19</v>
      </c>
      <c r="I178" s="4" t="s">
        <v>10</v>
      </c>
      <c r="J178" s="4">
        <f t="shared" si="66"/>
        <v>7</v>
      </c>
      <c r="K178" s="4">
        <f>HOUR(F178)</f>
        <v>9</v>
      </c>
    </row>
    <row r="179" spans="1:11" ht="15.75" thickBot="1" x14ac:dyDescent="0.3">
      <c r="A179" s="7">
        <f t="shared" si="58"/>
        <v>176</v>
      </c>
      <c r="B179" s="8" t="str">
        <f t="shared" si="54"/>
        <v>8</v>
      </c>
      <c r="C179" s="8">
        <f t="shared" si="69"/>
        <v>5</v>
      </c>
      <c r="D179" s="8"/>
      <c r="E179" s="8"/>
      <c r="F179" s="9">
        <f>F178+G178/60/24</f>
        <v>43918.4375</v>
      </c>
      <c r="G179" s="8">
        <f t="shared" si="55"/>
        <v>90</v>
      </c>
      <c r="H179" s="8" t="s">
        <v>19</v>
      </c>
      <c r="I179" s="8" t="s">
        <v>10</v>
      </c>
      <c r="J179" s="8">
        <f t="shared" si="66"/>
        <v>7</v>
      </c>
      <c r="K179" s="4">
        <f>HOUR(F179)</f>
        <v>10</v>
      </c>
    </row>
    <row r="180" spans="1:11" ht="15.75" thickBot="1" x14ac:dyDescent="0.3">
      <c r="A180" s="7">
        <f t="shared" si="58"/>
        <v>177</v>
      </c>
      <c r="B180" s="8" t="str">
        <f t="shared" si="54"/>
        <v>8</v>
      </c>
      <c r="C180" s="8">
        <f t="shared" si="69"/>
        <v>3</v>
      </c>
      <c r="D180" s="8" t="s">
        <v>55</v>
      </c>
      <c r="E180" s="8"/>
      <c r="F180" s="9">
        <f t="shared" ref="F180:F183" si="70">F179+G179/60/24</f>
        <v>43918.5</v>
      </c>
      <c r="G180" s="8">
        <f t="shared" si="55"/>
        <v>105</v>
      </c>
      <c r="H180" s="8" t="s">
        <v>19</v>
      </c>
      <c r="I180" s="8" t="s">
        <v>11</v>
      </c>
      <c r="J180" s="8">
        <f t="shared" si="66"/>
        <v>7</v>
      </c>
      <c r="K180" s="4">
        <f>HOUR(F180)</f>
        <v>12</v>
      </c>
    </row>
    <row r="181" spans="1:11" ht="15.75" thickBot="1" x14ac:dyDescent="0.3">
      <c r="A181" s="7">
        <f t="shared" si="58"/>
        <v>178</v>
      </c>
      <c r="B181" s="8" t="str">
        <f t="shared" si="54"/>
        <v>8</v>
      </c>
      <c r="C181" s="8">
        <f t="shared" si="69"/>
        <v>2</v>
      </c>
      <c r="D181" s="8" t="s">
        <v>56</v>
      </c>
      <c r="E181" s="8"/>
      <c r="F181" s="9">
        <f t="shared" si="70"/>
        <v>43918.572916666664</v>
      </c>
      <c r="G181" s="8">
        <f t="shared" si="55"/>
        <v>120</v>
      </c>
      <c r="H181" s="8" t="s">
        <v>19</v>
      </c>
      <c r="I181" s="8" t="s">
        <v>8</v>
      </c>
      <c r="J181" s="8">
        <f t="shared" si="66"/>
        <v>7</v>
      </c>
      <c r="K181" s="4">
        <f>HOUR(F181)</f>
        <v>13</v>
      </c>
    </row>
    <row r="182" spans="1:11" ht="15.75" thickBot="1" x14ac:dyDescent="0.3">
      <c r="A182" s="7">
        <f t="shared" si="58"/>
        <v>179</v>
      </c>
      <c r="B182" s="8" t="str">
        <f t="shared" si="54"/>
        <v>8</v>
      </c>
      <c r="C182" s="8">
        <f t="shared" si="69"/>
        <v>2</v>
      </c>
      <c r="D182" s="8" t="s">
        <v>56</v>
      </c>
      <c r="E182" s="8"/>
      <c r="F182" s="9">
        <f t="shared" si="70"/>
        <v>43918.65625</v>
      </c>
      <c r="G182" s="8">
        <f t="shared" si="55"/>
        <v>120</v>
      </c>
      <c r="H182" s="8" t="s">
        <v>19</v>
      </c>
      <c r="I182" s="8" t="s">
        <v>8</v>
      </c>
      <c r="J182" s="8">
        <f t="shared" si="66"/>
        <v>7</v>
      </c>
      <c r="K182" s="4">
        <f>HOUR(F182)</f>
        <v>15</v>
      </c>
    </row>
    <row r="183" spans="1:11" ht="15.75" thickBot="1" x14ac:dyDescent="0.3">
      <c r="A183" s="7">
        <f t="shared" si="58"/>
        <v>180</v>
      </c>
      <c r="B183" s="8" t="str">
        <f t="shared" si="54"/>
        <v>8</v>
      </c>
      <c r="C183" s="8">
        <f t="shared" si="69"/>
        <v>2</v>
      </c>
      <c r="D183" s="8" t="s">
        <v>61</v>
      </c>
      <c r="E183" s="8"/>
      <c r="F183" s="9">
        <f t="shared" si="70"/>
        <v>43918.739583333336</v>
      </c>
      <c r="G183" s="8">
        <f t="shared" si="55"/>
        <v>120</v>
      </c>
      <c r="H183" s="8" t="s">
        <v>19</v>
      </c>
      <c r="I183" s="8" t="s">
        <v>8</v>
      </c>
      <c r="J183" s="8">
        <f t="shared" si="66"/>
        <v>7</v>
      </c>
      <c r="K183" s="4">
        <f>HOUR(F183)</f>
        <v>17</v>
      </c>
    </row>
    <row r="184" spans="1:11" ht="15.75" thickBot="1" x14ac:dyDescent="0.3">
      <c r="A184" s="3">
        <f>A183+1</f>
        <v>181</v>
      </c>
      <c r="B184" s="4" t="str">
        <f t="shared" si="54"/>
        <v>4</v>
      </c>
      <c r="C184" s="4">
        <f>VLOOKUP(I184,league_id,2,FALSE)</f>
        <v>1</v>
      </c>
      <c r="D184" s="4">
        <f t="shared" ref="D184:D185" si="71">VLOOKUP(H184,slot_compat,3,FALSE)</f>
        <v>2</v>
      </c>
      <c r="E184" s="4"/>
      <c r="F184" s="5">
        <v>43920.75</v>
      </c>
      <c r="G184" s="4">
        <f t="shared" si="55"/>
        <v>120</v>
      </c>
      <c r="H184" s="4" t="s">
        <v>7</v>
      </c>
      <c r="I184" s="4" t="s">
        <v>7</v>
      </c>
      <c r="J184" s="4">
        <f t="shared" si="66"/>
        <v>2</v>
      </c>
      <c r="K184" s="4">
        <f>HOUR(F184)</f>
        <v>18</v>
      </c>
    </row>
    <row r="185" spans="1:11" ht="15.75" thickBot="1" x14ac:dyDescent="0.3">
      <c r="A185" s="3">
        <f>A184+1</f>
        <v>182</v>
      </c>
      <c r="B185" s="4" t="str">
        <f t="shared" si="54"/>
        <v>3</v>
      </c>
      <c r="C185" s="4">
        <f t="shared" ref="C185:C189" si="72">VLOOKUP(I185,league_id,2,FALSE)</f>
        <v>2</v>
      </c>
      <c r="D185" s="4" t="str">
        <f t="shared" si="71"/>
        <v>1,3</v>
      </c>
      <c r="E185" s="4"/>
      <c r="F185" s="5">
        <f>F184</f>
        <v>43920.75</v>
      </c>
      <c r="G185" s="4">
        <f t="shared" si="55"/>
        <v>120</v>
      </c>
      <c r="H185" s="4" t="s">
        <v>8</v>
      </c>
      <c r="I185" s="4" t="s">
        <v>8</v>
      </c>
      <c r="J185" s="4">
        <f t="shared" si="66"/>
        <v>2</v>
      </c>
      <c r="K185" s="4">
        <f>HOUR(F185)</f>
        <v>18</v>
      </c>
    </row>
    <row r="186" spans="1:11" ht="15.75" thickBot="1" x14ac:dyDescent="0.3">
      <c r="A186" s="3">
        <f t="shared" ref="A186:A189" si="73">A185+1</f>
        <v>183</v>
      </c>
      <c r="B186" s="4" t="str">
        <f t="shared" si="54"/>
        <v>2</v>
      </c>
      <c r="C186" s="4">
        <f t="shared" si="72"/>
        <v>4</v>
      </c>
      <c r="D186" s="4">
        <v>5</v>
      </c>
      <c r="E186" s="4"/>
      <c r="F186" s="5">
        <f>F184</f>
        <v>43920.75</v>
      </c>
      <c r="G186" s="4">
        <f t="shared" si="55"/>
        <v>105</v>
      </c>
      <c r="H186" s="4" t="s">
        <v>9</v>
      </c>
      <c r="I186" s="4" t="s">
        <v>12</v>
      </c>
      <c r="J186" s="4">
        <f t="shared" si="66"/>
        <v>2</v>
      </c>
      <c r="K186" s="4">
        <f>HOUR(F186)</f>
        <v>18</v>
      </c>
    </row>
    <row r="187" spans="1:11" ht="15.75" thickBot="1" x14ac:dyDescent="0.3">
      <c r="A187" s="3">
        <f t="shared" si="73"/>
        <v>184</v>
      </c>
      <c r="B187" s="4" t="str">
        <f t="shared" si="54"/>
        <v>1</v>
      </c>
      <c r="C187" s="4">
        <f t="shared" si="72"/>
        <v>5</v>
      </c>
      <c r="D187" s="4"/>
      <c r="E187" s="4"/>
      <c r="F187" s="5">
        <f>F184</f>
        <v>43920.75</v>
      </c>
      <c r="G187" s="4">
        <f t="shared" si="55"/>
        <v>90</v>
      </c>
      <c r="H187" s="4" t="s">
        <v>15</v>
      </c>
      <c r="I187" s="4" t="s">
        <v>10</v>
      </c>
      <c r="J187" s="4">
        <f t="shared" si="66"/>
        <v>2</v>
      </c>
      <c r="K187" s="4">
        <f>HOUR(F187)</f>
        <v>18</v>
      </c>
    </row>
    <row r="188" spans="1:11" ht="15.75" thickBot="1" x14ac:dyDescent="0.3">
      <c r="A188" s="3">
        <f t="shared" si="73"/>
        <v>185</v>
      </c>
      <c r="B188" s="4" t="str">
        <f t="shared" si="54"/>
        <v>5</v>
      </c>
      <c r="C188" s="4">
        <f t="shared" si="72"/>
        <v>5</v>
      </c>
      <c r="D188" s="4"/>
      <c r="E188" s="4"/>
      <c r="F188" s="5">
        <f>F184</f>
        <v>43920.75</v>
      </c>
      <c r="G188" s="4">
        <f t="shared" si="55"/>
        <v>90</v>
      </c>
      <c r="H188" s="4" t="s">
        <v>16</v>
      </c>
      <c r="I188" s="4" t="s">
        <v>10</v>
      </c>
      <c r="J188" s="4">
        <f t="shared" si="66"/>
        <v>2</v>
      </c>
      <c r="K188" s="4">
        <f>HOUR(F188)</f>
        <v>18</v>
      </c>
    </row>
    <row r="189" spans="1:11" ht="15.75" thickBot="1" x14ac:dyDescent="0.3">
      <c r="A189" s="3">
        <f t="shared" si="73"/>
        <v>186</v>
      </c>
      <c r="B189" s="4" t="str">
        <f t="shared" si="54"/>
        <v>6</v>
      </c>
      <c r="C189" s="4">
        <f t="shared" si="72"/>
        <v>3</v>
      </c>
      <c r="D189" s="4" t="s">
        <v>55</v>
      </c>
      <c r="E189" s="4"/>
      <c r="F189" s="5">
        <f>F184</f>
        <v>43920.75</v>
      </c>
      <c r="G189" s="4">
        <f t="shared" si="55"/>
        <v>105</v>
      </c>
      <c r="H189" s="4" t="s">
        <v>17</v>
      </c>
      <c r="I189" s="4" t="s">
        <v>11</v>
      </c>
      <c r="J189" s="4">
        <f t="shared" si="66"/>
        <v>2</v>
      </c>
      <c r="K189" s="4">
        <f>HOUR(F189)</f>
        <v>18</v>
      </c>
    </row>
    <row r="190" spans="1:11" ht="15.75" thickBot="1" x14ac:dyDescent="0.3">
      <c r="A190" s="3">
        <f>A189+1</f>
        <v>187</v>
      </c>
      <c r="B190" s="4" t="str">
        <f t="shared" si="54"/>
        <v>4</v>
      </c>
      <c r="C190" s="4">
        <f>VLOOKUP(I190,league_id,2,FALSE)</f>
        <v>1</v>
      </c>
      <c r="D190" s="4">
        <f t="shared" ref="D190:D191" si="74">VLOOKUP(H190,slot_compat,3,FALSE)</f>
        <v>2</v>
      </c>
      <c r="E190" s="4"/>
      <c r="F190" s="5">
        <v>43921.75</v>
      </c>
      <c r="G190" s="4">
        <f t="shared" si="55"/>
        <v>120</v>
      </c>
      <c r="H190" s="4" t="s">
        <v>7</v>
      </c>
      <c r="I190" s="4" t="s">
        <v>7</v>
      </c>
      <c r="J190" s="4">
        <f t="shared" si="66"/>
        <v>3</v>
      </c>
      <c r="K190" s="4">
        <f>HOUR(F190)</f>
        <v>18</v>
      </c>
    </row>
    <row r="191" spans="1:11" ht="15.75" thickBot="1" x14ac:dyDescent="0.3">
      <c r="A191" s="3">
        <f>A190+1</f>
        <v>188</v>
      </c>
      <c r="B191" s="4" t="str">
        <f t="shared" si="54"/>
        <v>3</v>
      </c>
      <c r="C191" s="4">
        <f t="shared" ref="C191:C195" si="75">VLOOKUP(I191,league_id,2,FALSE)</f>
        <v>2</v>
      </c>
      <c r="D191" s="4" t="str">
        <f t="shared" si="74"/>
        <v>1,3</v>
      </c>
      <c r="E191" s="4"/>
      <c r="F191" s="5">
        <f>F190</f>
        <v>43921.75</v>
      </c>
      <c r="G191" s="4">
        <f t="shared" si="55"/>
        <v>120</v>
      </c>
      <c r="H191" s="4" t="s">
        <v>8</v>
      </c>
      <c r="I191" s="4" t="s">
        <v>8</v>
      </c>
      <c r="J191" s="4">
        <f t="shared" si="66"/>
        <v>3</v>
      </c>
      <c r="K191" s="4">
        <f>HOUR(F191)</f>
        <v>18</v>
      </c>
    </row>
    <row r="192" spans="1:11" ht="15.75" thickBot="1" x14ac:dyDescent="0.3">
      <c r="A192" s="3">
        <f t="shared" ref="A192:A195" si="76">A191+1</f>
        <v>189</v>
      </c>
      <c r="B192" s="4" t="str">
        <f t="shared" si="54"/>
        <v>2</v>
      </c>
      <c r="C192" s="4">
        <f t="shared" si="75"/>
        <v>4</v>
      </c>
      <c r="D192" s="4">
        <v>5</v>
      </c>
      <c r="E192" s="4"/>
      <c r="F192" s="5">
        <f>F190</f>
        <v>43921.75</v>
      </c>
      <c r="G192" s="4">
        <f t="shared" si="55"/>
        <v>105</v>
      </c>
      <c r="H192" s="4" t="s">
        <v>9</v>
      </c>
      <c r="I192" s="4" t="s">
        <v>12</v>
      </c>
      <c r="J192" s="4">
        <f t="shared" si="66"/>
        <v>3</v>
      </c>
      <c r="K192" s="4">
        <f>HOUR(F192)</f>
        <v>18</v>
      </c>
    </row>
    <row r="193" spans="1:11" ht="15.75" thickBot="1" x14ac:dyDescent="0.3">
      <c r="A193" s="3">
        <f t="shared" si="76"/>
        <v>190</v>
      </c>
      <c r="B193" s="4" t="str">
        <f t="shared" si="54"/>
        <v>1</v>
      </c>
      <c r="C193" s="4">
        <f t="shared" si="75"/>
        <v>5</v>
      </c>
      <c r="D193" s="4"/>
      <c r="E193" s="4"/>
      <c r="F193" s="5">
        <f>F190</f>
        <v>43921.75</v>
      </c>
      <c r="G193" s="4">
        <f t="shared" si="55"/>
        <v>90</v>
      </c>
      <c r="H193" s="4" t="s">
        <v>15</v>
      </c>
      <c r="I193" s="4" t="s">
        <v>10</v>
      </c>
      <c r="J193" s="4">
        <f t="shared" si="66"/>
        <v>3</v>
      </c>
      <c r="K193" s="4">
        <f>HOUR(F193)</f>
        <v>18</v>
      </c>
    </row>
    <row r="194" spans="1:11" ht="15.75" thickBot="1" x14ac:dyDescent="0.3">
      <c r="A194" s="3">
        <f t="shared" si="76"/>
        <v>191</v>
      </c>
      <c r="B194" s="4" t="str">
        <f t="shared" ref="B194:B257" si="77">VLOOKUP(H194,field_id,2,FALSE)</f>
        <v>5</v>
      </c>
      <c r="C194" s="4">
        <f t="shared" si="75"/>
        <v>5</v>
      </c>
      <c r="D194" s="4"/>
      <c r="E194" s="4"/>
      <c r="F194" s="5">
        <f>F190</f>
        <v>43921.75</v>
      </c>
      <c r="G194" s="4">
        <f t="shared" ref="G194:G257" si="78">VLOOKUP(I194,GameDuration,2,FALSE)</f>
        <v>90</v>
      </c>
      <c r="H194" s="4" t="s">
        <v>16</v>
      </c>
      <c r="I194" s="4" t="s">
        <v>10</v>
      </c>
      <c r="J194" s="4">
        <f t="shared" si="66"/>
        <v>3</v>
      </c>
      <c r="K194" s="4">
        <f>HOUR(F194)</f>
        <v>18</v>
      </c>
    </row>
    <row r="195" spans="1:11" ht="15.75" thickBot="1" x14ac:dyDescent="0.3">
      <c r="A195" s="3">
        <f t="shared" si="76"/>
        <v>192</v>
      </c>
      <c r="B195" s="4" t="str">
        <f t="shared" si="77"/>
        <v>6</v>
      </c>
      <c r="C195" s="4">
        <f t="shared" si="75"/>
        <v>3</v>
      </c>
      <c r="D195" s="4" t="s">
        <v>55</v>
      </c>
      <c r="E195" s="4"/>
      <c r="F195" s="5">
        <f>F190</f>
        <v>43921.75</v>
      </c>
      <c r="G195" s="4">
        <f t="shared" si="78"/>
        <v>105</v>
      </c>
      <c r="H195" s="4" t="s">
        <v>17</v>
      </c>
      <c r="I195" s="4" t="s">
        <v>11</v>
      </c>
      <c r="J195" s="4">
        <f t="shared" si="66"/>
        <v>3</v>
      </c>
      <c r="K195" s="4">
        <f>HOUR(F195)</f>
        <v>18</v>
      </c>
    </row>
    <row r="196" spans="1:11" ht="15.75" thickBot="1" x14ac:dyDescent="0.3">
      <c r="A196" s="3">
        <f>A195+1</f>
        <v>193</v>
      </c>
      <c r="B196" s="4" t="str">
        <f t="shared" si="77"/>
        <v>4</v>
      </c>
      <c r="C196" s="4">
        <f>VLOOKUP(I196,league_id,2,FALSE)</f>
        <v>1</v>
      </c>
      <c r="D196" s="4">
        <f t="shared" ref="D196:D197" si="79">VLOOKUP(H196,slot_compat,3,FALSE)</f>
        <v>2</v>
      </c>
      <c r="E196" s="4"/>
      <c r="F196" s="5">
        <v>43922.75</v>
      </c>
      <c r="G196" s="4">
        <f t="shared" si="78"/>
        <v>120</v>
      </c>
      <c r="H196" s="4" t="s">
        <v>7</v>
      </c>
      <c r="I196" s="4" t="s">
        <v>7</v>
      </c>
      <c r="J196" s="4">
        <f t="shared" si="66"/>
        <v>4</v>
      </c>
      <c r="K196" s="4">
        <f>HOUR(F196)</f>
        <v>18</v>
      </c>
    </row>
    <row r="197" spans="1:11" ht="15.75" thickBot="1" x14ac:dyDescent="0.3">
      <c r="A197" s="3">
        <f>A196+1</f>
        <v>194</v>
      </c>
      <c r="B197" s="4" t="str">
        <f t="shared" si="77"/>
        <v>3</v>
      </c>
      <c r="C197" s="4">
        <f t="shared" ref="C197:C201" si="80">VLOOKUP(I197,league_id,2,FALSE)</f>
        <v>2</v>
      </c>
      <c r="D197" s="4" t="str">
        <f t="shared" si="79"/>
        <v>1,3</v>
      </c>
      <c r="E197" s="4"/>
      <c r="F197" s="5">
        <f>F196</f>
        <v>43922.75</v>
      </c>
      <c r="G197" s="4">
        <f t="shared" si="78"/>
        <v>120</v>
      </c>
      <c r="H197" s="4" t="s">
        <v>8</v>
      </c>
      <c r="I197" s="4" t="s">
        <v>8</v>
      </c>
      <c r="J197" s="4">
        <f t="shared" si="66"/>
        <v>4</v>
      </c>
      <c r="K197" s="4">
        <f>HOUR(F197)</f>
        <v>18</v>
      </c>
    </row>
    <row r="198" spans="1:11" ht="15.75" thickBot="1" x14ac:dyDescent="0.3">
      <c r="A198" s="3">
        <f t="shared" ref="A198:A201" si="81">A197+1</f>
        <v>195</v>
      </c>
      <c r="B198" s="4" t="str">
        <f t="shared" si="77"/>
        <v>2</v>
      </c>
      <c r="C198" s="4">
        <f t="shared" si="80"/>
        <v>4</v>
      </c>
      <c r="D198" s="4">
        <v>5</v>
      </c>
      <c r="E198" s="4"/>
      <c r="F198" s="5">
        <f>F196</f>
        <v>43922.75</v>
      </c>
      <c r="G198" s="4">
        <f t="shared" si="78"/>
        <v>105</v>
      </c>
      <c r="H198" s="4" t="s">
        <v>9</v>
      </c>
      <c r="I198" s="4" t="s">
        <v>12</v>
      </c>
      <c r="J198" s="4">
        <f t="shared" si="66"/>
        <v>4</v>
      </c>
      <c r="K198" s="4">
        <f>HOUR(F198)</f>
        <v>18</v>
      </c>
    </row>
    <row r="199" spans="1:11" ht="15.75" thickBot="1" x14ac:dyDescent="0.3">
      <c r="A199" s="3">
        <f t="shared" si="81"/>
        <v>196</v>
      </c>
      <c r="B199" s="4" t="str">
        <f t="shared" si="77"/>
        <v>1</v>
      </c>
      <c r="C199" s="4">
        <f t="shared" si="80"/>
        <v>5</v>
      </c>
      <c r="D199" s="4"/>
      <c r="E199" s="4"/>
      <c r="F199" s="5">
        <f>F196</f>
        <v>43922.75</v>
      </c>
      <c r="G199" s="4">
        <f t="shared" si="78"/>
        <v>90</v>
      </c>
      <c r="H199" s="4" t="s">
        <v>15</v>
      </c>
      <c r="I199" s="4" t="s">
        <v>10</v>
      </c>
      <c r="J199" s="4">
        <f t="shared" si="66"/>
        <v>4</v>
      </c>
      <c r="K199" s="4">
        <f>HOUR(F199)</f>
        <v>18</v>
      </c>
    </row>
    <row r="200" spans="1:11" ht="15.75" thickBot="1" x14ac:dyDescent="0.3">
      <c r="A200" s="3">
        <f t="shared" si="81"/>
        <v>197</v>
      </c>
      <c r="B200" s="4" t="str">
        <f t="shared" si="77"/>
        <v>5</v>
      </c>
      <c r="C200" s="4">
        <f t="shared" si="80"/>
        <v>5</v>
      </c>
      <c r="D200" s="4"/>
      <c r="E200" s="4"/>
      <c r="F200" s="5">
        <f>F196</f>
        <v>43922.75</v>
      </c>
      <c r="G200" s="4">
        <f t="shared" si="78"/>
        <v>90</v>
      </c>
      <c r="H200" s="4" t="s">
        <v>16</v>
      </c>
      <c r="I200" s="4" t="s">
        <v>10</v>
      </c>
      <c r="J200" s="4">
        <f t="shared" si="66"/>
        <v>4</v>
      </c>
      <c r="K200" s="4">
        <f>HOUR(F200)</f>
        <v>18</v>
      </c>
    </row>
    <row r="201" spans="1:11" ht="15.75" thickBot="1" x14ac:dyDescent="0.3">
      <c r="A201" s="3">
        <f t="shared" si="81"/>
        <v>198</v>
      </c>
      <c r="B201" s="4" t="str">
        <f t="shared" si="77"/>
        <v>6</v>
      </c>
      <c r="C201" s="4">
        <f t="shared" si="80"/>
        <v>3</v>
      </c>
      <c r="D201" s="4" t="s">
        <v>55</v>
      </c>
      <c r="E201" s="4"/>
      <c r="F201" s="5">
        <f>F196</f>
        <v>43922.75</v>
      </c>
      <c r="G201" s="4">
        <f t="shared" si="78"/>
        <v>105</v>
      </c>
      <c r="H201" s="4" t="s">
        <v>17</v>
      </c>
      <c r="I201" s="4" t="s">
        <v>11</v>
      </c>
      <c r="J201" s="4">
        <f t="shared" si="66"/>
        <v>4</v>
      </c>
      <c r="K201" s="4">
        <f>HOUR(F201)</f>
        <v>18</v>
      </c>
    </row>
    <row r="202" spans="1:11" ht="15.75" thickBot="1" x14ac:dyDescent="0.3">
      <c r="A202" s="3">
        <f>A201+1</f>
        <v>199</v>
      </c>
      <c r="B202" s="4" t="str">
        <f t="shared" si="77"/>
        <v>4</v>
      </c>
      <c r="C202" s="4">
        <f>VLOOKUP(I202,league_id,2,FALSE)</f>
        <v>1</v>
      </c>
      <c r="D202" s="4">
        <f t="shared" ref="D202:D203" si="82">VLOOKUP(H202,slot_compat,3,FALSE)</f>
        <v>2</v>
      </c>
      <c r="E202" s="4"/>
      <c r="F202" s="5">
        <v>43923.75</v>
      </c>
      <c r="G202" s="4">
        <f t="shared" si="78"/>
        <v>120</v>
      </c>
      <c r="H202" s="4" t="s">
        <v>7</v>
      </c>
      <c r="I202" s="4" t="s">
        <v>7</v>
      </c>
      <c r="J202" s="4">
        <f t="shared" si="66"/>
        <v>5</v>
      </c>
      <c r="K202" s="4">
        <f>HOUR(F202)</f>
        <v>18</v>
      </c>
    </row>
    <row r="203" spans="1:11" ht="15.75" thickBot="1" x14ac:dyDescent="0.3">
      <c r="A203" s="3">
        <f>A202+1</f>
        <v>200</v>
      </c>
      <c r="B203" s="4" t="str">
        <f t="shared" si="77"/>
        <v>3</v>
      </c>
      <c r="C203" s="4">
        <f t="shared" ref="C203:C266" si="83">VLOOKUP(I203,league_id,2,FALSE)</f>
        <v>2</v>
      </c>
      <c r="D203" s="4" t="str">
        <f t="shared" si="82"/>
        <v>1,3</v>
      </c>
      <c r="E203" s="4"/>
      <c r="F203" s="5">
        <f>F202</f>
        <v>43923.75</v>
      </c>
      <c r="G203" s="4">
        <f t="shared" si="78"/>
        <v>120</v>
      </c>
      <c r="H203" s="4" t="s">
        <v>8</v>
      </c>
      <c r="I203" s="4" t="s">
        <v>8</v>
      </c>
      <c r="J203" s="4">
        <f t="shared" si="66"/>
        <v>5</v>
      </c>
      <c r="K203" s="4">
        <f>HOUR(F203)</f>
        <v>18</v>
      </c>
    </row>
    <row r="204" spans="1:11" ht="15.75" thickBot="1" x14ac:dyDescent="0.3">
      <c r="A204" s="3">
        <f t="shared" ref="A204:A207" si="84">A203+1</f>
        <v>201</v>
      </c>
      <c r="B204" s="4" t="str">
        <f t="shared" si="77"/>
        <v>2</v>
      </c>
      <c r="C204" s="4">
        <f t="shared" si="83"/>
        <v>4</v>
      </c>
      <c r="D204" s="4">
        <v>5</v>
      </c>
      <c r="E204" s="4"/>
      <c r="F204" s="5">
        <f>F202</f>
        <v>43923.75</v>
      </c>
      <c r="G204" s="4">
        <f t="shared" si="78"/>
        <v>105</v>
      </c>
      <c r="H204" s="4" t="s">
        <v>9</v>
      </c>
      <c r="I204" s="4" t="s">
        <v>12</v>
      </c>
      <c r="J204" s="4">
        <f t="shared" si="66"/>
        <v>5</v>
      </c>
      <c r="K204" s="4">
        <f>HOUR(F204)</f>
        <v>18</v>
      </c>
    </row>
    <row r="205" spans="1:11" ht="15.75" thickBot="1" x14ac:dyDescent="0.3">
      <c r="A205" s="3">
        <f t="shared" si="84"/>
        <v>202</v>
      </c>
      <c r="B205" s="4" t="str">
        <f t="shared" si="77"/>
        <v>1</v>
      </c>
      <c r="C205" s="4">
        <f t="shared" si="83"/>
        <v>5</v>
      </c>
      <c r="D205" s="4"/>
      <c r="E205" s="4"/>
      <c r="F205" s="5">
        <f>F202</f>
        <v>43923.75</v>
      </c>
      <c r="G205" s="4">
        <f t="shared" si="78"/>
        <v>90</v>
      </c>
      <c r="H205" s="4" t="s">
        <v>15</v>
      </c>
      <c r="I205" s="4" t="s">
        <v>10</v>
      </c>
      <c r="J205" s="4">
        <f t="shared" si="66"/>
        <v>5</v>
      </c>
      <c r="K205" s="4">
        <f>HOUR(F205)</f>
        <v>18</v>
      </c>
    </row>
    <row r="206" spans="1:11" ht="15.75" thickBot="1" x14ac:dyDescent="0.3">
      <c r="A206" s="3">
        <f t="shared" si="84"/>
        <v>203</v>
      </c>
      <c r="B206" s="4" t="str">
        <f t="shared" si="77"/>
        <v>5</v>
      </c>
      <c r="C206" s="4">
        <f t="shared" si="83"/>
        <v>5</v>
      </c>
      <c r="D206" s="4"/>
      <c r="E206" s="4"/>
      <c r="F206" s="5">
        <f>F202</f>
        <v>43923.75</v>
      </c>
      <c r="G206" s="4">
        <f t="shared" si="78"/>
        <v>90</v>
      </c>
      <c r="H206" s="4" t="s">
        <v>16</v>
      </c>
      <c r="I206" s="4" t="s">
        <v>10</v>
      </c>
      <c r="J206" s="4">
        <f t="shared" si="66"/>
        <v>5</v>
      </c>
      <c r="K206" s="4">
        <f>HOUR(F206)</f>
        <v>18</v>
      </c>
    </row>
    <row r="207" spans="1:11" ht="15.75" thickBot="1" x14ac:dyDescent="0.3">
      <c r="A207" s="3">
        <f t="shared" si="84"/>
        <v>204</v>
      </c>
      <c r="B207" s="4" t="str">
        <f t="shared" si="77"/>
        <v>6</v>
      </c>
      <c r="C207" s="4">
        <f t="shared" si="83"/>
        <v>3</v>
      </c>
      <c r="D207" s="4" t="s">
        <v>55</v>
      </c>
      <c r="E207" s="4"/>
      <c r="F207" s="5">
        <f>F202</f>
        <v>43923.75</v>
      </c>
      <c r="G207" s="4">
        <f t="shared" si="78"/>
        <v>105</v>
      </c>
      <c r="H207" s="4" t="s">
        <v>17</v>
      </c>
      <c r="I207" s="4" t="s">
        <v>11</v>
      </c>
      <c r="J207" s="4">
        <f t="shared" si="66"/>
        <v>5</v>
      </c>
      <c r="K207" s="4">
        <f>HOUR(F207)</f>
        <v>18</v>
      </c>
    </row>
    <row r="208" spans="1:11" ht="15.75" thickBot="1" x14ac:dyDescent="0.3">
      <c r="A208" s="3">
        <f>A207+1</f>
        <v>205</v>
      </c>
      <c r="B208" s="4" t="str">
        <f t="shared" si="77"/>
        <v>4</v>
      </c>
      <c r="C208" s="4">
        <f t="shared" si="83"/>
        <v>1</v>
      </c>
      <c r="D208" s="4">
        <f t="shared" ref="D208:D217" si="85">VLOOKUP(H208,slot_compat,3,FALSE)</f>
        <v>2</v>
      </c>
      <c r="E208" s="4"/>
      <c r="F208" s="5">
        <v>43924.75</v>
      </c>
      <c r="G208" s="4">
        <f t="shared" si="78"/>
        <v>120</v>
      </c>
      <c r="H208" s="4" t="s">
        <v>7</v>
      </c>
      <c r="I208" s="4" t="s">
        <v>7</v>
      </c>
      <c r="J208" s="4">
        <f t="shared" si="66"/>
        <v>6</v>
      </c>
      <c r="K208" s="4">
        <f>HOUR(F208)</f>
        <v>18</v>
      </c>
    </row>
    <row r="209" spans="1:11" ht="15.75" thickBot="1" x14ac:dyDescent="0.3">
      <c r="A209" s="7">
        <f>A208+1</f>
        <v>206</v>
      </c>
      <c r="B209" s="8" t="str">
        <f t="shared" si="77"/>
        <v>4</v>
      </c>
      <c r="C209" s="8">
        <f t="shared" si="83"/>
        <v>1</v>
      </c>
      <c r="D209" s="8">
        <f t="shared" si="85"/>
        <v>2</v>
      </c>
      <c r="E209" s="8"/>
      <c r="F209" s="9">
        <f>F208+G208/60/24</f>
        <v>43924.833333333336</v>
      </c>
      <c r="G209" s="8">
        <f t="shared" si="78"/>
        <v>120</v>
      </c>
      <c r="H209" s="8" t="s">
        <v>7</v>
      </c>
      <c r="I209" s="8" t="s">
        <v>7</v>
      </c>
      <c r="J209" s="8">
        <f t="shared" si="66"/>
        <v>6</v>
      </c>
      <c r="K209" s="4">
        <f>HOUR(F209)</f>
        <v>20</v>
      </c>
    </row>
    <row r="210" spans="1:11" ht="15.75" thickBot="1" x14ac:dyDescent="0.3">
      <c r="A210" s="3">
        <f>A209+1</f>
        <v>207</v>
      </c>
      <c r="B210" s="4" t="str">
        <f t="shared" si="77"/>
        <v>3</v>
      </c>
      <c r="C210" s="4">
        <f t="shared" si="83"/>
        <v>2</v>
      </c>
      <c r="D210" s="4" t="str">
        <f t="shared" si="85"/>
        <v>1,3</v>
      </c>
      <c r="E210" s="4"/>
      <c r="F210" s="5">
        <f>F208</f>
        <v>43924.75</v>
      </c>
      <c r="G210" s="4">
        <f t="shared" si="78"/>
        <v>120</v>
      </c>
      <c r="H210" s="4" t="s">
        <v>8</v>
      </c>
      <c r="I210" s="4" t="s">
        <v>8</v>
      </c>
      <c r="J210" s="4">
        <f t="shared" si="66"/>
        <v>6</v>
      </c>
      <c r="K210" s="4">
        <f>HOUR(F210)</f>
        <v>18</v>
      </c>
    </row>
    <row r="211" spans="1:11" ht="15.75" thickBot="1" x14ac:dyDescent="0.3">
      <c r="A211" s="7">
        <f t="shared" ref="A211:A219" si="86">A210+1</f>
        <v>208</v>
      </c>
      <c r="B211" s="8" t="str">
        <f t="shared" si="77"/>
        <v>3</v>
      </c>
      <c r="C211" s="8">
        <f t="shared" si="83"/>
        <v>2</v>
      </c>
      <c r="D211" s="8" t="str">
        <f t="shared" si="85"/>
        <v>1,3</v>
      </c>
      <c r="E211" s="8"/>
      <c r="F211" s="9">
        <f>F210+G210/60/24</f>
        <v>43924.833333333336</v>
      </c>
      <c r="G211" s="8">
        <f t="shared" si="78"/>
        <v>120</v>
      </c>
      <c r="H211" s="8" t="s">
        <v>8</v>
      </c>
      <c r="I211" s="8" t="s">
        <v>8</v>
      </c>
      <c r="J211" s="8">
        <f t="shared" si="66"/>
        <v>6</v>
      </c>
      <c r="K211" s="4">
        <f>HOUR(F211)</f>
        <v>20</v>
      </c>
    </row>
    <row r="212" spans="1:11" ht="15.75" thickBot="1" x14ac:dyDescent="0.3">
      <c r="A212" s="3">
        <f>A211+1</f>
        <v>209</v>
      </c>
      <c r="B212" s="4" t="str">
        <f t="shared" si="77"/>
        <v>2</v>
      </c>
      <c r="C212" s="4">
        <f t="shared" si="83"/>
        <v>4</v>
      </c>
      <c r="D212" s="4">
        <v>5</v>
      </c>
      <c r="E212" s="4"/>
      <c r="F212" s="5">
        <f>F208</f>
        <v>43924.75</v>
      </c>
      <c r="G212" s="4">
        <f t="shared" si="78"/>
        <v>105</v>
      </c>
      <c r="H212" s="4" t="s">
        <v>9</v>
      </c>
      <c r="I212" s="4" t="s">
        <v>12</v>
      </c>
      <c r="J212" s="4">
        <f t="shared" si="66"/>
        <v>6</v>
      </c>
      <c r="K212" s="4">
        <f>HOUR(F212)</f>
        <v>18</v>
      </c>
    </row>
    <row r="213" spans="1:11" ht="15.75" thickBot="1" x14ac:dyDescent="0.3">
      <c r="A213" s="7">
        <f t="shared" si="86"/>
        <v>210</v>
      </c>
      <c r="B213" s="8" t="str">
        <f t="shared" si="77"/>
        <v>2</v>
      </c>
      <c r="C213" s="8">
        <f t="shared" si="83"/>
        <v>4</v>
      </c>
      <c r="D213" s="8">
        <v>5</v>
      </c>
      <c r="E213" s="8"/>
      <c r="F213" s="9">
        <f>F212+G212/60/24</f>
        <v>43924.822916666664</v>
      </c>
      <c r="G213" s="8">
        <f t="shared" si="78"/>
        <v>105</v>
      </c>
      <c r="H213" s="8" t="s">
        <v>9</v>
      </c>
      <c r="I213" s="8" t="s">
        <v>12</v>
      </c>
      <c r="J213" s="8">
        <f t="shared" si="66"/>
        <v>6</v>
      </c>
      <c r="K213" s="4">
        <f>HOUR(F213)</f>
        <v>19</v>
      </c>
    </row>
    <row r="214" spans="1:11" ht="15.75" thickBot="1" x14ac:dyDescent="0.3">
      <c r="A214" s="3">
        <f>A213+1</f>
        <v>211</v>
      </c>
      <c r="B214" s="4" t="str">
        <f t="shared" si="77"/>
        <v>1</v>
      </c>
      <c r="C214" s="4">
        <f t="shared" si="83"/>
        <v>5</v>
      </c>
      <c r="D214" s="4"/>
      <c r="E214" s="4"/>
      <c r="F214" s="5">
        <f>F208</f>
        <v>43924.75</v>
      </c>
      <c r="G214" s="4">
        <f t="shared" si="78"/>
        <v>90</v>
      </c>
      <c r="H214" s="4" t="s">
        <v>15</v>
      </c>
      <c r="I214" s="4" t="s">
        <v>10</v>
      </c>
      <c r="J214" s="4">
        <f t="shared" si="66"/>
        <v>6</v>
      </c>
      <c r="K214" s="4">
        <f>HOUR(F214)</f>
        <v>18</v>
      </c>
    </row>
    <row r="215" spans="1:11" ht="15.75" thickBot="1" x14ac:dyDescent="0.3">
      <c r="A215" s="7">
        <f t="shared" si="86"/>
        <v>212</v>
      </c>
      <c r="B215" s="8" t="str">
        <f t="shared" si="77"/>
        <v>1</v>
      </c>
      <c r="C215" s="8">
        <f t="shared" si="83"/>
        <v>5</v>
      </c>
      <c r="D215" s="8"/>
      <c r="E215" s="8"/>
      <c r="F215" s="9">
        <f>F214+G214/60/24</f>
        <v>43924.8125</v>
      </c>
      <c r="G215" s="8">
        <f t="shared" si="78"/>
        <v>90</v>
      </c>
      <c r="H215" s="8" t="s">
        <v>15</v>
      </c>
      <c r="I215" s="8" t="s">
        <v>10</v>
      </c>
      <c r="J215" s="8">
        <f t="shared" si="66"/>
        <v>6</v>
      </c>
      <c r="K215" s="4">
        <f>HOUR(F215)</f>
        <v>19</v>
      </c>
    </row>
    <row r="216" spans="1:11" ht="15.75" thickBot="1" x14ac:dyDescent="0.3">
      <c r="A216" s="3">
        <f>A215+1</f>
        <v>213</v>
      </c>
      <c r="B216" s="4" t="str">
        <f t="shared" si="77"/>
        <v>5</v>
      </c>
      <c r="C216" s="4">
        <f t="shared" si="83"/>
        <v>5</v>
      </c>
      <c r="D216" s="4"/>
      <c r="E216" s="4"/>
      <c r="F216" s="5">
        <f>F208</f>
        <v>43924.75</v>
      </c>
      <c r="G216" s="4">
        <f t="shared" si="78"/>
        <v>90</v>
      </c>
      <c r="H216" s="4" t="s">
        <v>16</v>
      </c>
      <c r="I216" s="4" t="s">
        <v>10</v>
      </c>
      <c r="J216" s="4">
        <f t="shared" si="66"/>
        <v>6</v>
      </c>
      <c r="K216" s="4">
        <f>HOUR(F216)</f>
        <v>18</v>
      </c>
    </row>
    <row r="217" spans="1:11" ht="15.75" thickBot="1" x14ac:dyDescent="0.3">
      <c r="A217" s="7">
        <f t="shared" si="86"/>
        <v>214</v>
      </c>
      <c r="B217" s="8" t="str">
        <f t="shared" si="77"/>
        <v>5</v>
      </c>
      <c r="C217" s="8">
        <f t="shared" si="83"/>
        <v>4</v>
      </c>
      <c r="D217" s="8">
        <f t="shared" si="85"/>
        <v>5</v>
      </c>
      <c r="E217" s="8"/>
      <c r="F217" s="9">
        <f>F216+G216/60/24</f>
        <v>43924.8125</v>
      </c>
      <c r="G217" s="8">
        <f t="shared" si="78"/>
        <v>105</v>
      </c>
      <c r="H217" s="8" t="s">
        <v>16</v>
      </c>
      <c r="I217" s="8" t="s">
        <v>12</v>
      </c>
      <c r="J217" s="8">
        <f t="shared" si="66"/>
        <v>6</v>
      </c>
      <c r="K217" s="4">
        <f>HOUR(F217)</f>
        <v>19</v>
      </c>
    </row>
    <row r="218" spans="1:11" ht="15.75" thickBot="1" x14ac:dyDescent="0.3">
      <c r="A218" s="3">
        <f>A217+1</f>
        <v>215</v>
      </c>
      <c r="B218" s="4" t="str">
        <f t="shared" si="77"/>
        <v>6</v>
      </c>
      <c r="C218" s="4">
        <f t="shared" si="83"/>
        <v>3</v>
      </c>
      <c r="D218" s="4" t="s">
        <v>55</v>
      </c>
      <c r="E218" s="4"/>
      <c r="F218" s="5">
        <f>F208</f>
        <v>43924.75</v>
      </c>
      <c r="G218" s="4">
        <f t="shared" si="78"/>
        <v>105</v>
      </c>
      <c r="H218" s="4" t="s">
        <v>17</v>
      </c>
      <c r="I218" s="4" t="s">
        <v>11</v>
      </c>
      <c r="J218" s="4">
        <f t="shared" si="66"/>
        <v>6</v>
      </c>
      <c r="K218" s="4">
        <f>HOUR(F218)</f>
        <v>18</v>
      </c>
    </row>
    <row r="219" spans="1:11" ht="15.75" thickBot="1" x14ac:dyDescent="0.3">
      <c r="A219" s="10">
        <f t="shared" si="86"/>
        <v>216</v>
      </c>
      <c r="B219" s="11" t="str">
        <f t="shared" si="77"/>
        <v>6</v>
      </c>
      <c r="C219" s="11">
        <f t="shared" si="83"/>
        <v>3</v>
      </c>
      <c r="D219" s="11" t="s">
        <v>55</v>
      </c>
      <c r="E219" s="11"/>
      <c r="F219" s="12">
        <f>F218+G218/60/24</f>
        <v>43924.822916666664</v>
      </c>
      <c r="G219" s="11">
        <f t="shared" si="78"/>
        <v>105</v>
      </c>
      <c r="H219" s="11" t="s">
        <v>17</v>
      </c>
      <c r="I219" s="11" t="s">
        <v>11</v>
      </c>
      <c r="J219" s="11">
        <f t="shared" si="66"/>
        <v>6</v>
      </c>
      <c r="K219" s="4">
        <f>HOUR(F219)</f>
        <v>19</v>
      </c>
    </row>
    <row r="220" spans="1:11" ht="15.75" thickBot="1" x14ac:dyDescent="0.3">
      <c r="A220" s="3">
        <f>A219+1</f>
        <v>217</v>
      </c>
      <c r="B220" s="4" t="str">
        <f t="shared" si="77"/>
        <v>7</v>
      </c>
      <c r="C220" s="4">
        <f t="shared" si="83"/>
        <v>5</v>
      </c>
      <c r="D220" s="4">
        <v>6</v>
      </c>
      <c r="E220" s="4"/>
      <c r="F220" s="5">
        <f>F208</f>
        <v>43924.75</v>
      </c>
      <c r="G220" s="4">
        <f t="shared" si="78"/>
        <v>90</v>
      </c>
      <c r="H220" s="4" t="s">
        <v>18</v>
      </c>
      <c r="I220" s="4" t="s">
        <v>10</v>
      </c>
      <c r="J220" s="4">
        <f t="shared" si="66"/>
        <v>6</v>
      </c>
      <c r="K220" s="4">
        <f>HOUR(F220)</f>
        <v>18</v>
      </c>
    </row>
    <row r="221" spans="1:11" ht="15.75" thickBot="1" x14ac:dyDescent="0.3">
      <c r="A221" s="7">
        <f t="shared" ref="A221" si="87">A220+1</f>
        <v>218</v>
      </c>
      <c r="B221" s="8" t="str">
        <f t="shared" si="77"/>
        <v>7</v>
      </c>
      <c r="C221" s="8">
        <f t="shared" si="83"/>
        <v>2</v>
      </c>
      <c r="D221" s="8" t="s">
        <v>55</v>
      </c>
      <c r="E221" s="8"/>
      <c r="F221" s="9">
        <f>F220+G220/60/24</f>
        <v>43924.8125</v>
      </c>
      <c r="G221" s="8">
        <f t="shared" si="78"/>
        <v>120</v>
      </c>
      <c r="H221" s="8" t="s">
        <v>18</v>
      </c>
      <c r="I221" s="8" t="s">
        <v>8</v>
      </c>
      <c r="J221" s="8">
        <f t="shared" si="66"/>
        <v>6</v>
      </c>
      <c r="K221" s="4">
        <f>HOUR(F221)</f>
        <v>19</v>
      </c>
    </row>
    <row r="222" spans="1:11" ht="15.75" thickBot="1" x14ac:dyDescent="0.3">
      <c r="A222" s="3">
        <f>A221+1</f>
        <v>219</v>
      </c>
      <c r="B222" s="4" t="str">
        <f t="shared" si="77"/>
        <v>8</v>
      </c>
      <c r="C222" s="4">
        <f t="shared" si="83"/>
        <v>5</v>
      </c>
      <c r="D222" s="4"/>
      <c r="E222" s="4"/>
      <c r="F222" s="5">
        <f>F208</f>
        <v>43924.75</v>
      </c>
      <c r="G222" s="4">
        <f t="shared" si="78"/>
        <v>90</v>
      </c>
      <c r="H222" s="4" t="s">
        <v>19</v>
      </c>
      <c r="I222" s="4" t="s">
        <v>10</v>
      </c>
      <c r="J222" s="4">
        <f t="shared" si="66"/>
        <v>6</v>
      </c>
      <c r="K222" s="4">
        <f>HOUR(F222)</f>
        <v>18</v>
      </c>
    </row>
    <row r="223" spans="1:11" ht="15.75" thickBot="1" x14ac:dyDescent="0.3">
      <c r="A223" s="10">
        <f t="shared" ref="A223" si="88">A222+1</f>
        <v>220</v>
      </c>
      <c r="B223" s="11" t="str">
        <f t="shared" si="77"/>
        <v>8</v>
      </c>
      <c r="C223" s="11">
        <f t="shared" si="83"/>
        <v>2</v>
      </c>
      <c r="D223" s="11" t="s">
        <v>56</v>
      </c>
      <c r="E223" s="11"/>
      <c r="F223" s="12">
        <f>F222+G222/60/24</f>
        <v>43924.8125</v>
      </c>
      <c r="G223" s="11">
        <f t="shared" si="78"/>
        <v>120</v>
      </c>
      <c r="H223" s="11" t="s">
        <v>19</v>
      </c>
      <c r="I223" s="11" t="s">
        <v>8</v>
      </c>
      <c r="J223" s="11">
        <f t="shared" si="66"/>
        <v>6</v>
      </c>
      <c r="K223" s="4">
        <f>HOUR(F223)</f>
        <v>19</v>
      </c>
    </row>
    <row r="224" spans="1:11" ht="15.75" thickBot="1" x14ac:dyDescent="0.3">
      <c r="A224" s="3">
        <f>A223+1</f>
        <v>221</v>
      </c>
      <c r="B224" s="4" t="str">
        <f t="shared" si="77"/>
        <v>4</v>
      </c>
      <c r="C224" s="4">
        <f t="shared" si="83"/>
        <v>1</v>
      </c>
      <c r="D224" s="4">
        <f t="shared" ref="D224:D241" si="89">VLOOKUP(H224,slot_compat,3,FALSE)</f>
        <v>2</v>
      </c>
      <c r="E224" s="4"/>
      <c r="F224" s="5">
        <v>43925.375</v>
      </c>
      <c r="G224" s="4">
        <f t="shared" si="78"/>
        <v>120</v>
      </c>
      <c r="H224" s="4" t="s">
        <v>7</v>
      </c>
      <c r="I224" s="4" t="s">
        <v>7</v>
      </c>
      <c r="J224" s="4">
        <f t="shared" si="66"/>
        <v>7</v>
      </c>
      <c r="K224" s="4">
        <f>HOUR(F224)</f>
        <v>9</v>
      </c>
    </row>
    <row r="225" spans="1:11" ht="15.75" thickBot="1" x14ac:dyDescent="0.3">
      <c r="A225" s="7">
        <f>A224+1</f>
        <v>222</v>
      </c>
      <c r="B225" s="8" t="str">
        <f t="shared" si="77"/>
        <v>4</v>
      </c>
      <c r="C225" s="8">
        <f t="shared" si="83"/>
        <v>1</v>
      </c>
      <c r="D225" s="8">
        <f t="shared" si="89"/>
        <v>2</v>
      </c>
      <c r="E225" s="8"/>
      <c r="F225" s="9">
        <f>F224+G224/60/24</f>
        <v>43925.458333333336</v>
      </c>
      <c r="G225" s="8">
        <f t="shared" si="78"/>
        <v>120</v>
      </c>
      <c r="H225" s="8" t="s">
        <v>7</v>
      </c>
      <c r="I225" s="8" t="s">
        <v>7</v>
      </c>
      <c r="J225" s="8">
        <f t="shared" si="66"/>
        <v>7</v>
      </c>
      <c r="K225" s="4">
        <f>HOUR(F225)</f>
        <v>11</v>
      </c>
    </row>
    <row r="226" spans="1:11" ht="15.75" thickBot="1" x14ac:dyDescent="0.3">
      <c r="A226" s="7">
        <f t="shared" ref="A226:A274" si="90">A225+1</f>
        <v>223</v>
      </c>
      <c r="B226" s="8" t="str">
        <f t="shared" si="77"/>
        <v>4</v>
      </c>
      <c r="C226" s="8">
        <f t="shared" si="83"/>
        <v>1</v>
      </c>
      <c r="D226" s="8">
        <f t="shared" si="89"/>
        <v>2</v>
      </c>
      <c r="E226" s="8"/>
      <c r="F226" s="9">
        <f>F225+G225/60/24</f>
        <v>43925.541666666672</v>
      </c>
      <c r="G226" s="8">
        <f t="shared" si="78"/>
        <v>120</v>
      </c>
      <c r="H226" s="8" t="s">
        <v>7</v>
      </c>
      <c r="I226" s="8" t="s">
        <v>7</v>
      </c>
      <c r="J226" s="8">
        <f t="shared" si="66"/>
        <v>7</v>
      </c>
      <c r="K226" s="4">
        <f>HOUR(F226)</f>
        <v>13</v>
      </c>
    </row>
    <row r="227" spans="1:11" ht="15.75" thickBot="1" x14ac:dyDescent="0.3">
      <c r="A227" s="7">
        <f t="shared" si="90"/>
        <v>224</v>
      </c>
      <c r="B227" s="8" t="str">
        <f t="shared" si="77"/>
        <v>4</v>
      </c>
      <c r="C227" s="8">
        <f t="shared" si="83"/>
        <v>1</v>
      </c>
      <c r="D227" s="8">
        <f t="shared" si="89"/>
        <v>2</v>
      </c>
      <c r="E227" s="8"/>
      <c r="F227" s="9">
        <f>F226+G226/60/24</f>
        <v>43925.625000000007</v>
      </c>
      <c r="G227" s="8">
        <f t="shared" si="78"/>
        <v>120</v>
      </c>
      <c r="H227" s="8" t="s">
        <v>7</v>
      </c>
      <c r="I227" s="8" t="s">
        <v>7</v>
      </c>
      <c r="J227" s="8">
        <f t="shared" ref="J227:J242" si="91">WEEKDAY(F227)</f>
        <v>7</v>
      </c>
      <c r="K227" s="4">
        <f>HOUR(F227)</f>
        <v>15</v>
      </c>
    </row>
    <row r="228" spans="1:11" ht="15.75" thickBot="1" x14ac:dyDescent="0.3">
      <c r="A228" s="7">
        <f>A226+1</f>
        <v>224</v>
      </c>
      <c r="B228" s="8" t="str">
        <f t="shared" si="77"/>
        <v>4</v>
      </c>
      <c r="C228" s="8">
        <f t="shared" si="83"/>
        <v>1</v>
      </c>
      <c r="D228" s="8">
        <f t="shared" si="89"/>
        <v>2</v>
      </c>
      <c r="E228" s="8"/>
      <c r="F228" s="9">
        <f>F227+G227/60/24</f>
        <v>43925.708333333343</v>
      </c>
      <c r="G228" s="8">
        <f t="shared" si="78"/>
        <v>120</v>
      </c>
      <c r="H228" s="8" t="s">
        <v>7</v>
      </c>
      <c r="I228" s="8" t="s">
        <v>7</v>
      </c>
      <c r="J228" s="8">
        <f t="shared" si="91"/>
        <v>7</v>
      </c>
      <c r="K228" s="4">
        <f>HOUR(F228)</f>
        <v>17</v>
      </c>
    </row>
    <row r="229" spans="1:11" ht="15.75" thickBot="1" x14ac:dyDescent="0.3">
      <c r="A229" s="10">
        <f>A227+1</f>
        <v>225</v>
      </c>
      <c r="B229" s="11" t="str">
        <f t="shared" si="77"/>
        <v>4</v>
      </c>
      <c r="C229" s="11">
        <f t="shared" si="83"/>
        <v>1</v>
      </c>
      <c r="D229" s="11">
        <f t="shared" si="89"/>
        <v>2</v>
      </c>
      <c r="E229" s="11"/>
      <c r="F229" s="9">
        <f>F228+G228/60/24</f>
        <v>43925.791666666679</v>
      </c>
      <c r="G229" s="11">
        <f t="shared" si="78"/>
        <v>120</v>
      </c>
      <c r="H229" s="11" t="s">
        <v>7</v>
      </c>
      <c r="I229" s="11" t="s">
        <v>7</v>
      </c>
      <c r="J229" s="11">
        <f t="shared" si="91"/>
        <v>7</v>
      </c>
      <c r="K229" s="4">
        <f>HOUR(F229)</f>
        <v>19</v>
      </c>
    </row>
    <row r="230" spans="1:11" ht="15.75" thickBot="1" x14ac:dyDescent="0.3">
      <c r="A230" s="3">
        <f t="shared" si="90"/>
        <v>226</v>
      </c>
      <c r="B230" s="4" t="str">
        <f t="shared" si="77"/>
        <v>3</v>
      </c>
      <c r="C230" s="8">
        <f t="shared" si="83"/>
        <v>2</v>
      </c>
      <c r="D230" s="8" t="str">
        <f t="shared" si="89"/>
        <v>1,3</v>
      </c>
      <c r="E230" s="4"/>
      <c r="F230" s="5">
        <f>F224</f>
        <v>43925.375</v>
      </c>
      <c r="G230" s="4">
        <f t="shared" si="78"/>
        <v>120</v>
      </c>
      <c r="H230" s="4" t="s">
        <v>8</v>
      </c>
      <c r="I230" s="4" t="s">
        <v>8</v>
      </c>
      <c r="J230" s="4">
        <f t="shared" si="91"/>
        <v>7</v>
      </c>
      <c r="K230" s="4">
        <f>HOUR(F230)</f>
        <v>9</v>
      </c>
    </row>
    <row r="231" spans="1:11" ht="15.75" thickBot="1" x14ac:dyDescent="0.3">
      <c r="A231" s="7">
        <f t="shared" si="90"/>
        <v>227</v>
      </c>
      <c r="B231" s="8" t="str">
        <f t="shared" si="77"/>
        <v>3</v>
      </c>
      <c r="C231" s="8">
        <f t="shared" si="83"/>
        <v>2</v>
      </c>
      <c r="D231" s="8" t="str">
        <f t="shared" si="89"/>
        <v>1,3</v>
      </c>
      <c r="E231" s="8"/>
      <c r="F231" s="9">
        <f>F230+G230/60/24</f>
        <v>43925.458333333336</v>
      </c>
      <c r="G231" s="8">
        <f t="shared" si="78"/>
        <v>120</v>
      </c>
      <c r="H231" s="8" t="s">
        <v>8</v>
      </c>
      <c r="I231" s="8" t="s">
        <v>8</v>
      </c>
      <c r="J231" s="8">
        <f t="shared" si="91"/>
        <v>7</v>
      </c>
      <c r="K231" s="4">
        <f>HOUR(F231)</f>
        <v>11</v>
      </c>
    </row>
    <row r="232" spans="1:11" ht="15.75" thickBot="1" x14ac:dyDescent="0.3">
      <c r="A232" s="7">
        <f t="shared" si="90"/>
        <v>228</v>
      </c>
      <c r="B232" s="8" t="str">
        <f t="shared" si="77"/>
        <v>3</v>
      </c>
      <c r="C232" s="8">
        <f t="shared" si="83"/>
        <v>2</v>
      </c>
      <c r="D232" s="8" t="str">
        <f t="shared" si="89"/>
        <v>1,3</v>
      </c>
      <c r="E232" s="8"/>
      <c r="F232" s="9">
        <f t="shared" ref="F232:F235" si="92">F231+G231/60/24</f>
        <v>43925.541666666672</v>
      </c>
      <c r="G232" s="8">
        <f t="shared" si="78"/>
        <v>120</v>
      </c>
      <c r="H232" s="8" t="s">
        <v>8</v>
      </c>
      <c r="I232" s="8" t="s">
        <v>8</v>
      </c>
      <c r="J232" s="8">
        <f t="shared" si="91"/>
        <v>7</v>
      </c>
      <c r="K232" s="4">
        <f>HOUR(F232)</f>
        <v>13</v>
      </c>
    </row>
    <row r="233" spans="1:11" ht="15.75" thickBot="1" x14ac:dyDescent="0.3">
      <c r="A233" s="7">
        <f t="shared" si="90"/>
        <v>229</v>
      </c>
      <c r="B233" s="8" t="str">
        <f t="shared" si="77"/>
        <v>3</v>
      </c>
      <c r="C233" s="8">
        <f t="shared" si="83"/>
        <v>2</v>
      </c>
      <c r="D233" s="8" t="str">
        <f t="shared" si="89"/>
        <v>1,3</v>
      </c>
      <c r="E233" s="8"/>
      <c r="F233" s="9">
        <f t="shared" si="92"/>
        <v>43925.625000000007</v>
      </c>
      <c r="G233" s="8">
        <f t="shared" si="78"/>
        <v>120</v>
      </c>
      <c r="H233" s="8" t="s">
        <v>8</v>
      </c>
      <c r="I233" s="8" t="s">
        <v>8</v>
      </c>
      <c r="J233" s="8">
        <f t="shared" si="91"/>
        <v>7</v>
      </c>
      <c r="K233" s="4">
        <f>HOUR(F233)</f>
        <v>15</v>
      </c>
    </row>
    <row r="234" spans="1:11" ht="15.75" thickBot="1" x14ac:dyDescent="0.3">
      <c r="A234" s="7">
        <f t="shared" si="90"/>
        <v>230</v>
      </c>
      <c r="B234" s="8" t="str">
        <f t="shared" si="77"/>
        <v>3</v>
      </c>
      <c r="C234" s="8">
        <f t="shared" si="83"/>
        <v>2</v>
      </c>
      <c r="D234" s="8" t="str">
        <f t="shared" si="89"/>
        <v>1,3</v>
      </c>
      <c r="E234" s="8"/>
      <c r="F234" s="9">
        <f t="shared" si="92"/>
        <v>43925.708333333343</v>
      </c>
      <c r="G234" s="8">
        <f t="shared" si="78"/>
        <v>120</v>
      </c>
      <c r="H234" s="8" t="s">
        <v>8</v>
      </c>
      <c r="I234" s="8" t="s">
        <v>8</v>
      </c>
      <c r="J234" s="8">
        <f t="shared" si="91"/>
        <v>7</v>
      </c>
      <c r="K234" s="4">
        <f>HOUR(F234)</f>
        <v>17</v>
      </c>
    </row>
    <row r="235" spans="1:11" ht="15.75" thickBot="1" x14ac:dyDescent="0.3">
      <c r="A235" s="7">
        <f t="shared" si="90"/>
        <v>231</v>
      </c>
      <c r="B235" s="8" t="str">
        <f t="shared" si="77"/>
        <v>3</v>
      </c>
      <c r="C235" s="8">
        <f t="shared" si="83"/>
        <v>2</v>
      </c>
      <c r="D235" s="8" t="str">
        <f t="shared" si="89"/>
        <v>1,3</v>
      </c>
      <c r="E235" s="8"/>
      <c r="F235" s="9">
        <f t="shared" si="92"/>
        <v>43925.791666666679</v>
      </c>
      <c r="G235" s="8">
        <f t="shared" si="78"/>
        <v>120</v>
      </c>
      <c r="H235" s="8" t="s">
        <v>8</v>
      </c>
      <c r="I235" s="8" t="s">
        <v>8</v>
      </c>
      <c r="J235" s="8">
        <f t="shared" si="91"/>
        <v>7</v>
      </c>
      <c r="K235" s="4">
        <f>HOUR(F235)</f>
        <v>19</v>
      </c>
    </row>
    <row r="236" spans="1:11" ht="15.75" thickBot="1" x14ac:dyDescent="0.3">
      <c r="A236" s="3">
        <f t="shared" si="90"/>
        <v>232</v>
      </c>
      <c r="B236" s="4" t="str">
        <f t="shared" si="77"/>
        <v>2</v>
      </c>
      <c r="C236" s="4">
        <f t="shared" si="83"/>
        <v>6</v>
      </c>
      <c r="D236" s="4"/>
      <c r="E236" s="4"/>
      <c r="F236" s="5">
        <f>F224</f>
        <v>43925.375</v>
      </c>
      <c r="G236" s="4">
        <f t="shared" si="78"/>
        <v>60</v>
      </c>
      <c r="H236" s="4" t="s">
        <v>9</v>
      </c>
      <c r="I236" s="4" t="s">
        <v>13</v>
      </c>
      <c r="J236" s="4">
        <f t="shared" si="91"/>
        <v>7</v>
      </c>
      <c r="K236" s="4">
        <f>HOUR(F236)</f>
        <v>9</v>
      </c>
    </row>
    <row r="237" spans="1:11" ht="15.75" thickBot="1" x14ac:dyDescent="0.3">
      <c r="A237" s="7">
        <f t="shared" si="90"/>
        <v>233</v>
      </c>
      <c r="B237" s="8" t="str">
        <f t="shared" si="77"/>
        <v>2</v>
      </c>
      <c r="C237" s="8">
        <f t="shared" si="83"/>
        <v>4</v>
      </c>
      <c r="D237" s="8" t="str">
        <f t="shared" si="89"/>
        <v>5,6</v>
      </c>
      <c r="E237" s="8"/>
      <c r="F237" s="9">
        <f>F236+G236/60/24</f>
        <v>43925.416666666664</v>
      </c>
      <c r="G237" s="8">
        <f t="shared" si="78"/>
        <v>105</v>
      </c>
      <c r="H237" s="8" t="s">
        <v>9</v>
      </c>
      <c r="I237" s="8" t="s">
        <v>12</v>
      </c>
      <c r="J237" s="8">
        <f t="shared" si="91"/>
        <v>7</v>
      </c>
      <c r="K237" s="4">
        <f>HOUR(F237)</f>
        <v>10</v>
      </c>
    </row>
    <row r="238" spans="1:11" ht="15.75" thickBot="1" x14ac:dyDescent="0.3">
      <c r="A238" s="7">
        <f t="shared" si="90"/>
        <v>234</v>
      </c>
      <c r="B238" s="8" t="str">
        <f t="shared" si="77"/>
        <v>2</v>
      </c>
      <c r="C238" s="8">
        <f t="shared" si="83"/>
        <v>4</v>
      </c>
      <c r="D238" s="8" t="str">
        <f t="shared" si="89"/>
        <v>5,6</v>
      </c>
      <c r="E238" s="8"/>
      <c r="F238" s="9">
        <f t="shared" ref="F238:F242" si="93">F237+G237/60/24</f>
        <v>43925.489583333328</v>
      </c>
      <c r="G238" s="8">
        <f t="shared" si="78"/>
        <v>105</v>
      </c>
      <c r="H238" s="8" t="s">
        <v>9</v>
      </c>
      <c r="I238" s="8" t="s">
        <v>12</v>
      </c>
      <c r="J238" s="8">
        <f t="shared" si="91"/>
        <v>7</v>
      </c>
      <c r="K238" s="4">
        <f>HOUR(F238)</f>
        <v>11</v>
      </c>
    </row>
    <row r="239" spans="1:11" ht="15.75" thickBot="1" x14ac:dyDescent="0.3">
      <c r="A239" s="7">
        <f t="shared" si="90"/>
        <v>235</v>
      </c>
      <c r="B239" s="8" t="str">
        <f t="shared" si="77"/>
        <v>2</v>
      </c>
      <c r="C239" s="8">
        <f t="shared" si="83"/>
        <v>4</v>
      </c>
      <c r="D239" s="8" t="str">
        <f t="shared" si="89"/>
        <v>5,6</v>
      </c>
      <c r="E239" s="8"/>
      <c r="F239" s="9">
        <f t="shared" si="93"/>
        <v>43925.562499999993</v>
      </c>
      <c r="G239" s="8">
        <f t="shared" si="78"/>
        <v>105</v>
      </c>
      <c r="H239" s="8" t="s">
        <v>9</v>
      </c>
      <c r="I239" s="8" t="s">
        <v>12</v>
      </c>
      <c r="J239" s="8">
        <f t="shared" si="91"/>
        <v>7</v>
      </c>
      <c r="K239" s="4">
        <f>HOUR(F239)</f>
        <v>13</v>
      </c>
    </row>
    <row r="240" spans="1:11" ht="15.75" thickBot="1" x14ac:dyDescent="0.3">
      <c r="A240" s="7">
        <f t="shared" si="90"/>
        <v>236</v>
      </c>
      <c r="B240" s="8" t="str">
        <f t="shared" si="77"/>
        <v>2</v>
      </c>
      <c r="C240" s="8">
        <f t="shared" si="83"/>
        <v>4</v>
      </c>
      <c r="D240" s="8" t="str">
        <f t="shared" si="89"/>
        <v>5,6</v>
      </c>
      <c r="E240" s="8"/>
      <c r="F240" s="9">
        <f t="shared" si="93"/>
        <v>43925.635416666657</v>
      </c>
      <c r="G240" s="8">
        <f t="shared" si="78"/>
        <v>105</v>
      </c>
      <c r="H240" s="8" t="s">
        <v>9</v>
      </c>
      <c r="I240" s="8" t="s">
        <v>12</v>
      </c>
      <c r="J240" s="8">
        <f t="shared" si="91"/>
        <v>7</v>
      </c>
      <c r="K240" s="4">
        <f>HOUR(F240)</f>
        <v>15</v>
      </c>
    </row>
    <row r="241" spans="1:11" ht="15.75" thickBot="1" x14ac:dyDescent="0.3">
      <c r="A241" s="7">
        <f t="shared" si="90"/>
        <v>237</v>
      </c>
      <c r="B241" s="8" t="str">
        <f t="shared" si="77"/>
        <v>2</v>
      </c>
      <c r="C241" s="8">
        <f t="shared" si="83"/>
        <v>4</v>
      </c>
      <c r="D241" s="8" t="str">
        <f t="shared" si="89"/>
        <v>5,6</v>
      </c>
      <c r="E241" s="8"/>
      <c r="F241" s="9">
        <f t="shared" si="93"/>
        <v>43925.708333333321</v>
      </c>
      <c r="G241" s="8">
        <f t="shared" si="78"/>
        <v>105</v>
      </c>
      <c r="H241" s="8" t="s">
        <v>9</v>
      </c>
      <c r="I241" s="8" t="s">
        <v>12</v>
      </c>
      <c r="J241" s="8">
        <f t="shared" si="91"/>
        <v>7</v>
      </c>
      <c r="K241" s="4">
        <f>HOUR(F241)</f>
        <v>17</v>
      </c>
    </row>
    <row r="242" spans="1:11" ht="15.75" thickBot="1" x14ac:dyDescent="0.3">
      <c r="A242" s="7">
        <f t="shared" si="90"/>
        <v>238</v>
      </c>
      <c r="B242" s="8" t="str">
        <f t="shared" si="77"/>
        <v>2</v>
      </c>
      <c r="C242" s="8">
        <f t="shared" si="83"/>
        <v>4</v>
      </c>
      <c r="D242" s="8"/>
      <c r="E242" s="8"/>
      <c r="F242" s="9">
        <f t="shared" si="93"/>
        <v>43925.781249999985</v>
      </c>
      <c r="G242" s="8">
        <f t="shared" si="78"/>
        <v>105</v>
      </c>
      <c r="H242" s="8" t="s">
        <v>9</v>
      </c>
      <c r="I242" s="8" t="s">
        <v>12</v>
      </c>
      <c r="J242" s="8">
        <f t="shared" si="91"/>
        <v>7</v>
      </c>
      <c r="K242" s="4">
        <f>HOUR(F242)</f>
        <v>18</v>
      </c>
    </row>
    <row r="243" spans="1:11" ht="15.75" thickBot="1" x14ac:dyDescent="0.3">
      <c r="A243" s="3">
        <f t="shared" si="90"/>
        <v>239</v>
      </c>
      <c r="B243" s="4" t="str">
        <f t="shared" si="77"/>
        <v>1</v>
      </c>
      <c r="C243" s="4">
        <v>6</v>
      </c>
      <c r="D243" s="4"/>
      <c r="E243" s="4"/>
      <c r="F243" s="5">
        <f>F224</f>
        <v>43925.375</v>
      </c>
      <c r="G243" s="4">
        <f t="shared" si="78"/>
        <v>60</v>
      </c>
      <c r="H243" s="4" t="s">
        <v>15</v>
      </c>
      <c r="I243" s="4" t="s">
        <v>14</v>
      </c>
      <c r="J243" s="4">
        <f>WEEKDAY(F243)</f>
        <v>7</v>
      </c>
      <c r="K243" s="4">
        <f>HOUR(F243)</f>
        <v>9</v>
      </c>
    </row>
    <row r="244" spans="1:11" ht="15.75" thickBot="1" x14ac:dyDescent="0.3">
      <c r="A244" s="7">
        <f t="shared" si="90"/>
        <v>240</v>
      </c>
      <c r="B244" s="8" t="str">
        <f t="shared" si="77"/>
        <v>1</v>
      </c>
      <c r="C244" s="8">
        <f t="shared" si="83"/>
        <v>6</v>
      </c>
      <c r="D244" s="8"/>
      <c r="E244" s="8"/>
      <c r="F244" s="9">
        <f>F243+G243/60/24</f>
        <v>43925.416666666664</v>
      </c>
      <c r="G244" s="8">
        <f t="shared" si="78"/>
        <v>60</v>
      </c>
      <c r="H244" s="8" t="s">
        <v>15</v>
      </c>
      <c r="I244" s="8" t="s">
        <v>13</v>
      </c>
      <c r="J244" s="8">
        <f>WEEKDAY(F244)</f>
        <v>7</v>
      </c>
      <c r="K244" s="4">
        <f>HOUR(F244)</f>
        <v>10</v>
      </c>
    </row>
    <row r="245" spans="1:11" ht="15.75" thickBot="1" x14ac:dyDescent="0.3">
      <c r="A245" s="7">
        <f t="shared" si="90"/>
        <v>241</v>
      </c>
      <c r="B245" s="8" t="str">
        <f t="shared" si="77"/>
        <v>1</v>
      </c>
      <c r="C245" s="8">
        <f t="shared" si="83"/>
        <v>5</v>
      </c>
      <c r="D245" s="8"/>
      <c r="E245" s="8"/>
      <c r="F245" s="9">
        <f t="shared" ref="F245:F249" si="94">F244+G244/60/24</f>
        <v>43925.458333333328</v>
      </c>
      <c r="G245" s="8">
        <f t="shared" si="78"/>
        <v>90</v>
      </c>
      <c r="H245" s="8" t="s">
        <v>15</v>
      </c>
      <c r="I245" s="8" t="s">
        <v>10</v>
      </c>
      <c r="J245" s="8">
        <f>WEEKDAY(F245)</f>
        <v>7</v>
      </c>
      <c r="K245" s="4">
        <f>HOUR(F245)</f>
        <v>11</v>
      </c>
    </row>
    <row r="246" spans="1:11" ht="15.75" thickBot="1" x14ac:dyDescent="0.3">
      <c r="A246" s="7">
        <f t="shared" si="90"/>
        <v>242</v>
      </c>
      <c r="B246" s="8" t="str">
        <f t="shared" si="77"/>
        <v>1</v>
      </c>
      <c r="C246" s="8">
        <f t="shared" si="83"/>
        <v>5</v>
      </c>
      <c r="D246" s="8"/>
      <c r="E246" s="8"/>
      <c r="F246" s="9">
        <f t="shared" si="94"/>
        <v>43925.520833333328</v>
      </c>
      <c r="G246" s="8">
        <f t="shared" si="78"/>
        <v>90</v>
      </c>
      <c r="H246" s="8" t="s">
        <v>15</v>
      </c>
      <c r="I246" s="8" t="s">
        <v>10</v>
      </c>
      <c r="J246" s="8">
        <f>WEEKDAY(F246)</f>
        <v>7</v>
      </c>
      <c r="K246" s="4">
        <f>HOUR(F246)</f>
        <v>12</v>
      </c>
    </row>
    <row r="247" spans="1:11" ht="15.75" thickBot="1" x14ac:dyDescent="0.3">
      <c r="A247" s="7">
        <f t="shared" si="90"/>
        <v>243</v>
      </c>
      <c r="B247" s="8" t="str">
        <f t="shared" si="77"/>
        <v>1</v>
      </c>
      <c r="C247" s="8">
        <f t="shared" si="83"/>
        <v>5</v>
      </c>
      <c r="D247" s="8"/>
      <c r="E247" s="8"/>
      <c r="F247" s="9">
        <f t="shared" si="94"/>
        <v>43925.583333333328</v>
      </c>
      <c r="G247" s="8">
        <f t="shared" si="78"/>
        <v>90</v>
      </c>
      <c r="H247" s="8" t="s">
        <v>15</v>
      </c>
      <c r="I247" s="8" t="s">
        <v>10</v>
      </c>
      <c r="J247" s="8">
        <f t="shared" ref="J247:J249" si="95">WEEKDAY(F247)</f>
        <v>7</v>
      </c>
      <c r="K247" s="4">
        <f>HOUR(F247)</f>
        <v>14</v>
      </c>
    </row>
    <row r="248" spans="1:11" ht="15.75" thickBot="1" x14ac:dyDescent="0.3">
      <c r="A248" s="7">
        <f t="shared" si="90"/>
        <v>244</v>
      </c>
      <c r="B248" s="8" t="str">
        <f t="shared" si="77"/>
        <v>1</v>
      </c>
      <c r="C248" s="8">
        <f t="shared" si="83"/>
        <v>5</v>
      </c>
      <c r="D248" s="8"/>
      <c r="E248" s="8"/>
      <c r="F248" s="9">
        <f t="shared" si="94"/>
        <v>43925.645833333328</v>
      </c>
      <c r="G248" s="8">
        <f t="shared" si="78"/>
        <v>90</v>
      </c>
      <c r="H248" s="8" t="s">
        <v>15</v>
      </c>
      <c r="I248" s="8" t="s">
        <v>10</v>
      </c>
      <c r="J248" s="8">
        <f t="shared" si="95"/>
        <v>7</v>
      </c>
      <c r="K248" s="4">
        <f>HOUR(F248)</f>
        <v>15</v>
      </c>
    </row>
    <row r="249" spans="1:11" ht="15.75" thickBot="1" x14ac:dyDescent="0.3">
      <c r="A249" s="10">
        <f t="shared" si="90"/>
        <v>245</v>
      </c>
      <c r="B249" s="11" t="str">
        <f t="shared" si="77"/>
        <v>1</v>
      </c>
      <c r="C249" s="11">
        <f t="shared" si="83"/>
        <v>5</v>
      </c>
      <c r="D249" s="11"/>
      <c r="E249" s="11"/>
      <c r="F249" s="9">
        <f t="shared" si="94"/>
        <v>43925.708333333328</v>
      </c>
      <c r="G249" s="11">
        <f t="shared" si="78"/>
        <v>90</v>
      </c>
      <c r="H249" s="11" t="s">
        <v>15</v>
      </c>
      <c r="I249" s="11" t="s">
        <v>10</v>
      </c>
      <c r="J249" s="11">
        <f t="shared" si="95"/>
        <v>7</v>
      </c>
      <c r="K249" s="4">
        <f>HOUR(F249)</f>
        <v>17</v>
      </c>
    </row>
    <row r="250" spans="1:11" ht="15.75" thickBot="1" x14ac:dyDescent="0.3">
      <c r="A250" s="3">
        <f t="shared" si="90"/>
        <v>246</v>
      </c>
      <c r="B250" s="4" t="str">
        <f t="shared" si="77"/>
        <v>5</v>
      </c>
      <c r="C250" s="4">
        <f t="shared" si="83"/>
        <v>6</v>
      </c>
      <c r="D250" s="4"/>
      <c r="E250" s="4"/>
      <c r="F250" s="5">
        <f>F224</f>
        <v>43925.375</v>
      </c>
      <c r="G250" s="4">
        <f t="shared" si="78"/>
        <v>60</v>
      </c>
      <c r="H250" s="4" t="s">
        <v>16</v>
      </c>
      <c r="I250" s="4" t="s">
        <v>13</v>
      </c>
      <c r="J250" s="4">
        <f>WEEKDAY(F250)</f>
        <v>7</v>
      </c>
      <c r="K250" s="4">
        <f>HOUR(F250)</f>
        <v>9</v>
      </c>
    </row>
    <row r="251" spans="1:11" ht="15.75" thickBot="1" x14ac:dyDescent="0.3">
      <c r="A251" s="7">
        <f t="shared" si="90"/>
        <v>247</v>
      </c>
      <c r="B251" s="8" t="str">
        <f t="shared" si="77"/>
        <v>5</v>
      </c>
      <c r="C251" s="8">
        <f t="shared" si="83"/>
        <v>5</v>
      </c>
      <c r="D251" s="8">
        <v>6</v>
      </c>
      <c r="E251" s="8"/>
      <c r="F251" s="9">
        <f>F250+G250/60/24</f>
        <v>43925.416666666664</v>
      </c>
      <c r="G251" s="8">
        <f t="shared" si="78"/>
        <v>90</v>
      </c>
      <c r="H251" s="8" t="s">
        <v>16</v>
      </c>
      <c r="I251" s="8" t="s">
        <v>10</v>
      </c>
      <c r="J251" s="8">
        <f>WEEKDAY(F251)</f>
        <v>7</v>
      </c>
      <c r="K251" s="4">
        <f>HOUR(F251)</f>
        <v>10</v>
      </c>
    </row>
    <row r="252" spans="1:11" ht="15.75" thickBot="1" x14ac:dyDescent="0.3">
      <c r="A252" s="7">
        <f t="shared" si="90"/>
        <v>248</v>
      </c>
      <c r="B252" s="8" t="str">
        <f t="shared" si="77"/>
        <v>5</v>
      </c>
      <c r="C252" s="8">
        <f t="shared" si="83"/>
        <v>4</v>
      </c>
      <c r="D252" s="8">
        <f t="shared" ref="D252:D255" si="96">VLOOKUP(H252,slot_compat,3,FALSE)</f>
        <v>5</v>
      </c>
      <c r="E252" s="8"/>
      <c r="F252" s="9">
        <f t="shared" ref="F252:F256" si="97">F251+G251/60/24</f>
        <v>43925.479166666664</v>
      </c>
      <c r="G252" s="8">
        <f t="shared" si="78"/>
        <v>105</v>
      </c>
      <c r="H252" s="8" t="s">
        <v>16</v>
      </c>
      <c r="I252" s="8" t="s">
        <v>12</v>
      </c>
      <c r="J252" s="8">
        <f>WEEKDAY(F252)</f>
        <v>7</v>
      </c>
      <c r="K252" s="4">
        <f>HOUR(F252)</f>
        <v>11</v>
      </c>
    </row>
    <row r="253" spans="1:11" ht="15.75" thickBot="1" x14ac:dyDescent="0.3">
      <c r="A253" s="7">
        <f t="shared" si="90"/>
        <v>249</v>
      </c>
      <c r="B253" s="8" t="str">
        <f t="shared" si="77"/>
        <v>5</v>
      </c>
      <c r="C253" s="8">
        <f t="shared" si="83"/>
        <v>4</v>
      </c>
      <c r="D253" s="8">
        <f t="shared" si="96"/>
        <v>5</v>
      </c>
      <c r="E253" s="8"/>
      <c r="F253" s="9">
        <f t="shared" si="97"/>
        <v>43925.552083333328</v>
      </c>
      <c r="G253" s="8">
        <f t="shared" si="78"/>
        <v>105</v>
      </c>
      <c r="H253" s="8" t="s">
        <v>16</v>
      </c>
      <c r="I253" s="8" t="s">
        <v>12</v>
      </c>
      <c r="J253" s="8">
        <f>WEEKDAY(F253)</f>
        <v>7</v>
      </c>
      <c r="K253" s="4">
        <f>HOUR(F253)</f>
        <v>13</v>
      </c>
    </row>
    <row r="254" spans="1:11" ht="15.75" thickBot="1" x14ac:dyDescent="0.3">
      <c r="A254" s="7">
        <f t="shared" si="90"/>
        <v>250</v>
      </c>
      <c r="B254" s="8" t="str">
        <f t="shared" si="77"/>
        <v>5</v>
      </c>
      <c r="C254" s="8">
        <f t="shared" si="83"/>
        <v>4</v>
      </c>
      <c r="D254" s="8">
        <f t="shared" si="96"/>
        <v>5</v>
      </c>
      <c r="E254" s="8"/>
      <c r="F254" s="9">
        <f t="shared" si="97"/>
        <v>43925.624999999993</v>
      </c>
      <c r="G254" s="8">
        <f t="shared" si="78"/>
        <v>105</v>
      </c>
      <c r="H254" s="8" t="s">
        <v>16</v>
      </c>
      <c r="I254" s="8" t="s">
        <v>12</v>
      </c>
      <c r="J254" s="8">
        <f t="shared" ref="J254:J317" si="98">WEEKDAY(F254)</f>
        <v>7</v>
      </c>
      <c r="K254" s="4">
        <f>HOUR(F254)</f>
        <v>15</v>
      </c>
    </row>
    <row r="255" spans="1:11" ht="15.75" thickBot="1" x14ac:dyDescent="0.3">
      <c r="A255" s="7">
        <f t="shared" si="90"/>
        <v>251</v>
      </c>
      <c r="B255" s="8" t="str">
        <f t="shared" si="77"/>
        <v>5</v>
      </c>
      <c r="C255" s="8">
        <f t="shared" si="83"/>
        <v>4</v>
      </c>
      <c r="D255" s="8">
        <f t="shared" si="96"/>
        <v>5</v>
      </c>
      <c r="E255" s="8"/>
      <c r="F255" s="9">
        <f t="shared" si="97"/>
        <v>43925.697916666657</v>
      </c>
      <c r="G255" s="8">
        <f t="shared" si="78"/>
        <v>105</v>
      </c>
      <c r="H255" s="8" t="s">
        <v>16</v>
      </c>
      <c r="I255" s="8" t="s">
        <v>12</v>
      </c>
      <c r="J255" s="8">
        <f t="shared" si="98"/>
        <v>7</v>
      </c>
      <c r="K255" s="4">
        <f>HOUR(F255)</f>
        <v>16</v>
      </c>
    </row>
    <row r="256" spans="1:11" ht="15.75" thickBot="1" x14ac:dyDescent="0.3">
      <c r="A256" s="7">
        <f t="shared" si="90"/>
        <v>252</v>
      </c>
      <c r="B256" s="8" t="str">
        <f t="shared" si="77"/>
        <v>5</v>
      </c>
      <c r="C256" s="8">
        <f t="shared" si="83"/>
        <v>4</v>
      </c>
      <c r="D256" s="8"/>
      <c r="E256" s="8"/>
      <c r="F256" s="9">
        <f t="shared" si="97"/>
        <v>43925.770833333321</v>
      </c>
      <c r="G256" s="8">
        <f t="shared" si="78"/>
        <v>105</v>
      </c>
      <c r="H256" s="8" t="s">
        <v>16</v>
      </c>
      <c r="I256" s="8" t="s">
        <v>12</v>
      </c>
      <c r="J256" s="8">
        <f t="shared" si="98"/>
        <v>7</v>
      </c>
      <c r="K256" s="4">
        <f>HOUR(F256)</f>
        <v>18</v>
      </c>
    </row>
    <row r="257" spans="1:11" ht="15.75" thickBot="1" x14ac:dyDescent="0.3">
      <c r="A257" s="3">
        <f t="shared" si="90"/>
        <v>253</v>
      </c>
      <c r="B257" s="4" t="str">
        <f t="shared" si="77"/>
        <v>6</v>
      </c>
      <c r="C257" s="4">
        <f t="shared" si="83"/>
        <v>4</v>
      </c>
      <c r="D257" s="4">
        <v>5</v>
      </c>
      <c r="E257" s="4"/>
      <c r="F257" s="5">
        <f>F224</f>
        <v>43925.375</v>
      </c>
      <c r="G257" s="4">
        <f t="shared" si="78"/>
        <v>105</v>
      </c>
      <c r="H257" s="4" t="s">
        <v>17</v>
      </c>
      <c r="I257" s="4" t="s">
        <v>12</v>
      </c>
      <c r="J257" s="4">
        <f t="shared" si="98"/>
        <v>7</v>
      </c>
      <c r="K257" s="4">
        <f>HOUR(F257)</f>
        <v>9</v>
      </c>
    </row>
    <row r="258" spans="1:11" ht="15.75" thickBot="1" x14ac:dyDescent="0.3">
      <c r="A258" s="7">
        <f t="shared" si="90"/>
        <v>254</v>
      </c>
      <c r="B258" s="8" t="str">
        <f t="shared" ref="B258:B321" si="99">VLOOKUP(H258,field_id,2,FALSE)</f>
        <v>6</v>
      </c>
      <c r="C258" s="8">
        <f t="shared" si="83"/>
        <v>3</v>
      </c>
      <c r="D258" s="8" t="s">
        <v>55</v>
      </c>
      <c r="E258" s="8"/>
      <c r="F258" s="9">
        <f>F257+G257/60/24</f>
        <v>43925.447916666664</v>
      </c>
      <c r="G258" s="8">
        <f t="shared" ref="G258:G321" si="100">VLOOKUP(I258,GameDuration,2,FALSE)</f>
        <v>105</v>
      </c>
      <c r="H258" s="8" t="s">
        <v>17</v>
      </c>
      <c r="I258" s="8" t="s">
        <v>11</v>
      </c>
      <c r="J258" s="8">
        <f t="shared" si="98"/>
        <v>7</v>
      </c>
      <c r="K258" s="4">
        <f>HOUR(F258)</f>
        <v>10</v>
      </c>
    </row>
    <row r="259" spans="1:11" ht="15.75" thickBot="1" x14ac:dyDescent="0.3">
      <c r="A259" s="7">
        <f t="shared" si="90"/>
        <v>255</v>
      </c>
      <c r="B259" s="8" t="str">
        <f t="shared" si="99"/>
        <v>6</v>
      </c>
      <c r="C259" s="8">
        <f t="shared" si="83"/>
        <v>3</v>
      </c>
      <c r="D259" s="8" t="s">
        <v>55</v>
      </c>
      <c r="E259" s="8"/>
      <c r="F259" s="9">
        <f t="shared" ref="F259:F262" si="101">F258+G258/60/24</f>
        <v>43925.520833333328</v>
      </c>
      <c r="G259" s="8">
        <f t="shared" si="100"/>
        <v>105</v>
      </c>
      <c r="H259" s="8" t="s">
        <v>17</v>
      </c>
      <c r="I259" s="8" t="s">
        <v>11</v>
      </c>
      <c r="J259" s="8">
        <f t="shared" si="98"/>
        <v>7</v>
      </c>
      <c r="K259" s="4">
        <f>HOUR(F259)</f>
        <v>12</v>
      </c>
    </row>
    <row r="260" spans="1:11" ht="15.75" thickBot="1" x14ac:dyDescent="0.3">
      <c r="A260" s="7">
        <f t="shared" si="90"/>
        <v>256</v>
      </c>
      <c r="B260" s="8" t="str">
        <f t="shared" si="99"/>
        <v>6</v>
      </c>
      <c r="C260" s="8">
        <f t="shared" si="83"/>
        <v>3</v>
      </c>
      <c r="D260" s="8" t="s">
        <v>55</v>
      </c>
      <c r="E260" s="8"/>
      <c r="F260" s="9">
        <f t="shared" si="101"/>
        <v>43925.593749999993</v>
      </c>
      <c r="G260" s="8">
        <f t="shared" si="100"/>
        <v>105</v>
      </c>
      <c r="H260" s="8" t="s">
        <v>17</v>
      </c>
      <c r="I260" s="8" t="s">
        <v>11</v>
      </c>
      <c r="J260" s="8">
        <f t="shared" si="98"/>
        <v>7</v>
      </c>
      <c r="K260" s="4">
        <f>HOUR(F260)</f>
        <v>14</v>
      </c>
    </row>
    <row r="261" spans="1:11" ht="15.75" thickBot="1" x14ac:dyDescent="0.3">
      <c r="A261" s="7">
        <f t="shared" si="90"/>
        <v>257</v>
      </c>
      <c r="B261" s="8" t="str">
        <f t="shared" si="99"/>
        <v>6</v>
      </c>
      <c r="C261" s="8">
        <f t="shared" si="83"/>
        <v>3</v>
      </c>
      <c r="D261" s="8" t="s">
        <v>55</v>
      </c>
      <c r="E261" s="8"/>
      <c r="F261" s="9">
        <f t="shared" si="101"/>
        <v>43925.666666666657</v>
      </c>
      <c r="G261" s="8">
        <f t="shared" si="100"/>
        <v>105</v>
      </c>
      <c r="H261" s="8" t="s">
        <v>17</v>
      </c>
      <c r="I261" s="8" t="s">
        <v>11</v>
      </c>
      <c r="J261" s="8">
        <f t="shared" si="98"/>
        <v>7</v>
      </c>
      <c r="K261" s="4">
        <f>HOUR(F261)</f>
        <v>16</v>
      </c>
    </row>
    <row r="262" spans="1:11" ht="15.75" thickBot="1" x14ac:dyDescent="0.3">
      <c r="A262" s="7">
        <f t="shared" si="90"/>
        <v>258</v>
      </c>
      <c r="B262" s="8" t="str">
        <f t="shared" si="99"/>
        <v>6</v>
      </c>
      <c r="C262" s="8">
        <v>2</v>
      </c>
      <c r="D262" s="14" t="s">
        <v>61</v>
      </c>
      <c r="E262" s="8"/>
      <c r="F262" s="9">
        <f t="shared" si="101"/>
        <v>43925.739583333321</v>
      </c>
      <c r="G262" s="8">
        <f t="shared" si="100"/>
        <v>105</v>
      </c>
      <c r="H262" s="8" t="s">
        <v>17</v>
      </c>
      <c r="I262" s="8" t="s">
        <v>11</v>
      </c>
      <c r="J262" s="8">
        <f t="shared" si="98"/>
        <v>7</v>
      </c>
      <c r="K262" s="4">
        <f>HOUR(F262)</f>
        <v>17</v>
      </c>
    </row>
    <row r="263" spans="1:11" ht="15.75" thickBot="1" x14ac:dyDescent="0.3">
      <c r="A263" s="3">
        <f t="shared" si="90"/>
        <v>259</v>
      </c>
      <c r="B263" s="4" t="str">
        <f t="shared" si="99"/>
        <v>7</v>
      </c>
      <c r="C263" s="4">
        <f t="shared" si="83"/>
        <v>6</v>
      </c>
      <c r="D263" s="4"/>
      <c r="E263" s="4"/>
      <c r="F263" s="5">
        <f>F224</f>
        <v>43925.375</v>
      </c>
      <c r="G263" s="4">
        <f t="shared" si="100"/>
        <v>60</v>
      </c>
      <c r="H263" s="4" t="s">
        <v>18</v>
      </c>
      <c r="I263" s="4" t="s">
        <v>13</v>
      </c>
      <c r="J263" s="4">
        <f t="shared" si="98"/>
        <v>7</v>
      </c>
      <c r="K263" s="4">
        <f>HOUR(F263)</f>
        <v>9</v>
      </c>
    </row>
    <row r="264" spans="1:11" ht="15.75" thickBot="1" x14ac:dyDescent="0.3">
      <c r="A264" s="7">
        <f t="shared" si="90"/>
        <v>260</v>
      </c>
      <c r="B264" s="8" t="str">
        <f t="shared" si="99"/>
        <v>7</v>
      </c>
      <c r="C264" s="8">
        <f t="shared" si="83"/>
        <v>3</v>
      </c>
      <c r="D264" s="8" t="s">
        <v>55</v>
      </c>
      <c r="E264" s="8"/>
      <c r="F264" s="9">
        <f>F263+G263/60/24</f>
        <v>43925.416666666664</v>
      </c>
      <c r="G264" s="8">
        <f t="shared" si="100"/>
        <v>105</v>
      </c>
      <c r="H264" s="8" t="s">
        <v>18</v>
      </c>
      <c r="I264" s="8" t="s">
        <v>11</v>
      </c>
      <c r="J264" s="8">
        <f t="shared" si="98"/>
        <v>7</v>
      </c>
      <c r="K264" s="4">
        <f>HOUR(F264)</f>
        <v>10</v>
      </c>
    </row>
    <row r="265" spans="1:11" ht="15.75" thickBot="1" x14ac:dyDescent="0.3">
      <c r="A265" s="7">
        <f t="shared" si="90"/>
        <v>261</v>
      </c>
      <c r="B265" s="8" t="str">
        <f t="shared" si="99"/>
        <v>7</v>
      </c>
      <c r="C265" s="8">
        <f t="shared" si="83"/>
        <v>3</v>
      </c>
      <c r="D265" s="8" t="s">
        <v>55</v>
      </c>
      <c r="E265" s="8"/>
      <c r="F265" s="9">
        <f t="shared" ref="F265:F268" si="102">F264+G264/60/24</f>
        <v>43925.489583333328</v>
      </c>
      <c r="G265" s="8">
        <f t="shared" si="100"/>
        <v>105</v>
      </c>
      <c r="H265" s="8" t="s">
        <v>18</v>
      </c>
      <c r="I265" s="8" t="s">
        <v>11</v>
      </c>
      <c r="J265" s="8">
        <f t="shared" si="98"/>
        <v>7</v>
      </c>
      <c r="K265" s="4">
        <f>HOUR(F265)</f>
        <v>11</v>
      </c>
    </row>
    <row r="266" spans="1:11" ht="15.75" thickBot="1" x14ac:dyDescent="0.3">
      <c r="A266" s="7">
        <f t="shared" si="90"/>
        <v>262</v>
      </c>
      <c r="B266" s="8" t="str">
        <f t="shared" si="99"/>
        <v>7</v>
      </c>
      <c r="C266" s="8">
        <f t="shared" si="83"/>
        <v>2</v>
      </c>
      <c r="D266" s="8" t="s">
        <v>56</v>
      </c>
      <c r="E266" s="8"/>
      <c r="F266" s="9">
        <f t="shared" si="102"/>
        <v>43925.562499999993</v>
      </c>
      <c r="G266" s="8">
        <f t="shared" si="100"/>
        <v>120</v>
      </c>
      <c r="H266" s="8" t="s">
        <v>18</v>
      </c>
      <c r="I266" s="8" t="s">
        <v>8</v>
      </c>
      <c r="J266" s="8">
        <f t="shared" si="98"/>
        <v>7</v>
      </c>
      <c r="K266" s="4">
        <f>HOUR(F266)</f>
        <v>13</v>
      </c>
    </row>
    <row r="267" spans="1:11" ht="15.75" thickBot="1" x14ac:dyDescent="0.3">
      <c r="A267" s="7">
        <f t="shared" si="90"/>
        <v>263</v>
      </c>
      <c r="B267" s="8" t="str">
        <f t="shared" si="99"/>
        <v>7</v>
      </c>
      <c r="C267" s="8">
        <f t="shared" ref="C267:C274" si="103">VLOOKUP(I267,league_id,2,FALSE)</f>
        <v>2</v>
      </c>
      <c r="D267" s="8" t="s">
        <v>56</v>
      </c>
      <c r="E267" s="8"/>
      <c r="F267" s="9">
        <f t="shared" si="102"/>
        <v>43925.645833333328</v>
      </c>
      <c r="G267" s="8">
        <f t="shared" si="100"/>
        <v>120</v>
      </c>
      <c r="H267" s="8" t="s">
        <v>18</v>
      </c>
      <c r="I267" s="8" t="s">
        <v>8</v>
      </c>
      <c r="J267" s="8">
        <f t="shared" si="98"/>
        <v>7</v>
      </c>
      <c r="K267" s="4">
        <f>HOUR(F267)</f>
        <v>15</v>
      </c>
    </row>
    <row r="268" spans="1:11" ht="15.75" thickBot="1" x14ac:dyDescent="0.3">
      <c r="A268" s="7">
        <f t="shared" si="90"/>
        <v>264</v>
      </c>
      <c r="B268" s="8" t="str">
        <f t="shared" si="99"/>
        <v>7</v>
      </c>
      <c r="C268" s="8">
        <f t="shared" si="103"/>
        <v>2</v>
      </c>
      <c r="D268" s="8" t="s">
        <v>61</v>
      </c>
      <c r="E268" s="8"/>
      <c r="F268" s="9">
        <f t="shared" si="102"/>
        <v>43925.729166666664</v>
      </c>
      <c r="G268" s="8">
        <f t="shared" si="100"/>
        <v>120</v>
      </c>
      <c r="H268" s="8" t="s">
        <v>18</v>
      </c>
      <c r="I268" s="8" t="s">
        <v>8</v>
      </c>
      <c r="J268" s="8">
        <f t="shared" si="98"/>
        <v>7</v>
      </c>
      <c r="K268" s="4">
        <f>HOUR(F268)</f>
        <v>17</v>
      </c>
    </row>
    <row r="269" spans="1:11" ht="15.75" thickBot="1" x14ac:dyDescent="0.3">
      <c r="A269" s="3">
        <f t="shared" si="90"/>
        <v>265</v>
      </c>
      <c r="B269" s="4" t="str">
        <f t="shared" si="99"/>
        <v>8</v>
      </c>
      <c r="C269" s="4">
        <f t="shared" si="103"/>
        <v>5</v>
      </c>
      <c r="D269" s="4"/>
      <c r="E269" s="4"/>
      <c r="F269" s="5">
        <f>F224</f>
        <v>43925.375</v>
      </c>
      <c r="G269" s="4">
        <f t="shared" si="100"/>
        <v>90</v>
      </c>
      <c r="H269" s="4" t="s">
        <v>19</v>
      </c>
      <c r="I269" s="4" t="s">
        <v>10</v>
      </c>
      <c r="J269" s="4">
        <f t="shared" si="98"/>
        <v>7</v>
      </c>
      <c r="K269" s="4">
        <f>HOUR(F269)</f>
        <v>9</v>
      </c>
    </row>
    <row r="270" spans="1:11" ht="15.75" thickBot="1" x14ac:dyDescent="0.3">
      <c r="A270" s="7">
        <f t="shared" si="90"/>
        <v>266</v>
      </c>
      <c r="B270" s="8" t="str">
        <f t="shared" si="99"/>
        <v>8</v>
      </c>
      <c r="C270" s="8">
        <f t="shared" si="103"/>
        <v>5</v>
      </c>
      <c r="D270" s="8"/>
      <c r="E270" s="8"/>
      <c r="F270" s="9">
        <f>F269+G269/60/24</f>
        <v>43925.4375</v>
      </c>
      <c r="G270" s="8">
        <f t="shared" si="100"/>
        <v>90</v>
      </c>
      <c r="H270" s="8" t="s">
        <v>19</v>
      </c>
      <c r="I270" s="8" t="s">
        <v>10</v>
      </c>
      <c r="J270" s="8">
        <f t="shared" si="98"/>
        <v>7</v>
      </c>
      <c r="K270" s="4">
        <f>HOUR(F270)</f>
        <v>10</v>
      </c>
    </row>
    <row r="271" spans="1:11" ht="15.75" thickBot="1" x14ac:dyDescent="0.3">
      <c r="A271" s="7">
        <f t="shared" si="90"/>
        <v>267</v>
      </c>
      <c r="B271" s="8" t="str">
        <f t="shared" si="99"/>
        <v>8</v>
      </c>
      <c r="C271" s="8">
        <f t="shared" si="103"/>
        <v>3</v>
      </c>
      <c r="D271" s="8" t="s">
        <v>55</v>
      </c>
      <c r="E271" s="8"/>
      <c r="F271" s="9">
        <f t="shared" ref="F271:F274" si="104">F270+G270/60/24</f>
        <v>43925.5</v>
      </c>
      <c r="G271" s="8">
        <f t="shared" si="100"/>
        <v>105</v>
      </c>
      <c r="H271" s="8" t="s">
        <v>19</v>
      </c>
      <c r="I271" s="8" t="s">
        <v>11</v>
      </c>
      <c r="J271" s="8">
        <f t="shared" si="98"/>
        <v>7</v>
      </c>
      <c r="K271" s="4">
        <f>HOUR(F271)</f>
        <v>12</v>
      </c>
    </row>
    <row r="272" spans="1:11" ht="15.75" thickBot="1" x14ac:dyDescent="0.3">
      <c r="A272" s="7">
        <f t="shared" si="90"/>
        <v>268</v>
      </c>
      <c r="B272" s="8" t="str">
        <f t="shared" si="99"/>
        <v>8</v>
      </c>
      <c r="C272" s="8">
        <f t="shared" si="103"/>
        <v>2</v>
      </c>
      <c r="D272" s="8" t="s">
        <v>56</v>
      </c>
      <c r="E272" s="8"/>
      <c r="F272" s="9">
        <f t="shared" si="104"/>
        <v>43925.572916666664</v>
      </c>
      <c r="G272" s="8">
        <f t="shared" si="100"/>
        <v>120</v>
      </c>
      <c r="H272" s="8" t="s">
        <v>19</v>
      </c>
      <c r="I272" s="8" t="s">
        <v>8</v>
      </c>
      <c r="J272" s="8">
        <f t="shared" si="98"/>
        <v>7</v>
      </c>
      <c r="K272" s="4">
        <f>HOUR(F272)</f>
        <v>13</v>
      </c>
    </row>
    <row r="273" spans="1:11" ht="15.75" thickBot="1" x14ac:dyDescent="0.3">
      <c r="A273" s="7">
        <f t="shared" si="90"/>
        <v>269</v>
      </c>
      <c r="B273" s="8" t="str">
        <f t="shared" si="99"/>
        <v>8</v>
      </c>
      <c r="C273" s="8">
        <f t="shared" si="103"/>
        <v>2</v>
      </c>
      <c r="D273" s="8" t="s">
        <v>56</v>
      </c>
      <c r="E273" s="8"/>
      <c r="F273" s="9">
        <f t="shared" si="104"/>
        <v>43925.65625</v>
      </c>
      <c r="G273" s="8">
        <f t="shared" si="100"/>
        <v>120</v>
      </c>
      <c r="H273" s="8" t="s">
        <v>19</v>
      </c>
      <c r="I273" s="8" t="s">
        <v>8</v>
      </c>
      <c r="J273" s="8">
        <f t="shared" si="98"/>
        <v>7</v>
      </c>
      <c r="K273" s="4">
        <f>HOUR(F273)</f>
        <v>15</v>
      </c>
    </row>
    <row r="274" spans="1:11" ht="15.75" thickBot="1" x14ac:dyDescent="0.3">
      <c r="A274" s="7">
        <f t="shared" si="90"/>
        <v>270</v>
      </c>
      <c r="B274" s="8" t="str">
        <f t="shared" si="99"/>
        <v>8</v>
      </c>
      <c r="C274" s="8">
        <f t="shared" si="103"/>
        <v>2</v>
      </c>
      <c r="D274" s="8" t="s">
        <v>61</v>
      </c>
      <c r="E274" s="8"/>
      <c r="F274" s="9">
        <f t="shared" si="104"/>
        <v>43925.739583333336</v>
      </c>
      <c r="G274" s="8">
        <f t="shared" si="100"/>
        <v>120</v>
      </c>
      <c r="H274" s="8" t="s">
        <v>19</v>
      </c>
      <c r="I274" s="8" t="s">
        <v>8</v>
      </c>
      <c r="J274" s="8">
        <f t="shared" si="98"/>
        <v>7</v>
      </c>
      <c r="K274" s="4">
        <f>HOUR(F274)</f>
        <v>17</v>
      </c>
    </row>
    <row r="275" spans="1:11" ht="15.75" thickBot="1" x14ac:dyDescent="0.3">
      <c r="A275" s="3">
        <f>A274+1</f>
        <v>271</v>
      </c>
      <c r="B275" s="4" t="str">
        <f t="shared" si="99"/>
        <v>4</v>
      </c>
      <c r="C275" s="4">
        <f>VLOOKUP(I275,league_id,2,FALSE)</f>
        <v>1</v>
      </c>
      <c r="D275" s="4">
        <f t="shared" ref="D275:D276" si="105">VLOOKUP(H275,slot_compat,3,FALSE)</f>
        <v>2</v>
      </c>
      <c r="E275" s="4"/>
      <c r="F275" s="5">
        <v>43929.75</v>
      </c>
      <c r="G275" s="4">
        <f t="shared" si="100"/>
        <v>120</v>
      </c>
      <c r="H275" s="4" t="s">
        <v>7</v>
      </c>
      <c r="I275" s="4" t="s">
        <v>7</v>
      </c>
      <c r="J275" s="4">
        <f t="shared" si="98"/>
        <v>4</v>
      </c>
      <c r="K275" s="4">
        <f>HOUR(F275)</f>
        <v>18</v>
      </c>
    </row>
    <row r="276" spans="1:11" ht="15.75" thickBot="1" x14ac:dyDescent="0.3">
      <c r="A276" s="3">
        <f>A275+1</f>
        <v>272</v>
      </c>
      <c r="B276" s="4" t="str">
        <f t="shared" si="99"/>
        <v>3</v>
      </c>
      <c r="C276" s="4">
        <f t="shared" ref="C276:C280" si="106">VLOOKUP(I276,league_id,2,FALSE)</f>
        <v>2</v>
      </c>
      <c r="D276" s="4" t="str">
        <f t="shared" si="105"/>
        <v>1,3</v>
      </c>
      <c r="E276" s="4"/>
      <c r="F276" s="5">
        <f>F275</f>
        <v>43929.75</v>
      </c>
      <c r="G276" s="4">
        <f t="shared" si="100"/>
        <v>120</v>
      </c>
      <c r="H276" s="4" t="s">
        <v>8</v>
      </c>
      <c r="I276" s="4" t="s">
        <v>8</v>
      </c>
      <c r="J276" s="4">
        <f t="shared" si="98"/>
        <v>4</v>
      </c>
      <c r="K276" s="4">
        <f>HOUR(F276)</f>
        <v>18</v>
      </c>
    </row>
    <row r="277" spans="1:11" ht="15.75" thickBot="1" x14ac:dyDescent="0.3">
      <c r="A277" s="3">
        <f t="shared" ref="A277:A280" si="107">A276+1</f>
        <v>273</v>
      </c>
      <c r="B277" s="4" t="str">
        <f t="shared" si="99"/>
        <v>2</v>
      </c>
      <c r="C277" s="4">
        <f t="shared" si="106"/>
        <v>4</v>
      </c>
      <c r="D277" s="4">
        <v>5</v>
      </c>
      <c r="E277" s="4"/>
      <c r="F277" s="5">
        <f>F275</f>
        <v>43929.75</v>
      </c>
      <c r="G277" s="4">
        <f t="shared" si="100"/>
        <v>105</v>
      </c>
      <c r="H277" s="4" t="s">
        <v>9</v>
      </c>
      <c r="I277" s="4" t="s">
        <v>12</v>
      </c>
      <c r="J277" s="4">
        <f t="shared" si="98"/>
        <v>4</v>
      </c>
      <c r="K277" s="4">
        <f>HOUR(F277)</f>
        <v>18</v>
      </c>
    </row>
    <row r="278" spans="1:11" ht="15.75" thickBot="1" x14ac:dyDescent="0.3">
      <c r="A278" s="3">
        <f t="shared" si="107"/>
        <v>274</v>
      </c>
      <c r="B278" s="4" t="str">
        <f t="shared" si="99"/>
        <v>1</v>
      </c>
      <c r="C278" s="4">
        <f t="shared" si="106"/>
        <v>5</v>
      </c>
      <c r="D278" s="4"/>
      <c r="E278" s="4"/>
      <c r="F278" s="5">
        <f>F275</f>
        <v>43929.75</v>
      </c>
      <c r="G278" s="4">
        <f t="shared" si="100"/>
        <v>90</v>
      </c>
      <c r="H278" s="4" t="s">
        <v>15</v>
      </c>
      <c r="I278" s="4" t="s">
        <v>10</v>
      </c>
      <c r="J278" s="4">
        <f t="shared" si="98"/>
        <v>4</v>
      </c>
      <c r="K278" s="4">
        <f>HOUR(F278)</f>
        <v>18</v>
      </c>
    </row>
    <row r="279" spans="1:11" ht="15.75" thickBot="1" x14ac:dyDescent="0.3">
      <c r="A279" s="3">
        <f t="shared" si="107"/>
        <v>275</v>
      </c>
      <c r="B279" s="4" t="str">
        <f t="shared" si="99"/>
        <v>5</v>
      </c>
      <c r="C279" s="4">
        <f t="shared" si="106"/>
        <v>5</v>
      </c>
      <c r="D279" s="4"/>
      <c r="E279" s="4"/>
      <c r="F279" s="5">
        <f>F275</f>
        <v>43929.75</v>
      </c>
      <c r="G279" s="4">
        <f t="shared" si="100"/>
        <v>90</v>
      </c>
      <c r="H279" s="4" t="s">
        <v>16</v>
      </c>
      <c r="I279" s="4" t="s">
        <v>10</v>
      </c>
      <c r="J279" s="4">
        <f t="shared" si="98"/>
        <v>4</v>
      </c>
      <c r="K279" s="4">
        <f>HOUR(F279)</f>
        <v>18</v>
      </c>
    </row>
    <row r="280" spans="1:11" ht="15.75" thickBot="1" x14ac:dyDescent="0.3">
      <c r="A280" s="3">
        <f t="shared" si="107"/>
        <v>276</v>
      </c>
      <c r="B280" s="4" t="str">
        <f t="shared" si="99"/>
        <v>6</v>
      </c>
      <c r="C280" s="4">
        <f t="shared" si="106"/>
        <v>3</v>
      </c>
      <c r="D280" s="4" t="s">
        <v>55</v>
      </c>
      <c r="E280" s="4"/>
      <c r="F280" s="5">
        <f>F275</f>
        <v>43929.75</v>
      </c>
      <c r="G280" s="4">
        <f t="shared" si="100"/>
        <v>105</v>
      </c>
      <c r="H280" s="4" t="s">
        <v>17</v>
      </c>
      <c r="I280" s="4" t="s">
        <v>11</v>
      </c>
      <c r="J280" s="4">
        <f t="shared" si="98"/>
        <v>4</v>
      </c>
      <c r="K280" s="4">
        <f>HOUR(F280)</f>
        <v>18</v>
      </c>
    </row>
    <row r="281" spans="1:11" ht="15.75" thickBot="1" x14ac:dyDescent="0.3">
      <c r="A281" s="3">
        <f>A280+1</f>
        <v>277</v>
      </c>
      <c r="B281" s="4" t="str">
        <f t="shared" si="99"/>
        <v>4</v>
      </c>
      <c r="C281" s="4">
        <f>VLOOKUP(I281,league_id,2,FALSE)</f>
        <v>1</v>
      </c>
      <c r="D281" s="4">
        <f t="shared" ref="D281:D282" si="108">VLOOKUP(H281,slot_compat,3,FALSE)</f>
        <v>2</v>
      </c>
      <c r="E281" s="4"/>
      <c r="F281" s="5">
        <v>43930.75</v>
      </c>
      <c r="G281" s="4">
        <f t="shared" si="100"/>
        <v>120</v>
      </c>
      <c r="H281" s="4" t="s">
        <v>7</v>
      </c>
      <c r="I281" s="4" t="s">
        <v>7</v>
      </c>
      <c r="J281" s="4">
        <f t="shared" si="98"/>
        <v>5</v>
      </c>
      <c r="K281" s="4">
        <f>HOUR(F281)</f>
        <v>18</v>
      </c>
    </row>
    <row r="282" spans="1:11" ht="15.75" thickBot="1" x14ac:dyDescent="0.3">
      <c r="A282" s="3">
        <f>A281+1</f>
        <v>278</v>
      </c>
      <c r="B282" s="4" t="str">
        <f t="shared" si="99"/>
        <v>3</v>
      </c>
      <c r="C282" s="4">
        <f t="shared" ref="C282:C286" si="109">VLOOKUP(I282,league_id,2,FALSE)</f>
        <v>2</v>
      </c>
      <c r="D282" s="4" t="str">
        <f t="shared" si="108"/>
        <v>1,3</v>
      </c>
      <c r="E282" s="4"/>
      <c r="F282" s="5">
        <f>F281</f>
        <v>43930.75</v>
      </c>
      <c r="G282" s="4">
        <f t="shared" si="100"/>
        <v>120</v>
      </c>
      <c r="H282" s="4" t="s">
        <v>8</v>
      </c>
      <c r="I282" s="4" t="s">
        <v>8</v>
      </c>
      <c r="J282" s="4">
        <f t="shared" si="98"/>
        <v>5</v>
      </c>
      <c r="K282" s="4">
        <f>HOUR(F282)</f>
        <v>18</v>
      </c>
    </row>
    <row r="283" spans="1:11" ht="15.75" thickBot="1" x14ac:dyDescent="0.3">
      <c r="A283" s="3">
        <f t="shared" ref="A283:A286" si="110">A282+1</f>
        <v>279</v>
      </c>
      <c r="B283" s="4" t="str">
        <f t="shared" si="99"/>
        <v>2</v>
      </c>
      <c r="C283" s="4">
        <f t="shared" si="109"/>
        <v>4</v>
      </c>
      <c r="D283" s="4">
        <v>5</v>
      </c>
      <c r="E283" s="4"/>
      <c r="F283" s="5">
        <f>F281</f>
        <v>43930.75</v>
      </c>
      <c r="G283" s="4">
        <f t="shared" si="100"/>
        <v>105</v>
      </c>
      <c r="H283" s="4" t="s">
        <v>9</v>
      </c>
      <c r="I283" s="4" t="s">
        <v>12</v>
      </c>
      <c r="J283" s="4">
        <f t="shared" si="98"/>
        <v>5</v>
      </c>
      <c r="K283" s="4">
        <f>HOUR(F283)</f>
        <v>18</v>
      </c>
    </row>
    <row r="284" spans="1:11" ht="15.75" thickBot="1" x14ac:dyDescent="0.3">
      <c r="A284" s="3">
        <f t="shared" si="110"/>
        <v>280</v>
      </c>
      <c r="B284" s="4" t="str">
        <f t="shared" si="99"/>
        <v>1</v>
      </c>
      <c r="C284" s="4">
        <f t="shared" si="109"/>
        <v>5</v>
      </c>
      <c r="D284" s="4"/>
      <c r="E284" s="4"/>
      <c r="F284" s="5">
        <f>F281</f>
        <v>43930.75</v>
      </c>
      <c r="G284" s="4">
        <f t="shared" si="100"/>
        <v>90</v>
      </c>
      <c r="H284" s="4" t="s">
        <v>15</v>
      </c>
      <c r="I284" s="4" t="s">
        <v>10</v>
      </c>
      <c r="J284" s="4">
        <f t="shared" si="98"/>
        <v>5</v>
      </c>
      <c r="K284" s="4">
        <f>HOUR(F284)</f>
        <v>18</v>
      </c>
    </row>
    <row r="285" spans="1:11" ht="15.75" thickBot="1" x14ac:dyDescent="0.3">
      <c r="A285" s="3">
        <f t="shared" si="110"/>
        <v>281</v>
      </c>
      <c r="B285" s="4" t="str">
        <f t="shared" si="99"/>
        <v>5</v>
      </c>
      <c r="C285" s="4">
        <f t="shared" si="109"/>
        <v>5</v>
      </c>
      <c r="D285" s="4"/>
      <c r="E285" s="4"/>
      <c r="F285" s="5">
        <f>F281</f>
        <v>43930.75</v>
      </c>
      <c r="G285" s="4">
        <f t="shared" si="100"/>
        <v>90</v>
      </c>
      <c r="H285" s="4" t="s">
        <v>16</v>
      </c>
      <c r="I285" s="4" t="s">
        <v>10</v>
      </c>
      <c r="J285" s="4">
        <f t="shared" si="98"/>
        <v>5</v>
      </c>
      <c r="K285" s="4">
        <f>HOUR(F285)</f>
        <v>18</v>
      </c>
    </row>
    <row r="286" spans="1:11" ht="15.75" thickBot="1" x14ac:dyDescent="0.3">
      <c r="A286" s="3">
        <f t="shared" si="110"/>
        <v>282</v>
      </c>
      <c r="B286" s="4" t="str">
        <f t="shared" si="99"/>
        <v>6</v>
      </c>
      <c r="C286" s="4">
        <f t="shared" si="109"/>
        <v>3</v>
      </c>
      <c r="D286" s="4" t="s">
        <v>55</v>
      </c>
      <c r="E286" s="4"/>
      <c r="F286" s="5">
        <f>F281</f>
        <v>43930.75</v>
      </c>
      <c r="G286" s="4">
        <f t="shared" si="100"/>
        <v>105</v>
      </c>
      <c r="H286" s="4" t="s">
        <v>17</v>
      </c>
      <c r="I286" s="4" t="s">
        <v>11</v>
      </c>
      <c r="J286" s="4">
        <f t="shared" si="98"/>
        <v>5</v>
      </c>
      <c r="K286" s="4">
        <f>HOUR(F286)</f>
        <v>18</v>
      </c>
    </row>
    <row r="287" spans="1:11" ht="15.75" thickBot="1" x14ac:dyDescent="0.3">
      <c r="A287" s="3">
        <f>A286+1</f>
        <v>283</v>
      </c>
      <c r="B287" s="4" t="str">
        <f t="shared" si="99"/>
        <v>4</v>
      </c>
      <c r="C287" s="4">
        <f>VLOOKUP(I287,league_id,2,FALSE)</f>
        <v>1</v>
      </c>
      <c r="D287" s="4">
        <f t="shared" ref="D287:D288" si="111">VLOOKUP(H287,slot_compat,3,FALSE)</f>
        <v>2</v>
      </c>
      <c r="E287" s="4"/>
      <c r="F287" s="5">
        <v>43934.75</v>
      </c>
      <c r="G287" s="4">
        <f t="shared" si="100"/>
        <v>120</v>
      </c>
      <c r="H287" s="4" t="s">
        <v>7</v>
      </c>
      <c r="I287" s="4" t="s">
        <v>7</v>
      </c>
      <c r="J287" s="4">
        <f t="shared" si="98"/>
        <v>2</v>
      </c>
      <c r="K287" s="4">
        <f>HOUR(F287)</f>
        <v>18</v>
      </c>
    </row>
    <row r="288" spans="1:11" ht="15.75" thickBot="1" x14ac:dyDescent="0.3">
      <c r="A288" s="3">
        <f>A287+1</f>
        <v>284</v>
      </c>
      <c r="B288" s="4" t="str">
        <f t="shared" si="99"/>
        <v>3</v>
      </c>
      <c r="C288" s="4">
        <f t="shared" ref="C288:C292" si="112">VLOOKUP(I288,league_id,2,FALSE)</f>
        <v>2</v>
      </c>
      <c r="D288" s="4" t="str">
        <f t="shared" si="111"/>
        <v>1,3</v>
      </c>
      <c r="E288" s="4"/>
      <c r="F288" s="5">
        <f>F287</f>
        <v>43934.75</v>
      </c>
      <c r="G288" s="4">
        <f t="shared" si="100"/>
        <v>120</v>
      </c>
      <c r="H288" s="4" t="s">
        <v>8</v>
      </c>
      <c r="I288" s="4" t="s">
        <v>8</v>
      </c>
      <c r="J288" s="4">
        <f t="shared" si="98"/>
        <v>2</v>
      </c>
      <c r="K288" s="4">
        <f>HOUR(F288)</f>
        <v>18</v>
      </c>
    </row>
    <row r="289" spans="1:11" ht="15.75" thickBot="1" x14ac:dyDescent="0.3">
      <c r="A289" s="3">
        <f t="shared" ref="A289:A292" si="113">A288+1</f>
        <v>285</v>
      </c>
      <c r="B289" s="4" t="str">
        <f t="shared" si="99"/>
        <v>2</v>
      </c>
      <c r="C289" s="4">
        <f t="shared" si="112"/>
        <v>4</v>
      </c>
      <c r="D289" s="4">
        <v>5</v>
      </c>
      <c r="E289" s="4"/>
      <c r="F289" s="5">
        <f>F287</f>
        <v>43934.75</v>
      </c>
      <c r="G289" s="4">
        <f t="shared" si="100"/>
        <v>105</v>
      </c>
      <c r="H289" s="4" t="s">
        <v>9</v>
      </c>
      <c r="I289" s="4" t="s">
        <v>12</v>
      </c>
      <c r="J289" s="4">
        <f t="shared" si="98"/>
        <v>2</v>
      </c>
      <c r="K289" s="4">
        <f>HOUR(F289)</f>
        <v>18</v>
      </c>
    </row>
    <row r="290" spans="1:11" ht="15.75" thickBot="1" x14ac:dyDescent="0.3">
      <c r="A290" s="3">
        <f t="shared" si="113"/>
        <v>286</v>
      </c>
      <c r="B290" s="4" t="str">
        <f t="shared" si="99"/>
        <v>1</v>
      </c>
      <c r="C290" s="4">
        <f t="shared" si="112"/>
        <v>5</v>
      </c>
      <c r="D290" s="4"/>
      <c r="E290" s="4"/>
      <c r="F290" s="5">
        <f>F287</f>
        <v>43934.75</v>
      </c>
      <c r="G290" s="4">
        <f t="shared" si="100"/>
        <v>90</v>
      </c>
      <c r="H290" s="4" t="s">
        <v>15</v>
      </c>
      <c r="I290" s="4" t="s">
        <v>10</v>
      </c>
      <c r="J290" s="4">
        <f t="shared" si="98"/>
        <v>2</v>
      </c>
      <c r="K290" s="4">
        <f>HOUR(F290)</f>
        <v>18</v>
      </c>
    </row>
    <row r="291" spans="1:11" ht="15.75" thickBot="1" x14ac:dyDescent="0.3">
      <c r="A291" s="3">
        <f t="shared" si="113"/>
        <v>287</v>
      </c>
      <c r="B291" s="4" t="str">
        <f t="shared" si="99"/>
        <v>5</v>
      </c>
      <c r="C291" s="4">
        <f t="shared" si="112"/>
        <v>5</v>
      </c>
      <c r="D291" s="4"/>
      <c r="E291" s="4"/>
      <c r="F291" s="5">
        <f>F287</f>
        <v>43934.75</v>
      </c>
      <c r="G291" s="4">
        <f t="shared" si="100"/>
        <v>90</v>
      </c>
      <c r="H291" s="4" t="s">
        <v>16</v>
      </c>
      <c r="I291" s="4" t="s">
        <v>10</v>
      </c>
      <c r="J291" s="4">
        <f t="shared" si="98"/>
        <v>2</v>
      </c>
      <c r="K291" s="4">
        <f>HOUR(F291)</f>
        <v>18</v>
      </c>
    </row>
    <row r="292" spans="1:11" ht="15.75" thickBot="1" x14ac:dyDescent="0.3">
      <c r="A292" s="3">
        <f t="shared" si="113"/>
        <v>288</v>
      </c>
      <c r="B292" s="4" t="str">
        <f t="shared" si="99"/>
        <v>6</v>
      </c>
      <c r="C292" s="4">
        <f t="shared" si="112"/>
        <v>3</v>
      </c>
      <c r="D292" s="4" t="s">
        <v>55</v>
      </c>
      <c r="E292" s="4"/>
      <c r="F292" s="5">
        <f>F287</f>
        <v>43934.75</v>
      </c>
      <c r="G292" s="4">
        <f t="shared" si="100"/>
        <v>105</v>
      </c>
      <c r="H292" s="4" t="s">
        <v>17</v>
      </c>
      <c r="I292" s="4" t="s">
        <v>11</v>
      </c>
      <c r="J292" s="4">
        <f t="shared" si="98"/>
        <v>2</v>
      </c>
      <c r="K292" s="4">
        <f>HOUR(F292)</f>
        <v>18</v>
      </c>
    </row>
    <row r="293" spans="1:11" ht="15.75" thickBot="1" x14ac:dyDescent="0.3">
      <c r="A293" s="3">
        <f>A292+1</f>
        <v>289</v>
      </c>
      <c r="B293" s="4" t="str">
        <f t="shared" si="99"/>
        <v>4</v>
      </c>
      <c r="C293" s="4">
        <f>VLOOKUP(I293,league_id,2,FALSE)</f>
        <v>1</v>
      </c>
      <c r="D293" s="4">
        <f t="shared" ref="D293:D294" si="114">VLOOKUP(H293,slot_compat,3,FALSE)</f>
        <v>2</v>
      </c>
      <c r="E293" s="4"/>
      <c r="F293" s="5">
        <v>43935.75</v>
      </c>
      <c r="G293" s="4">
        <f t="shared" si="100"/>
        <v>120</v>
      </c>
      <c r="H293" s="4" t="s">
        <v>7</v>
      </c>
      <c r="I293" s="4" t="s">
        <v>7</v>
      </c>
      <c r="J293" s="4">
        <f t="shared" si="98"/>
        <v>3</v>
      </c>
      <c r="K293" s="4">
        <f>HOUR(F293)</f>
        <v>18</v>
      </c>
    </row>
    <row r="294" spans="1:11" ht="15.75" thickBot="1" x14ac:dyDescent="0.3">
      <c r="A294" s="3">
        <f>A293+1</f>
        <v>290</v>
      </c>
      <c r="B294" s="4" t="str">
        <f t="shared" si="99"/>
        <v>3</v>
      </c>
      <c r="C294" s="4">
        <f t="shared" ref="C294:C298" si="115">VLOOKUP(I294,league_id,2,FALSE)</f>
        <v>2</v>
      </c>
      <c r="D294" s="4" t="str">
        <f t="shared" si="114"/>
        <v>1,3</v>
      </c>
      <c r="E294" s="4"/>
      <c r="F294" s="5">
        <f>F293</f>
        <v>43935.75</v>
      </c>
      <c r="G294" s="4">
        <f t="shared" si="100"/>
        <v>120</v>
      </c>
      <c r="H294" s="4" t="s">
        <v>8</v>
      </c>
      <c r="I294" s="4" t="s">
        <v>8</v>
      </c>
      <c r="J294" s="4">
        <f t="shared" si="98"/>
        <v>3</v>
      </c>
      <c r="K294" s="4">
        <f>HOUR(F294)</f>
        <v>18</v>
      </c>
    </row>
    <row r="295" spans="1:11" ht="15.75" thickBot="1" x14ac:dyDescent="0.3">
      <c r="A295" s="3">
        <f t="shared" ref="A295:A298" si="116">A294+1</f>
        <v>291</v>
      </c>
      <c r="B295" s="4" t="str">
        <f t="shared" si="99"/>
        <v>2</v>
      </c>
      <c r="C295" s="4">
        <f t="shared" si="115"/>
        <v>4</v>
      </c>
      <c r="D295" s="4">
        <v>5</v>
      </c>
      <c r="E295" s="4"/>
      <c r="F295" s="5">
        <f>F293</f>
        <v>43935.75</v>
      </c>
      <c r="G295" s="4">
        <f t="shared" si="100"/>
        <v>105</v>
      </c>
      <c r="H295" s="4" t="s">
        <v>9</v>
      </c>
      <c r="I295" s="4" t="s">
        <v>12</v>
      </c>
      <c r="J295" s="4">
        <f t="shared" si="98"/>
        <v>3</v>
      </c>
      <c r="K295" s="4">
        <f>HOUR(F295)</f>
        <v>18</v>
      </c>
    </row>
    <row r="296" spans="1:11" ht="15.75" thickBot="1" x14ac:dyDescent="0.3">
      <c r="A296" s="3">
        <f t="shared" si="116"/>
        <v>292</v>
      </c>
      <c r="B296" s="4" t="str">
        <f t="shared" si="99"/>
        <v>1</v>
      </c>
      <c r="C296" s="4">
        <f t="shared" si="115"/>
        <v>5</v>
      </c>
      <c r="D296" s="4"/>
      <c r="E296" s="4"/>
      <c r="F296" s="5">
        <f>F293</f>
        <v>43935.75</v>
      </c>
      <c r="G296" s="4">
        <f t="shared" si="100"/>
        <v>90</v>
      </c>
      <c r="H296" s="4" t="s">
        <v>15</v>
      </c>
      <c r="I296" s="4" t="s">
        <v>10</v>
      </c>
      <c r="J296" s="4">
        <f t="shared" si="98"/>
        <v>3</v>
      </c>
      <c r="K296" s="4">
        <f>HOUR(F296)</f>
        <v>18</v>
      </c>
    </row>
    <row r="297" spans="1:11" ht="15.75" thickBot="1" x14ac:dyDescent="0.3">
      <c r="A297" s="3">
        <f t="shared" si="116"/>
        <v>293</v>
      </c>
      <c r="B297" s="4" t="str">
        <f t="shared" si="99"/>
        <v>5</v>
      </c>
      <c r="C297" s="4">
        <f t="shared" si="115"/>
        <v>5</v>
      </c>
      <c r="D297" s="4"/>
      <c r="E297" s="4"/>
      <c r="F297" s="5">
        <f>F293</f>
        <v>43935.75</v>
      </c>
      <c r="G297" s="4">
        <f t="shared" si="100"/>
        <v>90</v>
      </c>
      <c r="H297" s="4" t="s">
        <v>16</v>
      </c>
      <c r="I297" s="4" t="s">
        <v>10</v>
      </c>
      <c r="J297" s="4">
        <f t="shared" si="98"/>
        <v>3</v>
      </c>
      <c r="K297" s="4">
        <f>HOUR(F297)</f>
        <v>18</v>
      </c>
    </row>
    <row r="298" spans="1:11" ht="15.75" thickBot="1" x14ac:dyDescent="0.3">
      <c r="A298" s="3">
        <f t="shared" si="116"/>
        <v>294</v>
      </c>
      <c r="B298" s="4" t="str">
        <f t="shared" si="99"/>
        <v>6</v>
      </c>
      <c r="C298" s="4">
        <f t="shared" si="115"/>
        <v>3</v>
      </c>
      <c r="D298" s="4" t="s">
        <v>55</v>
      </c>
      <c r="E298" s="4"/>
      <c r="F298" s="5">
        <f>F293</f>
        <v>43935.75</v>
      </c>
      <c r="G298" s="4">
        <f t="shared" si="100"/>
        <v>105</v>
      </c>
      <c r="H298" s="4" t="s">
        <v>17</v>
      </c>
      <c r="I298" s="4" t="s">
        <v>11</v>
      </c>
      <c r="J298" s="4">
        <f t="shared" si="98"/>
        <v>3</v>
      </c>
      <c r="K298" s="4">
        <f>HOUR(F298)</f>
        <v>18</v>
      </c>
    </row>
    <row r="299" spans="1:11" ht="15.75" thickBot="1" x14ac:dyDescent="0.3">
      <c r="A299" s="3">
        <f>A298+1</f>
        <v>295</v>
      </c>
      <c r="B299" s="4" t="str">
        <f t="shared" si="99"/>
        <v>4</v>
      </c>
      <c r="C299" s="4">
        <f>VLOOKUP(I299,league_id,2,FALSE)</f>
        <v>1</v>
      </c>
      <c r="D299" s="4">
        <f t="shared" ref="D299:D300" si="117">VLOOKUP(H299,slot_compat,3,FALSE)</f>
        <v>2</v>
      </c>
      <c r="E299" s="4"/>
      <c r="F299" s="5">
        <v>43936.75</v>
      </c>
      <c r="G299" s="4">
        <f t="shared" si="100"/>
        <v>120</v>
      </c>
      <c r="H299" s="4" t="s">
        <v>7</v>
      </c>
      <c r="I299" s="4" t="s">
        <v>7</v>
      </c>
      <c r="J299" s="4">
        <f t="shared" si="98"/>
        <v>4</v>
      </c>
      <c r="K299" s="4">
        <f>HOUR(F299)</f>
        <v>18</v>
      </c>
    </row>
    <row r="300" spans="1:11" ht="15.75" thickBot="1" x14ac:dyDescent="0.3">
      <c r="A300" s="3">
        <f>A299+1</f>
        <v>296</v>
      </c>
      <c r="B300" s="4" t="str">
        <f t="shared" si="99"/>
        <v>3</v>
      </c>
      <c r="C300" s="4">
        <f t="shared" ref="C300:C304" si="118">VLOOKUP(I300,league_id,2,FALSE)</f>
        <v>2</v>
      </c>
      <c r="D300" s="4" t="str">
        <f t="shared" si="117"/>
        <v>1,3</v>
      </c>
      <c r="E300" s="4"/>
      <c r="F300" s="5">
        <f>F299</f>
        <v>43936.75</v>
      </c>
      <c r="G300" s="4">
        <f t="shared" si="100"/>
        <v>120</v>
      </c>
      <c r="H300" s="4" t="s">
        <v>8</v>
      </c>
      <c r="I300" s="4" t="s">
        <v>8</v>
      </c>
      <c r="J300" s="4">
        <f t="shared" si="98"/>
        <v>4</v>
      </c>
      <c r="K300" s="4">
        <f>HOUR(F300)</f>
        <v>18</v>
      </c>
    </row>
    <row r="301" spans="1:11" ht="15.75" thickBot="1" x14ac:dyDescent="0.3">
      <c r="A301" s="3">
        <f t="shared" ref="A301:A304" si="119">A300+1</f>
        <v>297</v>
      </c>
      <c r="B301" s="4" t="str">
        <f t="shared" si="99"/>
        <v>2</v>
      </c>
      <c r="C301" s="4">
        <f t="shared" si="118"/>
        <v>4</v>
      </c>
      <c r="D301" s="4">
        <v>5</v>
      </c>
      <c r="E301" s="4"/>
      <c r="F301" s="5">
        <f>F299</f>
        <v>43936.75</v>
      </c>
      <c r="G301" s="4">
        <f t="shared" si="100"/>
        <v>105</v>
      </c>
      <c r="H301" s="4" t="s">
        <v>9</v>
      </c>
      <c r="I301" s="4" t="s">
        <v>12</v>
      </c>
      <c r="J301" s="4">
        <f t="shared" si="98"/>
        <v>4</v>
      </c>
      <c r="K301" s="4">
        <f>HOUR(F301)</f>
        <v>18</v>
      </c>
    </row>
    <row r="302" spans="1:11" ht="15.75" thickBot="1" x14ac:dyDescent="0.3">
      <c r="A302" s="3">
        <f t="shared" si="119"/>
        <v>298</v>
      </c>
      <c r="B302" s="4" t="str">
        <f t="shared" si="99"/>
        <v>1</v>
      </c>
      <c r="C302" s="4">
        <f t="shared" si="118"/>
        <v>5</v>
      </c>
      <c r="D302" s="4"/>
      <c r="E302" s="4"/>
      <c r="F302" s="5">
        <f>F299</f>
        <v>43936.75</v>
      </c>
      <c r="G302" s="4">
        <f t="shared" si="100"/>
        <v>90</v>
      </c>
      <c r="H302" s="4" t="s">
        <v>15</v>
      </c>
      <c r="I302" s="4" t="s">
        <v>10</v>
      </c>
      <c r="J302" s="4">
        <f t="shared" si="98"/>
        <v>4</v>
      </c>
      <c r="K302" s="4">
        <f>HOUR(F302)</f>
        <v>18</v>
      </c>
    </row>
    <row r="303" spans="1:11" ht="15.75" thickBot="1" x14ac:dyDescent="0.3">
      <c r="A303" s="3">
        <f t="shared" si="119"/>
        <v>299</v>
      </c>
      <c r="B303" s="4" t="str">
        <f t="shared" si="99"/>
        <v>5</v>
      </c>
      <c r="C303" s="4">
        <f t="shared" si="118"/>
        <v>5</v>
      </c>
      <c r="D303" s="4"/>
      <c r="E303" s="4"/>
      <c r="F303" s="5">
        <f>F299</f>
        <v>43936.75</v>
      </c>
      <c r="G303" s="4">
        <f t="shared" si="100"/>
        <v>90</v>
      </c>
      <c r="H303" s="4" t="s">
        <v>16</v>
      </c>
      <c r="I303" s="4" t="s">
        <v>10</v>
      </c>
      <c r="J303" s="4">
        <f t="shared" si="98"/>
        <v>4</v>
      </c>
      <c r="K303" s="4">
        <f>HOUR(F303)</f>
        <v>18</v>
      </c>
    </row>
    <row r="304" spans="1:11" ht="15.75" thickBot="1" x14ac:dyDescent="0.3">
      <c r="A304" s="3">
        <f t="shared" si="119"/>
        <v>300</v>
      </c>
      <c r="B304" s="4" t="str">
        <f t="shared" si="99"/>
        <v>6</v>
      </c>
      <c r="C304" s="4">
        <f t="shared" si="118"/>
        <v>3</v>
      </c>
      <c r="D304" s="4" t="s">
        <v>55</v>
      </c>
      <c r="E304" s="4"/>
      <c r="F304" s="5">
        <f>F299</f>
        <v>43936.75</v>
      </c>
      <c r="G304" s="4">
        <f t="shared" si="100"/>
        <v>105</v>
      </c>
      <c r="H304" s="4" t="s">
        <v>17</v>
      </c>
      <c r="I304" s="4" t="s">
        <v>11</v>
      </c>
      <c r="J304" s="4">
        <f t="shared" si="98"/>
        <v>4</v>
      </c>
      <c r="K304" s="4">
        <f>HOUR(F304)</f>
        <v>18</v>
      </c>
    </row>
    <row r="305" spans="1:11" ht="15.75" thickBot="1" x14ac:dyDescent="0.3">
      <c r="A305" s="3">
        <f>A304+1</f>
        <v>301</v>
      </c>
      <c r="B305" s="4" t="str">
        <f t="shared" si="99"/>
        <v>4</v>
      </c>
      <c r="C305" s="4">
        <f>VLOOKUP(I305,league_id,2,FALSE)</f>
        <v>1</v>
      </c>
      <c r="D305" s="4">
        <f t="shared" ref="D305:D306" si="120">VLOOKUP(H305,slot_compat,3,FALSE)</f>
        <v>2</v>
      </c>
      <c r="E305" s="4"/>
      <c r="F305" s="5">
        <v>43937.75</v>
      </c>
      <c r="G305" s="4">
        <f t="shared" si="100"/>
        <v>120</v>
      </c>
      <c r="H305" s="4" t="s">
        <v>7</v>
      </c>
      <c r="I305" s="4" t="s">
        <v>7</v>
      </c>
      <c r="J305" s="4">
        <f t="shared" si="98"/>
        <v>5</v>
      </c>
      <c r="K305" s="4">
        <f>HOUR(F305)</f>
        <v>18</v>
      </c>
    </row>
    <row r="306" spans="1:11" ht="15.75" thickBot="1" x14ac:dyDescent="0.3">
      <c r="A306" s="3">
        <f>A305+1</f>
        <v>302</v>
      </c>
      <c r="B306" s="4" t="str">
        <f t="shared" si="99"/>
        <v>3</v>
      </c>
      <c r="C306" s="4">
        <f t="shared" ref="C306:C369" si="121">VLOOKUP(I306,league_id,2,FALSE)</f>
        <v>2</v>
      </c>
      <c r="D306" s="4" t="str">
        <f t="shared" si="120"/>
        <v>1,3</v>
      </c>
      <c r="E306" s="4"/>
      <c r="F306" s="5">
        <f>F305</f>
        <v>43937.75</v>
      </c>
      <c r="G306" s="4">
        <f t="shared" si="100"/>
        <v>120</v>
      </c>
      <c r="H306" s="4" t="s">
        <v>8</v>
      </c>
      <c r="I306" s="4" t="s">
        <v>8</v>
      </c>
      <c r="J306" s="4">
        <f t="shared" si="98"/>
        <v>5</v>
      </c>
      <c r="K306" s="4">
        <f>HOUR(F306)</f>
        <v>18</v>
      </c>
    </row>
    <row r="307" spans="1:11" ht="15.75" thickBot="1" x14ac:dyDescent="0.3">
      <c r="A307" s="3">
        <f t="shared" ref="A307:A310" si="122">A306+1</f>
        <v>303</v>
      </c>
      <c r="B307" s="4" t="str">
        <f t="shared" si="99"/>
        <v>2</v>
      </c>
      <c r="C307" s="4">
        <f t="shared" si="121"/>
        <v>4</v>
      </c>
      <c r="D307" s="4">
        <v>5</v>
      </c>
      <c r="E307" s="4"/>
      <c r="F307" s="5">
        <f>F305</f>
        <v>43937.75</v>
      </c>
      <c r="G307" s="4">
        <f t="shared" si="100"/>
        <v>105</v>
      </c>
      <c r="H307" s="4" t="s">
        <v>9</v>
      </c>
      <c r="I307" s="4" t="s">
        <v>12</v>
      </c>
      <c r="J307" s="4">
        <f t="shared" si="98"/>
        <v>5</v>
      </c>
      <c r="K307" s="4">
        <f>HOUR(F307)</f>
        <v>18</v>
      </c>
    </row>
    <row r="308" spans="1:11" ht="15.75" thickBot="1" x14ac:dyDescent="0.3">
      <c r="A308" s="3">
        <f t="shared" si="122"/>
        <v>304</v>
      </c>
      <c r="B308" s="4" t="str">
        <f t="shared" si="99"/>
        <v>1</v>
      </c>
      <c r="C308" s="4">
        <f t="shared" si="121"/>
        <v>5</v>
      </c>
      <c r="D308" s="4"/>
      <c r="E308" s="4"/>
      <c r="F308" s="5">
        <f>F305</f>
        <v>43937.75</v>
      </c>
      <c r="G308" s="4">
        <f t="shared" si="100"/>
        <v>90</v>
      </c>
      <c r="H308" s="4" t="s">
        <v>15</v>
      </c>
      <c r="I308" s="4" t="s">
        <v>10</v>
      </c>
      <c r="J308" s="4">
        <f t="shared" si="98"/>
        <v>5</v>
      </c>
      <c r="K308" s="4">
        <f>HOUR(F308)</f>
        <v>18</v>
      </c>
    </row>
    <row r="309" spans="1:11" ht="15.75" thickBot="1" x14ac:dyDescent="0.3">
      <c r="A309" s="3">
        <f t="shared" si="122"/>
        <v>305</v>
      </c>
      <c r="B309" s="4" t="str">
        <f t="shared" si="99"/>
        <v>5</v>
      </c>
      <c r="C309" s="4">
        <f t="shared" si="121"/>
        <v>5</v>
      </c>
      <c r="D309" s="4"/>
      <c r="E309" s="4"/>
      <c r="F309" s="5">
        <f>F305</f>
        <v>43937.75</v>
      </c>
      <c r="G309" s="4">
        <f t="shared" si="100"/>
        <v>90</v>
      </c>
      <c r="H309" s="4" t="s">
        <v>16</v>
      </c>
      <c r="I309" s="4" t="s">
        <v>10</v>
      </c>
      <c r="J309" s="4">
        <f t="shared" si="98"/>
        <v>5</v>
      </c>
      <c r="K309" s="4">
        <f>HOUR(F309)</f>
        <v>18</v>
      </c>
    </row>
    <row r="310" spans="1:11" ht="15.75" thickBot="1" x14ac:dyDescent="0.3">
      <c r="A310" s="3">
        <f t="shared" si="122"/>
        <v>306</v>
      </c>
      <c r="B310" s="4" t="str">
        <f t="shared" si="99"/>
        <v>6</v>
      </c>
      <c r="C310" s="4">
        <f t="shared" si="121"/>
        <v>3</v>
      </c>
      <c r="D310" s="4" t="s">
        <v>55</v>
      </c>
      <c r="E310" s="4"/>
      <c r="F310" s="5">
        <f>F305</f>
        <v>43937.75</v>
      </c>
      <c r="G310" s="4">
        <f t="shared" si="100"/>
        <v>105</v>
      </c>
      <c r="H310" s="4" t="s">
        <v>17</v>
      </c>
      <c r="I310" s="4" t="s">
        <v>11</v>
      </c>
      <c r="J310" s="4">
        <f t="shared" si="98"/>
        <v>5</v>
      </c>
      <c r="K310" s="4">
        <f>HOUR(F310)</f>
        <v>18</v>
      </c>
    </row>
    <row r="311" spans="1:11" ht="15.75" thickBot="1" x14ac:dyDescent="0.3">
      <c r="A311" s="3">
        <f>A310+1</f>
        <v>307</v>
      </c>
      <c r="B311" s="4" t="str">
        <f t="shared" si="99"/>
        <v>4</v>
      </c>
      <c r="C311" s="4">
        <f t="shared" si="121"/>
        <v>1</v>
      </c>
      <c r="D311" s="4">
        <f t="shared" ref="D311:D320" si="123">VLOOKUP(H311,slot_compat,3,FALSE)</f>
        <v>2</v>
      </c>
      <c r="E311" s="4"/>
      <c r="F311" s="5">
        <v>43938.75</v>
      </c>
      <c r="G311" s="4">
        <f t="shared" si="100"/>
        <v>120</v>
      </c>
      <c r="H311" s="4" t="s">
        <v>7</v>
      </c>
      <c r="I311" s="4" t="s">
        <v>7</v>
      </c>
      <c r="J311" s="4">
        <f t="shared" si="98"/>
        <v>6</v>
      </c>
      <c r="K311" s="4">
        <f>HOUR(F311)</f>
        <v>18</v>
      </c>
    </row>
    <row r="312" spans="1:11" ht="15.75" thickBot="1" x14ac:dyDescent="0.3">
      <c r="A312" s="7">
        <f>A311+1</f>
        <v>308</v>
      </c>
      <c r="B312" s="8" t="str">
        <f t="shared" si="99"/>
        <v>4</v>
      </c>
      <c r="C312" s="8">
        <f t="shared" si="121"/>
        <v>1</v>
      </c>
      <c r="D312" s="8">
        <f t="shared" si="123"/>
        <v>2</v>
      </c>
      <c r="E312" s="8"/>
      <c r="F312" s="9">
        <f>F311+G311/60/24</f>
        <v>43938.833333333336</v>
      </c>
      <c r="G312" s="8">
        <f t="shared" si="100"/>
        <v>120</v>
      </c>
      <c r="H312" s="8" t="s">
        <v>7</v>
      </c>
      <c r="I312" s="8" t="s">
        <v>7</v>
      </c>
      <c r="J312" s="8">
        <f t="shared" si="98"/>
        <v>6</v>
      </c>
      <c r="K312" s="4">
        <f>HOUR(F312)</f>
        <v>20</v>
      </c>
    </row>
    <row r="313" spans="1:11" ht="15.75" thickBot="1" x14ac:dyDescent="0.3">
      <c r="A313" s="3">
        <f>A312+1</f>
        <v>309</v>
      </c>
      <c r="B313" s="4" t="str">
        <f t="shared" si="99"/>
        <v>3</v>
      </c>
      <c r="C313" s="4">
        <f t="shared" si="121"/>
        <v>2</v>
      </c>
      <c r="D313" s="4" t="str">
        <f t="shared" si="123"/>
        <v>1,3</v>
      </c>
      <c r="E313" s="4"/>
      <c r="F313" s="5">
        <f>F311</f>
        <v>43938.75</v>
      </c>
      <c r="G313" s="4">
        <f t="shared" si="100"/>
        <v>120</v>
      </c>
      <c r="H313" s="4" t="s">
        <v>8</v>
      </c>
      <c r="I313" s="4" t="s">
        <v>8</v>
      </c>
      <c r="J313" s="4">
        <f t="shared" si="98"/>
        <v>6</v>
      </c>
      <c r="K313" s="4">
        <f>HOUR(F313)</f>
        <v>18</v>
      </c>
    </row>
    <row r="314" spans="1:11" ht="15.75" thickBot="1" x14ac:dyDescent="0.3">
      <c r="A314" s="7">
        <f t="shared" ref="A314:A322" si="124">A313+1</f>
        <v>310</v>
      </c>
      <c r="B314" s="8" t="str">
        <f t="shared" si="99"/>
        <v>3</v>
      </c>
      <c r="C314" s="8">
        <f t="shared" si="121"/>
        <v>2</v>
      </c>
      <c r="D314" s="8" t="str">
        <f t="shared" si="123"/>
        <v>1,3</v>
      </c>
      <c r="E314" s="8"/>
      <c r="F314" s="9">
        <f>F313+G313/60/24</f>
        <v>43938.833333333336</v>
      </c>
      <c r="G314" s="8">
        <f t="shared" si="100"/>
        <v>120</v>
      </c>
      <c r="H314" s="8" t="s">
        <v>8</v>
      </c>
      <c r="I314" s="8" t="s">
        <v>8</v>
      </c>
      <c r="J314" s="8">
        <f t="shared" si="98"/>
        <v>6</v>
      </c>
      <c r="K314" s="4">
        <f>HOUR(F314)</f>
        <v>20</v>
      </c>
    </row>
    <row r="315" spans="1:11" ht="15.75" thickBot="1" x14ac:dyDescent="0.3">
      <c r="A315" s="3">
        <f>A314+1</f>
        <v>311</v>
      </c>
      <c r="B315" s="4" t="str">
        <f t="shared" si="99"/>
        <v>2</v>
      </c>
      <c r="C315" s="4">
        <f t="shared" si="121"/>
        <v>4</v>
      </c>
      <c r="D315" s="4">
        <v>5</v>
      </c>
      <c r="E315" s="4"/>
      <c r="F315" s="5">
        <f>F311</f>
        <v>43938.75</v>
      </c>
      <c r="G315" s="4">
        <f t="shared" si="100"/>
        <v>105</v>
      </c>
      <c r="H315" s="4" t="s">
        <v>9</v>
      </c>
      <c r="I315" s="4" t="s">
        <v>12</v>
      </c>
      <c r="J315" s="4">
        <f t="shared" si="98"/>
        <v>6</v>
      </c>
      <c r="K315" s="4">
        <f>HOUR(F315)</f>
        <v>18</v>
      </c>
    </row>
    <row r="316" spans="1:11" ht="15.75" thickBot="1" x14ac:dyDescent="0.3">
      <c r="A316" s="7">
        <f t="shared" si="124"/>
        <v>312</v>
      </c>
      <c r="B316" s="8" t="str">
        <f t="shared" si="99"/>
        <v>2</v>
      </c>
      <c r="C316" s="8">
        <f t="shared" si="121"/>
        <v>4</v>
      </c>
      <c r="D316" s="8">
        <v>5</v>
      </c>
      <c r="E316" s="8"/>
      <c r="F316" s="9">
        <f>F315+G315/60/24</f>
        <v>43938.822916666664</v>
      </c>
      <c r="G316" s="8">
        <f t="shared" si="100"/>
        <v>105</v>
      </c>
      <c r="H316" s="8" t="s">
        <v>9</v>
      </c>
      <c r="I316" s="8" t="s">
        <v>12</v>
      </c>
      <c r="J316" s="8">
        <f t="shared" si="98"/>
        <v>6</v>
      </c>
      <c r="K316" s="4">
        <f>HOUR(F316)</f>
        <v>19</v>
      </c>
    </row>
    <row r="317" spans="1:11" ht="15.75" thickBot="1" x14ac:dyDescent="0.3">
      <c r="A317" s="3">
        <f>A316+1</f>
        <v>313</v>
      </c>
      <c r="B317" s="4" t="str">
        <f t="shared" si="99"/>
        <v>1</v>
      </c>
      <c r="C317" s="4">
        <f t="shared" si="121"/>
        <v>5</v>
      </c>
      <c r="D317" s="4"/>
      <c r="E317" s="4"/>
      <c r="F317" s="5">
        <f>F311</f>
        <v>43938.75</v>
      </c>
      <c r="G317" s="4">
        <f t="shared" si="100"/>
        <v>90</v>
      </c>
      <c r="H317" s="4" t="s">
        <v>15</v>
      </c>
      <c r="I317" s="4" t="s">
        <v>10</v>
      </c>
      <c r="J317" s="4">
        <f t="shared" si="98"/>
        <v>6</v>
      </c>
      <c r="K317" s="4">
        <f>HOUR(F317)</f>
        <v>18</v>
      </c>
    </row>
    <row r="318" spans="1:11" ht="15.75" thickBot="1" x14ac:dyDescent="0.3">
      <c r="A318" s="7">
        <f t="shared" si="124"/>
        <v>314</v>
      </c>
      <c r="B318" s="8" t="str">
        <f t="shared" si="99"/>
        <v>1</v>
      </c>
      <c r="C318" s="8">
        <f t="shared" si="121"/>
        <v>5</v>
      </c>
      <c r="D318" s="8"/>
      <c r="E318" s="8"/>
      <c r="F318" s="9">
        <f>F317+G317/60/24</f>
        <v>43938.8125</v>
      </c>
      <c r="G318" s="8">
        <f t="shared" si="100"/>
        <v>90</v>
      </c>
      <c r="H318" s="8" t="s">
        <v>15</v>
      </c>
      <c r="I318" s="8" t="s">
        <v>10</v>
      </c>
      <c r="J318" s="8">
        <f t="shared" ref="J318:J345" si="125">WEEKDAY(F318)</f>
        <v>6</v>
      </c>
      <c r="K318" s="4">
        <f>HOUR(F318)</f>
        <v>19</v>
      </c>
    </row>
    <row r="319" spans="1:11" ht="15.75" thickBot="1" x14ac:dyDescent="0.3">
      <c r="A319" s="3">
        <f>A318+1</f>
        <v>315</v>
      </c>
      <c r="B319" s="4" t="str">
        <f t="shared" si="99"/>
        <v>5</v>
      </c>
      <c r="C319" s="4">
        <f t="shared" si="121"/>
        <v>5</v>
      </c>
      <c r="D319" s="4"/>
      <c r="E319" s="4"/>
      <c r="F319" s="5">
        <f>F311</f>
        <v>43938.75</v>
      </c>
      <c r="G319" s="4">
        <f t="shared" si="100"/>
        <v>90</v>
      </c>
      <c r="H319" s="4" t="s">
        <v>16</v>
      </c>
      <c r="I319" s="4" t="s">
        <v>10</v>
      </c>
      <c r="J319" s="4">
        <f t="shared" si="125"/>
        <v>6</v>
      </c>
      <c r="K319" s="4">
        <f>HOUR(F319)</f>
        <v>18</v>
      </c>
    </row>
    <row r="320" spans="1:11" ht="15.75" thickBot="1" x14ac:dyDescent="0.3">
      <c r="A320" s="7">
        <f t="shared" si="124"/>
        <v>316</v>
      </c>
      <c r="B320" s="8" t="str">
        <f t="shared" si="99"/>
        <v>5</v>
      </c>
      <c r="C320" s="8">
        <f t="shared" si="121"/>
        <v>4</v>
      </c>
      <c r="D320" s="8">
        <f t="shared" si="123"/>
        <v>5</v>
      </c>
      <c r="E320" s="8"/>
      <c r="F320" s="9">
        <f>F319+G319/60/24</f>
        <v>43938.8125</v>
      </c>
      <c r="G320" s="8">
        <f t="shared" si="100"/>
        <v>105</v>
      </c>
      <c r="H320" s="8" t="s">
        <v>16</v>
      </c>
      <c r="I320" s="8" t="s">
        <v>12</v>
      </c>
      <c r="J320" s="8">
        <f t="shared" si="125"/>
        <v>6</v>
      </c>
      <c r="K320" s="4">
        <f>HOUR(F320)</f>
        <v>19</v>
      </c>
    </row>
    <row r="321" spans="1:11" ht="15.75" thickBot="1" x14ac:dyDescent="0.3">
      <c r="A321" s="3">
        <f>A320+1</f>
        <v>317</v>
      </c>
      <c r="B321" s="4" t="str">
        <f t="shared" si="99"/>
        <v>6</v>
      </c>
      <c r="C321" s="4">
        <f t="shared" si="121"/>
        <v>3</v>
      </c>
      <c r="D321" s="4" t="s">
        <v>55</v>
      </c>
      <c r="E321" s="4"/>
      <c r="F321" s="5">
        <f>F311</f>
        <v>43938.75</v>
      </c>
      <c r="G321" s="4">
        <f t="shared" si="100"/>
        <v>105</v>
      </c>
      <c r="H321" s="4" t="s">
        <v>17</v>
      </c>
      <c r="I321" s="4" t="s">
        <v>11</v>
      </c>
      <c r="J321" s="4">
        <f t="shared" si="125"/>
        <v>6</v>
      </c>
      <c r="K321" s="4">
        <f>HOUR(F321)</f>
        <v>18</v>
      </c>
    </row>
    <row r="322" spans="1:11" ht="15.75" thickBot="1" x14ac:dyDescent="0.3">
      <c r="A322" s="10">
        <f t="shared" si="124"/>
        <v>318</v>
      </c>
      <c r="B322" s="11" t="str">
        <f t="shared" ref="B322:B385" si="126">VLOOKUP(H322,field_id,2,FALSE)</f>
        <v>6</v>
      </c>
      <c r="C322" s="11">
        <f t="shared" si="121"/>
        <v>3</v>
      </c>
      <c r="D322" s="11" t="s">
        <v>55</v>
      </c>
      <c r="E322" s="11"/>
      <c r="F322" s="12">
        <f>F321+G321/60/24</f>
        <v>43938.822916666664</v>
      </c>
      <c r="G322" s="11">
        <f t="shared" ref="G322:G385" si="127">VLOOKUP(I322,GameDuration,2,FALSE)</f>
        <v>105</v>
      </c>
      <c r="H322" s="11" t="s">
        <v>17</v>
      </c>
      <c r="I322" s="11" t="s">
        <v>11</v>
      </c>
      <c r="J322" s="11">
        <f t="shared" si="125"/>
        <v>6</v>
      </c>
      <c r="K322" s="4">
        <f>HOUR(F322)</f>
        <v>19</v>
      </c>
    </row>
    <row r="323" spans="1:11" ht="15.75" thickBot="1" x14ac:dyDescent="0.3">
      <c r="A323" s="3">
        <f>A322+1</f>
        <v>319</v>
      </c>
      <c r="B323" s="4" t="str">
        <f t="shared" si="126"/>
        <v>7</v>
      </c>
      <c r="C323" s="4">
        <f t="shared" si="121"/>
        <v>5</v>
      </c>
      <c r="D323" s="4">
        <v>6</v>
      </c>
      <c r="E323" s="4"/>
      <c r="F323" s="5">
        <f>F311</f>
        <v>43938.75</v>
      </c>
      <c r="G323" s="4">
        <f t="shared" si="127"/>
        <v>90</v>
      </c>
      <c r="H323" s="4" t="s">
        <v>18</v>
      </c>
      <c r="I323" s="4" t="s">
        <v>10</v>
      </c>
      <c r="J323" s="4">
        <f t="shared" si="125"/>
        <v>6</v>
      </c>
      <c r="K323" s="4">
        <f>HOUR(F323)</f>
        <v>18</v>
      </c>
    </row>
    <row r="324" spans="1:11" ht="15.75" thickBot="1" x14ac:dyDescent="0.3">
      <c r="A324" s="7">
        <f t="shared" ref="A324" si="128">A323+1</f>
        <v>320</v>
      </c>
      <c r="B324" s="8" t="str">
        <f t="shared" si="126"/>
        <v>7</v>
      </c>
      <c r="C324" s="8">
        <f t="shared" si="121"/>
        <v>2</v>
      </c>
      <c r="D324" s="8" t="s">
        <v>55</v>
      </c>
      <c r="E324" s="8"/>
      <c r="F324" s="9">
        <f>F323+G323/60/24</f>
        <v>43938.8125</v>
      </c>
      <c r="G324" s="8">
        <f t="shared" si="127"/>
        <v>120</v>
      </c>
      <c r="H324" s="8" t="s">
        <v>18</v>
      </c>
      <c r="I324" s="8" t="s">
        <v>8</v>
      </c>
      <c r="J324" s="8">
        <f t="shared" si="125"/>
        <v>6</v>
      </c>
      <c r="K324" s="4">
        <f>HOUR(F324)</f>
        <v>19</v>
      </c>
    </row>
    <row r="325" spans="1:11" ht="15.75" thickBot="1" x14ac:dyDescent="0.3">
      <c r="A325" s="3">
        <f>A324+1</f>
        <v>321</v>
      </c>
      <c r="B325" s="4" t="str">
        <f t="shared" si="126"/>
        <v>8</v>
      </c>
      <c r="C325" s="4">
        <f t="shared" si="121"/>
        <v>5</v>
      </c>
      <c r="D325" s="4"/>
      <c r="E325" s="4"/>
      <c r="F325" s="5">
        <f>F311</f>
        <v>43938.75</v>
      </c>
      <c r="G325" s="4">
        <f t="shared" si="127"/>
        <v>90</v>
      </c>
      <c r="H325" s="4" t="s">
        <v>19</v>
      </c>
      <c r="I325" s="4" t="s">
        <v>10</v>
      </c>
      <c r="J325" s="4">
        <f t="shared" si="125"/>
        <v>6</v>
      </c>
      <c r="K325" s="4">
        <f>HOUR(F325)</f>
        <v>18</v>
      </c>
    </row>
    <row r="326" spans="1:11" ht="15.75" thickBot="1" x14ac:dyDescent="0.3">
      <c r="A326" s="10">
        <f t="shared" ref="A326" si="129">A325+1</f>
        <v>322</v>
      </c>
      <c r="B326" s="11" t="str">
        <f t="shared" si="126"/>
        <v>8</v>
      </c>
      <c r="C326" s="11">
        <f t="shared" si="121"/>
        <v>2</v>
      </c>
      <c r="D326" s="11" t="s">
        <v>56</v>
      </c>
      <c r="E326" s="11"/>
      <c r="F326" s="12">
        <f>F325+G325/60/24</f>
        <v>43938.8125</v>
      </c>
      <c r="G326" s="11">
        <f t="shared" si="127"/>
        <v>120</v>
      </c>
      <c r="H326" s="11" t="s">
        <v>19</v>
      </c>
      <c r="I326" s="11" t="s">
        <v>8</v>
      </c>
      <c r="J326" s="11">
        <f t="shared" si="125"/>
        <v>6</v>
      </c>
      <c r="K326" s="4">
        <f>HOUR(F326)</f>
        <v>19</v>
      </c>
    </row>
    <row r="327" spans="1:11" ht="15.75" thickBot="1" x14ac:dyDescent="0.3">
      <c r="A327" s="3">
        <f>A326+1</f>
        <v>323</v>
      </c>
      <c r="B327" s="4" t="str">
        <f t="shared" si="126"/>
        <v>4</v>
      </c>
      <c r="C327" s="4">
        <f t="shared" si="121"/>
        <v>1</v>
      </c>
      <c r="D327" s="4">
        <f t="shared" ref="D327:D344" si="130">VLOOKUP(H327,slot_compat,3,FALSE)</f>
        <v>2</v>
      </c>
      <c r="E327" s="4"/>
      <c r="F327" s="5">
        <v>43939.375</v>
      </c>
      <c r="G327" s="4">
        <f t="shared" si="127"/>
        <v>120</v>
      </c>
      <c r="H327" s="4" t="s">
        <v>7</v>
      </c>
      <c r="I327" s="4" t="s">
        <v>7</v>
      </c>
      <c r="J327" s="4">
        <f t="shared" si="125"/>
        <v>7</v>
      </c>
      <c r="K327" s="4">
        <f>HOUR(F327)</f>
        <v>9</v>
      </c>
    </row>
    <row r="328" spans="1:11" ht="15.75" thickBot="1" x14ac:dyDescent="0.3">
      <c r="A328" s="7">
        <f>A327+1</f>
        <v>324</v>
      </c>
      <c r="B328" s="8" t="str">
        <f t="shared" si="126"/>
        <v>4</v>
      </c>
      <c r="C328" s="8">
        <f t="shared" si="121"/>
        <v>1</v>
      </c>
      <c r="D328" s="8">
        <f t="shared" si="130"/>
        <v>2</v>
      </c>
      <c r="E328" s="8"/>
      <c r="F328" s="9">
        <f>F327+G327/60/24</f>
        <v>43939.458333333336</v>
      </c>
      <c r="G328" s="8">
        <f t="shared" si="127"/>
        <v>120</v>
      </c>
      <c r="H328" s="8" t="s">
        <v>7</v>
      </c>
      <c r="I328" s="8" t="s">
        <v>7</v>
      </c>
      <c r="J328" s="8">
        <f t="shared" si="125"/>
        <v>7</v>
      </c>
      <c r="K328" s="4">
        <f>HOUR(F328)</f>
        <v>11</v>
      </c>
    </row>
    <row r="329" spans="1:11" ht="15.75" thickBot="1" x14ac:dyDescent="0.3">
      <c r="A329" s="7">
        <f t="shared" ref="A329:A377" si="131">A328+1</f>
        <v>325</v>
      </c>
      <c r="B329" s="8" t="str">
        <f t="shared" si="126"/>
        <v>4</v>
      </c>
      <c r="C329" s="8">
        <f t="shared" si="121"/>
        <v>1</v>
      </c>
      <c r="D329" s="8">
        <f t="shared" si="130"/>
        <v>2</v>
      </c>
      <c r="E329" s="8"/>
      <c r="F329" s="9">
        <f>F328+G328/60/24</f>
        <v>43939.541666666672</v>
      </c>
      <c r="G329" s="8">
        <f t="shared" si="127"/>
        <v>120</v>
      </c>
      <c r="H329" s="8" t="s">
        <v>7</v>
      </c>
      <c r="I329" s="8" t="s">
        <v>7</v>
      </c>
      <c r="J329" s="8">
        <f t="shared" si="125"/>
        <v>7</v>
      </c>
      <c r="K329" s="4">
        <f>HOUR(F329)</f>
        <v>13</v>
      </c>
    </row>
    <row r="330" spans="1:11" ht="15.75" thickBot="1" x14ac:dyDescent="0.3">
      <c r="A330" s="7">
        <f t="shared" si="131"/>
        <v>326</v>
      </c>
      <c r="B330" s="8" t="str">
        <f t="shared" si="126"/>
        <v>4</v>
      </c>
      <c r="C330" s="8">
        <f t="shared" si="121"/>
        <v>1</v>
      </c>
      <c r="D330" s="8">
        <f t="shared" si="130"/>
        <v>2</v>
      </c>
      <c r="E330" s="8"/>
      <c r="F330" s="9">
        <f>F329+G329/60/24</f>
        <v>43939.625000000007</v>
      </c>
      <c r="G330" s="8">
        <f t="shared" si="127"/>
        <v>120</v>
      </c>
      <c r="H330" s="8" t="s">
        <v>7</v>
      </c>
      <c r="I330" s="8" t="s">
        <v>7</v>
      </c>
      <c r="J330" s="8">
        <f t="shared" si="125"/>
        <v>7</v>
      </c>
      <c r="K330" s="4">
        <f>HOUR(F330)</f>
        <v>15</v>
      </c>
    </row>
    <row r="331" spans="1:11" ht="15.75" thickBot="1" x14ac:dyDescent="0.3">
      <c r="A331" s="7">
        <f>A329+1</f>
        <v>326</v>
      </c>
      <c r="B331" s="8" t="str">
        <f t="shared" si="126"/>
        <v>4</v>
      </c>
      <c r="C331" s="8">
        <f t="shared" si="121"/>
        <v>1</v>
      </c>
      <c r="D331" s="8">
        <f t="shared" si="130"/>
        <v>2</v>
      </c>
      <c r="E331" s="8"/>
      <c r="F331" s="9">
        <f>F330+G330/60/24</f>
        <v>43939.708333333343</v>
      </c>
      <c r="G331" s="8">
        <f t="shared" si="127"/>
        <v>120</v>
      </c>
      <c r="H331" s="8" t="s">
        <v>7</v>
      </c>
      <c r="I331" s="8" t="s">
        <v>7</v>
      </c>
      <c r="J331" s="8">
        <f t="shared" si="125"/>
        <v>7</v>
      </c>
      <c r="K331" s="4">
        <f>HOUR(F331)</f>
        <v>17</v>
      </c>
    </row>
    <row r="332" spans="1:11" ht="15.75" thickBot="1" x14ac:dyDescent="0.3">
      <c r="A332" s="10">
        <f>A330+1</f>
        <v>327</v>
      </c>
      <c r="B332" s="11" t="str">
        <f t="shared" si="126"/>
        <v>4</v>
      </c>
      <c r="C332" s="11">
        <f t="shared" si="121"/>
        <v>1</v>
      </c>
      <c r="D332" s="11">
        <f t="shared" si="130"/>
        <v>2</v>
      </c>
      <c r="E332" s="11"/>
      <c r="F332" s="9">
        <f>F331+G331/60/24</f>
        <v>43939.791666666679</v>
      </c>
      <c r="G332" s="11">
        <f t="shared" si="127"/>
        <v>120</v>
      </c>
      <c r="H332" s="11" t="s">
        <v>7</v>
      </c>
      <c r="I332" s="11" t="s">
        <v>7</v>
      </c>
      <c r="J332" s="11">
        <f t="shared" si="125"/>
        <v>7</v>
      </c>
      <c r="K332" s="4">
        <f>HOUR(F332)</f>
        <v>19</v>
      </c>
    </row>
    <row r="333" spans="1:11" ht="15.75" thickBot="1" x14ac:dyDescent="0.3">
      <c r="A333" s="3">
        <f t="shared" si="131"/>
        <v>328</v>
      </c>
      <c r="B333" s="4" t="str">
        <f t="shared" si="126"/>
        <v>3</v>
      </c>
      <c r="C333" s="8">
        <f t="shared" si="121"/>
        <v>2</v>
      </c>
      <c r="D333" s="8" t="str">
        <f t="shared" si="130"/>
        <v>1,3</v>
      </c>
      <c r="E333" s="4"/>
      <c r="F333" s="5">
        <f>F327</f>
        <v>43939.375</v>
      </c>
      <c r="G333" s="4">
        <f t="shared" si="127"/>
        <v>120</v>
      </c>
      <c r="H333" s="4" t="s">
        <v>8</v>
      </c>
      <c r="I333" s="4" t="s">
        <v>8</v>
      </c>
      <c r="J333" s="4">
        <f t="shared" si="125"/>
        <v>7</v>
      </c>
      <c r="K333" s="4">
        <f>HOUR(F333)</f>
        <v>9</v>
      </c>
    </row>
    <row r="334" spans="1:11" ht="15.75" thickBot="1" x14ac:dyDescent="0.3">
      <c r="A334" s="7">
        <f t="shared" si="131"/>
        <v>329</v>
      </c>
      <c r="B334" s="8" t="str">
        <f t="shared" si="126"/>
        <v>3</v>
      </c>
      <c r="C334" s="8">
        <f t="shared" si="121"/>
        <v>2</v>
      </c>
      <c r="D334" s="8" t="str">
        <f t="shared" si="130"/>
        <v>1,3</v>
      </c>
      <c r="E334" s="8"/>
      <c r="F334" s="9">
        <f>F333+G333/60/24</f>
        <v>43939.458333333336</v>
      </c>
      <c r="G334" s="8">
        <f t="shared" si="127"/>
        <v>120</v>
      </c>
      <c r="H334" s="8" t="s">
        <v>8</v>
      </c>
      <c r="I334" s="8" t="s">
        <v>8</v>
      </c>
      <c r="J334" s="8">
        <f t="shared" si="125"/>
        <v>7</v>
      </c>
      <c r="K334" s="4">
        <f>HOUR(F334)</f>
        <v>11</v>
      </c>
    </row>
    <row r="335" spans="1:11" ht="15.75" thickBot="1" x14ac:dyDescent="0.3">
      <c r="A335" s="7">
        <f t="shared" si="131"/>
        <v>330</v>
      </c>
      <c r="B335" s="8" t="str">
        <f t="shared" si="126"/>
        <v>3</v>
      </c>
      <c r="C335" s="8">
        <f t="shared" si="121"/>
        <v>2</v>
      </c>
      <c r="D335" s="8" t="str">
        <f t="shared" si="130"/>
        <v>1,3</v>
      </c>
      <c r="E335" s="8"/>
      <c r="F335" s="9">
        <f t="shared" ref="F335:F338" si="132">F334+G334/60/24</f>
        <v>43939.541666666672</v>
      </c>
      <c r="G335" s="8">
        <f t="shared" si="127"/>
        <v>120</v>
      </c>
      <c r="H335" s="8" t="s">
        <v>8</v>
      </c>
      <c r="I335" s="8" t="s">
        <v>8</v>
      </c>
      <c r="J335" s="8">
        <f t="shared" si="125"/>
        <v>7</v>
      </c>
      <c r="K335" s="4">
        <f>HOUR(F335)</f>
        <v>13</v>
      </c>
    </row>
    <row r="336" spans="1:11" ht="15.75" thickBot="1" x14ac:dyDescent="0.3">
      <c r="A336" s="7">
        <f t="shared" si="131"/>
        <v>331</v>
      </c>
      <c r="B336" s="8" t="str">
        <f t="shared" si="126"/>
        <v>3</v>
      </c>
      <c r="C336" s="8">
        <f t="shared" si="121"/>
        <v>2</v>
      </c>
      <c r="D336" s="8" t="str">
        <f t="shared" si="130"/>
        <v>1,3</v>
      </c>
      <c r="E336" s="8"/>
      <c r="F336" s="9">
        <f t="shared" si="132"/>
        <v>43939.625000000007</v>
      </c>
      <c r="G336" s="8">
        <f t="shared" si="127"/>
        <v>120</v>
      </c>
      <c r="H336" s="8" t="s">
        <v>8</v>
      </c>
      <c r="I336" s="8" t="s">
        <v>8</v>
      </c>
      <c r="J336" s="8">
        <f t="shared" si="125"/>
        <v>7</v>
      </c>
      <c r="K336" s="4">
        <f>HOUR(F336)</f>
        <v>15</v>
      </c>
    </row>
    <row r="337" spans="1:11" ht="15.75" thickBot="1" x14ac:dyDescent="0.3">
      <c r="A337" s="7">
        <f t="shared" si="131"/>
        <v>332</v>
      </c>
      <c r="B337" s="8" t="str">
        <f t="shared" si="126"/>
        <v>3</v>
      </c>
      <c r="C337" s="8">
        <f t="shared" si="121"/>
        <v>2</v>
      </c>
      <c r="D337" s="8" t="str">
        <f t="shared" si="130"/>
        <v>1,3</v>
      </c>
      <c r="E337" s="8"/>
      <c r="F337" s="9">
        <f t="shared" si="132"/>
        <v>43939.708333333343</v>
      </c>
      <c r="G337" s="8">
        <f t="shared" si="127"/>
        <v>120</v>
      </c>
      <c r="H337" s="8" t="s">
        <v>8</v>
      </c>
      <c r="I337" s="8" t="s">
        <v>8</v>
      </c>
      <c r="J337" s="8">
        <f t="shared" si="125"/>
        <v>7</v>
      </c>
      <c r="K337" s="4">
        <f>HOUR(F337)</f>
        <v>17</v>
      </c>
    </row>
    <row r="338" spans="1:11" ht="15.75" thickBot="1" x14ac:dyDescent="0.3">
      <c r="A338" s="7">
        <f t="shared" si="131"/>
        <v>333</v>
      </c>
      <c r="B338" s="8" t="str">
        <f t="shared" si="126"/>
        <v>3</v>
      </c>
      <c r="C338" s="8">
        <f t="shared" si="121"/>
        <v>2</v>
      </c>
      <c r="D338" s="8" t="str">
        <f t="shared" si="130"/>
        <v>1,3</v>
      </c>
      <c r="E338" s="8"/>
      <c r="F338" s="9">
        <f t="shared" si="132"/>
        <v>43939.791666666679</v>
      </c>
      <c r="G338" s="8">
        <f t="shared" si="127"/>
        <v>120</v>
      </c>
      <c r="H338" s="8" t="s">
        <v>8</v>
      </c>
      <c r="I338" s="8" t="s">
        <v>8</v>
      </c>
      <c r="J338" s="8">
        <f t="shared" si="125"/>
        <v>7</v>
      </c>
      <c r="K338" s="4">
        <f>HOUR(F338)</f>
        <v>19</v>
      </c>
    </row>
    <row r="339" spans="1:11" ht="15.75" thickBot="1" x14ac:dyDescent="0.3">
      <c r="A339" s="3">
        <f t="shared" si="131"/>
        <v>334</v>
      </c>
      <c r="B339" s="4" t="str">
        <f t="shared" si="126"/>
        <v>2</v>
      </c>
      <c r="C339" s="4">
        <f t="shared" si="121"/>
        <v>6</v>
      </c>
      <c r="D339" s="4"/>
      <c r="E339" s="4"/>
      <c r="F339" s="5">
        <f>F327</f>
        <v>43939.375</v>
      </c>
      <c r="G339" s="4">
        <f t="shared" si="127"/>
        <v>60</v>
      </c>
      <c r="H339" s="4" t="s">
        <v>9</v>
      </c>
      <c r="I339" s="4" t="s">
        <v>13</v>
      </c>
      <c r="J339" s="4">
        <f t="shared" si="125"/>
        <v>7</v>
      </c>
      <c r="K339" s="4">
        <f>HOUR(F339)</f>
        <v>9</v>
      </c>
    </row>
    <row r="340" spans="1:11" ht="15.75" thickBot="1" x14ac:dyDescent="0.3">
      <c r="A340" s="7">
        <f t="shared" si="131"/>
        <v>335</v>
      </c>
      <c r="B340" s="8" t="str">
        <f t="shared" si="126"/>
        <v>2</v>
      </c>
      <c r="C340" s="8">
        <f t="shared" si="121"/>
        <v>4</v>
      </c>
      <c r="D340" s="8" t="str">
        <f t="shared" si="130"/>
        <v>5,6</v>
      </c>
      <c r="E340" s="8"/>
      <c r="F340" s="9">
        <f>F339+G339/60/24</f>
        <v>43939.416666666664</v>
      </c>
      <c r="G340" s="8">
        <f t="shared" si="127"/>
        <v>105</v>
      </c>
      <c r="H340" s="8" t="s">
        <v>9</v>
      </c>
      <c r="I340" s="8" t="s">
        <v>12</v>
      </c>
      <c r="J340" s="8">
        <f t="shared" si="125"/>
        <v>7</v>
      </c>
      <c r="K340" s="4">
        <f>HOUR(F340)</f>
        <v>10</v>
      </c>
    </row>
    <row r="341" spans="1:11" ht="15.75" thickBot="1" x14ac:dyDescent="0.3">
      <c r="A341" s="7">
        <f t="shared" si="131"/>
        <v>336</v>
      </c>
      <c r="B341" s="8" t="str">
        <f t="shared" si="126"/>
        <v>2</v>
      </c>
      <c r="C341" s="8">
        <f t="shared" si="121"/>
        <v>4</v>
      </c>
      <c r="D341" s="8" t="str">
        <f t="shared" si="130"/>
        <v>5,6</v>
      </c>
      <c r="E341" s="8"/>
      <c r="F341" s="9">
        <f t="shared" ref="F341:F345" si="133">F340+G340/60/24</f>
        <v>43939.489583333328</v>
      </c>
      <c r="G341" s="8">
        <f t="shared" si="127"/>
        <v>105</v>
      </c>
      <c r="H341" s="8" t="s">
        <v>9</v>
      </c>
      <c r="I341" s="8" t="s">
        <v>12</v>
      </c>
      <c r="J341" s="8">
        <f t="shared" si="125"/>
        <v>7</v>
      </c>
      <c r="K341" s="4">
        <f>HOUR(F341)</f>
        <v>11</v>
      </c>
    </row>
    <row r="342" spans="1:11" ht="15.75" thickBot="1" x14ac:dyDescent="0.3">
      <c r="A342" s="7">
        <f t="shared" si="131"/>
        <v>337</v>
      </c>
      <c r="B342" s="8" t="str">
        <f t="shared" si="126"/>
        <v>2</v>
      </c>
      <c r="C342" s="8">
        <f t="shared" si="121"/>
        <v>4</v>
      </c>
      <c r="D342" s="8" t="str">
        <f t="shared" si="130"/>
        <v>5,6</v>
      </c>
      <c r="E342" s="8"/>
      <c r="F342" s="9">
        <f t="shared" si="133"/>
        <v>43939.562499999993</v>
      </c>
      <c r="G342" s="8">
        <f t="shared" si="127"/>
        <v>105</v>
      </c>
      <c r="H342" s="8" t="s">
        <v>9</v>
      </c>
      <c r="I342" s="8" t="s">
        <v>12</v>
      </c>
      <c r="J342" s="8">
        <f t="shared" si="125"/>
        <v>7</v>
      </c>
      <c r="K342" s="4">
        <f>HOUR(F342)</f>
        <v>13</v>
      </c>
    </row>
    <row r="343" spans="1:11" ht="15.75" thickBot="1" x14ac:dyDescent="0.3">
      <c r="A343" s="7">
        <f t="shared" si="131"/>
        <v>338</v>
      </c>
      <c r="B343" s="8" t="str">
        <f t="shared" si="126"/>
        <v>2</v>
      </c>
      <c r="C343" s="8">
        <f t="shared" si="121"/>
        <v>4</v>
      </c>
      <c r="D343" s="8" t="str">
        <f t="shared" si="130"/>
        <v>5,6</v>
      </c>
      <c r="E343" s="8"/>
      <c r="F343" s="9">
        <f t="shared" si="133"/>
        <v>43939.635416666657</v>
      </c>
      <c r="G343" s="8">
        <f t="shared" si="127"/>
        <v>105</v>
      </c>
      <c r="H343" s="8" t="s">
        <v>9</v>
      </c>
      <c r="I343" s="8" t="s">
        <v>12</v>
      </c>
      <c r="J343" s="8">
        <f t="shared" si="125"/>
        <v>7</v>
      </c>
      <c r="K343" s="4">
        <f>HOUR(F343)</f>
        <v>15</v>
      </c>
    </row>
    <row r="344" spans="1:11" ht="15.75" thickBot="1" x14ac:dyDescent="0.3">
      <c r="A344" s="7">
        <f t="shared" si="131"/>
        <v>339</v>
      </c>
      <c r="B344" s="8" t="str">
        <f t="shared" si="126"/>
        <v>2</v>
      </c>
      <c r="C344" s="8">
        <f t="shared" si="121"/>
        <v>4</v>
      </c>
      <c r="D344" s="8" t="str">
        <f t="shared" si="130"/>
        <v>5,6</v>
      </c>
      <c r="E344" s="8"/>
      <c r="F344" s="9">
        <f t="shared" si="133"/>
        <v>43939.708333333321</v>
      </c>
      <c r="G344" s="8">
        <f t="shared" si="127"/>
        <v>105</v>
      </c>
      <c r="H344" s="8" t="s">
        <v>9</v>
      </c>
      <c r="I344" s="8" t="s">
        <v>12</v>
      </c>
      <c r="J344" s="8">
        <f t="shared" si="125"/>
        <v>7</v>
      </c>
      <c r="K344" s="4">
        <f>HOUR(F344)</f>
        <v>17</v>
      </c>
    </row>
    <row r="345" spans="1:11" ht="15.75" thickBot="1" x14ac:dyDescent="0.3">
      <c r="A345" s="7">
        <f t="shared" si="131"/>
        <v>340</v>
      </c>
      <c r="B345" s="8" t="str">
        <f t="shared" si="126"/>
        <v>2</v>
      </c>
      <c r="C345" s="8">
        <f t="shared" si="121"/>
        <v>4</v>
      </c>
      <c r="D345" s="8"/>
      <c r="E345" s="8"/>
      <c r="F345" s="9">
        <f t="shared" si="133"/>
        <v>43939.781249999985</v>
      </c>
      <c r="G345" s="8">
        <f t="shared" si="127"/>
        <v>105</v>
      </c>
      <c r="H345" s="8" t="s">
        <v>9</v>
      </c>
      <c r="I345" s="8" t="s">
        <v>12</v>
      </c>
      <c r="J345" s="8">
        <f t="shared" si="125"/>
        <v>7</v>
      </c>
      <c r="K345" s="4">
        <f>HOUR(F345)</f>
        <v>18</v>
      </c>
    </row>
    <row r="346" spans="1:11" ht="15.75" thickBot="1" x14ac:dyDescent="0.3">
      <c r="A346" s="3">
        <f t="shared" si="131"/>
        <v>341</v>
      </c>
      <c r="B346" s="4" t="str">
        <f t="shared" si="126"/>
        <v>1</v>
      </c>
      <c r="C346" s="4">
        <v>6</v>
      </c>
      <c r="D346" s="4"/>
      <c r="E346" s="4"/>
      <c r="F346" s="5">
        <f>F327</f>
        <v>43939.375</v>
      </c>
      <c r="G346" s="4">
        <f t="shared" si="127"/>
        <v>60</v>
      </c>
      <c r="H346" s="4" t="s">
        <v>15</v>
      </c>
      <c r="I346" s="4" t="s">
        <v>14</v>
      </c>
      <c r="J346" s="4">
        <f>WEEKDAY(F346)</f>
        <v>7</v>
      </c>
      <c r="K346" s="4">
        <f>HOUR(F346)</f>
        <v>9</v>
      </c>
    </row>
    <row r="347" spans="1:11" ht="15.75" thickBot="1" x14ac:dyDescent="0.3">
      <c r="A347" s="7">
        <f t="shared" si="131"/>
        <v>342</v>
      </c>
      <c r="B347" s="8" t="str">
        <f t="shared" si="126"/>
        <v>1</v>
      </c>
      <c r="C347" s="8">
        <f t="shared" si="121"/>
        <v>6</v>
      </c>
      <c r="D347" s="8"/>
      <c r="E347" s="8"/>
      <c r="F347" s="9">
        <f>F346+G346/60/24</f>
        <v>43939.416666666664</v>
      </c>
      <c r="G347" s="8">
        <f t="shared" si="127"/>
        <v>60</v>
      </c>
      <c r="H347" s="8" t="s">
        <v>15</v>
      </c>
      <c r="I347" s="8" t="s">
        <v>13</v>
      </c>
      <c r="J347" s="8">
        <f>WEEKDAY(F347)</f>
        <v>7</v>
      </c>
      <c r="K347" s="4">
        <f>HOUR(F347)</f>
        <v>10</v>
      </c>
    </row>
    <row r="348" spans="1:11" ht="15.75" thickBot="1" x14ac:dyDescent="0.3">
      <c r="A348" s="7">
        <f t="shared" si="131"/>
        <v>343</v>
      </c>
      <c r="B348" s="8" t="str">
        <f t="shared" si="126"/>
        <v>1</v>
      </c>
      <c r="C348" s="8">
        <f t="shared" si="121"/>
        <v>5</v>
      </c>
      <c r="D348" s="8"/>
      <c r="E348" s="8"/>
      <c r="F348" s="9">
        <f t="shared" ref="F348:F352" si="134">F347+G347/60/24</f>
        <v>43939.458333333328</v>
      </c>
      <c r="G348" s="8">
        <f t="shared" si="127"/>
        <v>90</v>
      </c>
      <c r="H348" s="8" t="s">
        <v>15</v>
      </c>
      <c r="I348" s="8" t="s">
        <v>10</v>
      </c>
      <c r="J348" s="8">
        <f>WEEKDAY(F348)</f>
        <v>7</v>
      </c>
      <c r="K348" s="4">
        <f>HOUR(F348)</f>
        <v>11</v>
      </c>
    </row>
    <row r="349" spans="1:11" ht="15.75" thickBot="1" x14ac:dyDescent="0.3">
      <c r="A349" s="7">
        <f t="shared" si="131"/>
        <v>344</v>
      </c>
      <c r="B349" s="8" t="str">
        <f t="shared" si="126"/>
        <v>1</v>
      </c>
      <c r="C349" s="8">
        <f t="shared" si="121"/>
        <v>5</v>
      </c>
      <c r="D349" s="8"/>
      <c r="E349" s="8"/>
      <c r="F349" s="9">
        <f t="shared" si="134"/>
        <v>43939.520833333328</v>
      </c>
      <c r="G349" s="8">
        <f t="shared" si="127"/>
        <v>90</v>
      </c>
      <c r="H349" s="8" t="s">
        <v>15</v>
      </c>
      <c r="I349" s="8" t="s">
        <v>10</v>
      </c>
      <c r="J349" s="8">
        <f>WEEKDAY(F349)</f>
        <v>7</v>
      </c>
      <c r="K349" s="4">
        <f>HOUR(F349)</f>
        <v>12</v>
      </c>
    </row>
    <row r="350" spans="1:11" ht="15.75" thickBot="1" x14ac:dyDescent="0.3">
      <c r="A350" s="7">
        <f t="shared" si="131"/>
        <v>345</v>
      </c>
      <c r="B350" s="8" t="str">
        <f t="shared" si="126"/>
        <v>1</v>
      </c>
      <c r="C350" s="8">
        <f t="shared" si="121"/>
        <v>5</v>
      </c>
      <c r="D350" s="8"/>
      <c r="E350" s="8"/>
      <c r="F350" s="9">
        <f t="shared" si="134"/>
        <v>43939.583333333328</v>
      </c>
      <c r="G350" s="8">
        <f t="shared" si="127"/>
        <v>90</v>
      </c>
      <c r="H350" s="8" t="s">
        <v>15</v>
      </c>
      <c r="I350" s="8" t="s">
        <v>10</v>
      </c>
      <c r="J350" s="8">
        <f t="shared" ref="J350:J352" si="135">WEEKDAY(F350)</f>
        <v>7</v>
      </c>
      <c r="K350" s="4">
        <f>HOUR(F350)</f>
        <v>14</v>
      </c>
    </row>
    <row r="351" spans="1:11" ht="15.75" thickBot="1" x14ac:dyDescent="0.3">
      <c r="A351" s="7">
        <f t="shared" si="131"/>
        <v>346</v>
      </c>
      <c r="B351" s="8" t="str">
        <f t="shared" si="126"/>
        <v>1</v>
      </c>
      <c r="C351" s="8">
        <f t="shared" si="121"/>
        <v>5</v>
      </c>
      <c r="D351" s="8"/>
      <c r="E351" s="8"/>
      <c r="F351" s="9">
        <f t="shared" si="134"/>
        <v>43939.645833333328</v>
      </c>
      <c r="G351" s="8">
        <f t="shared" si="127"/>
        <v>90</v>
      </c>
      <c r="H351" s="8" t="s">
        <v>15</v>
      </c>
      <c r="I351" s="8" t="s">
        <v>10</v>
      </c>
      <c r="J351" s="8">
        <f t="shared" si="135"/>
        <v>7</v>
      </c>
      <c r="K351" s="4">
        <f>HOUR(F351)</f>
        <v>15</v>
      </c>
    </row>
    <row r="352" spans="1:11" ht="15.75" thickBot="1" x14ac:dyDescent="0.3">
      <c r="A352" s="10">
        <f t="shared" si="131"/>
        <v>347</v>
      </c>
      <c r="B352" s="11" t="str">
        <f t="shared" si="126"/>
        <v>1</v>
      </c>
      <c r="C352" s="11">
        <f t="shared" si="121"/>
        <v>5</v>
      </c>
      <c r="D352" s="11"/>
      <c r="E352" s="11"/>
      <c r="F352" s="9">
        <f t="shared" si="134"/>
        <v>43939.708333333328</v>
      </c>
      <c r="G352" s="11">
        <f t="shared" si="127"/>
        <v>90</v>
      </c>
      <c r="H352" s="11" t="s">
        <v>15</v>
      </c>
      <c r="I352" s="11" t="s">
        <v>10</v>
      </c>
      <c r="J352" s="11">
        <f t="shared" si="135"/>
        <v>7</v>
      </c>
      <c r="K352" s="4">
        <f>HOUR(F352)</f>
        <v>17</v>
      </c>
    </row>
    <row r="353" spans="1:11" ht="15.75" thickBot="1" x14ac:dyDescent="0.3">
      <c r="A353" s="3">
        <f t="shared" si="131"/>
        <v>348</v>
      </c>
      <c r="B353" s="4" t="str">
        <f t="shared" si="126"/>
        <v>5</v>
      </c>
      <c r="C353" s="4">
        <f t="shared" si="121"/>
        <v>6</v>
      </c>
      <c r="D353" s="4"/>
      <c r="E353" s="4"/>
      <c r="F353" s="5">
        <f>F327</f>
        <v>43939.375</v>
      </c>
      <c r="G353" s="4">
        <f t="shared" si="127"/>
        <v>60</v>
      </c>
      <c r="H353" s="4" t="s">
        <v>16</v>
      </c>
      <c r="I353" s="4" t="s">
        <v>13</v>
      </c>
      <c r="J353" s="4">
        <f>WEEKDAY(F353)</f>
        <v>7</v>
      </c>
      <c r="K353" s="4">
        <f>HOUR(F353)</f>
        <v>9</v>
      </c>
    </row>
    <row r="354" spans="1:11" ht="15.75" thickBot="1" x14ac:dyDescent="0.3">
      <c r="A354" s="7">
        <f t="shared" si="131"/>
        <v>349</v>
      </c>
      <c r="B354" s="8" t="str">
        <f t="shared" si="126"/>
        <v>5</v>
      </c>
      <c r="C354" s="8">
        <f t="shared" si="121"/>
        <v>5</v>
      </c>
      <c r="D354" s="8">
        <v>6</v>
      </c>
      <c r="E354" s="8"/>
      <c r="F354" s="9">
        <f>F353+G353/60/24</f>
        <v>43939.416666666664</v>
      </c>
      <c r="G354" s="8">
        <f t="shared" si="127"/>
        <v>90</v>
      </c>
      <c r="H354" s="8" t="s">
        <v>16</v>
      </c>
      <c r="I354" s="8" t="s">
        <v>10</v>
      </c>
      <c r="J354" s="8">
        <f>WEEKDAY(F354)</f>
        <v>7</v>
      </c>
      <c r="K354" s="4">
        <f>HOUR(F354)</f>
        <v>10</v>
      </c>
    </row>
    <row r="355" spans="1:11" ht="15.75" thickBot="1" x14ac:dyDescent="0.3">
      <c r="A355" s="7">
        <f t="shared" si="131"/>
        <v>350</v>
      </c>
      <c r="B355" s="8" t="str">
        <f t="shared" si="126"/>
        <v>5</v>
      </c>
      <c r="C355" s="8">
        <f t="shared" si="121"/>
        <v>4</v>
      </c>
      <c r="D355" s="8">
        <f t="shared" ref="D355:D358" si="136">VLOOKUP(H355,slot_compat,3,FALSE)</f>
        <v>5</v>
      </c>
      <c r="E355" s="8"/>
      <c r="F355" s="9">
        <f t="shared" ref="F355:F359" si="137">F354+G354/60/24</f>
        <v>43939.479166666664</v>
      </c>
      <c r="G355" s="8">
        <f t="shared" si="127"/>
        <v>105</v>
      </c>
      <c r="H355" s="8" t="s">
        <v>16</v>
      </c>
      <c r="I355" s="8" t="s">
        <v>12</v>
      </c>
      <c r="J355" s="8">
        <f>WEEKDAY(F355)</f>
        <v>7</v>
      </c>
      <c r="K355" s="4">
        <f>HOUR(F355)</f>
        <v>11</v>
      </c>
    </row>
    <row r="356" spans="1:11" ht="15.75" thickBot="1" x14ac:dyDescent="0.3">
      <c r="A356" s="7">
        <f t="shared" si="131"/>
        <v>351</v>
      </c>
      <c r="B356" s="8" t="str">
        <f t="shared" si="126"/>
        <v>5</v>
      </c>
      <c r="C356" s="8">
        <f t="shared" si="121"/>
        <v>4</v>
      </c>
      <c r="D356" s="8">
        <f t="shared" si="136"/>
        <v>5</v>
      </c>
      <c r="E356" s="8"/>
      <c r="F356" s="9">
        <f t="shared" si="137"/>
        <v>43939.552083333328</v>
      </c>
      <c r="G356" s="8">
        <f t="shared" si="127"/>
        <v>105</v>
      </c>
      <c r="H356" s="8" t="s">
        <v>16</v>
      </c>
      <c r="I356" s="8" t="s">
        <v>12</v>
      </c>
      <c r="J356" s="8">
        <f>WEEKDAY(F356)</f>
        <v>7</v>
      </c>
      <c r="K356" s="4">
        <f>HOUR(F356)</f>
        <v>13</v>
      </c>
    </row>
    <row r="357" spans="1:11" ht="15.75" thickBot="1" x14ac:dyDescent="0.3">
      <c r="A357" s="7">
        <f t="shared" si="131"/>
        <v>352</v>
      </c>
      <c r="B357" s="8" t="str">
        <f t="shared" si="126"/>
        <v>5</v>
      </c>
      <c r="C357" s="8">
        <f t="shared" si="121"/>
        <v>4</v>
      </c>
      <c r="D357" s="8">
        <f t="shared" si="136"/>
        <v>5</v>
      </c>
      <c r="E357" s="8"/>
      <c r="F357" s="9">
        <f t="shared" si="137"/>
        <v>43939.624999999993</v>
      </c>
      <c r="G357" s="8">
        <f t="shared" si="127"/>
        <v>105</v>
      </c>
      <c r="H357" s="8" t="s">
        <v>16</v>
      </c>
      <c r="I357" s="8" t="s">
        <v>12</v>
      </c>
      <c r="J357" s="8">
        <f t="shared" ref="J357:J420" si="138">WEEKDAY(F357)</f>
        <v>7</v>
      </c>
      <c r="K357" s="4">
        <f>HOUR(F357)</f>
        <v>15</v>
      </c>
    </row>
    <row r="358" spans="1:11" ht="15.75" thickBot="1" x14ac:dyDescent="0.3">
      <c r="A358" s="7">
        <f t="shared" si="131"/>
        <v>353</v>
      </c>
      <c r="B358" s="8" t="str">
        <f t="shared" si="126"/>
        <v>5</v>
      </c>
      <c r="C358" s="8">
        <f t="shared" si="121"/>
        <v>4</v>
      </c>
      <c r="D358" s="8">
        <f t="shared" si="136"/>
        <v>5</v>
      </c>
      <c r="E358" s="8"/>
      <c r="F358" s="9">
        <f t="shared" si="137"/>
        <v>43939.697916666657</v>
      </c>
      <c r="G358" s="8">
        <f t="shared" si="127"/>
        <v>105</v>
      </c>
      <c r="H358" s="8" t="s">
        <v>16</v>
      </c>
      <c r="I358" s="8" t="s">
        <v>12</v>
      </c>
      <c r="J358" s="8">
        <f t="shared" si="138"/>
        <v>7</v>
      </c>
      <c r="K358" s="4">
        <f>HOUR(F358)</f>
        <v>16</v>
      </c>
    </row>
    <row r="359" spans="1:11" ht="15.75" thickBot="1" x14ac:dyDescent="0.3">
      <c r="A359" s="7">
        <f t="shared" si="131"/>
        <v>354</v>
      </c>
      <c r="B359" s="8" t="str">
        <f t="shared" si="126"/>
        <v>5</v>
      </c>
      <c r="C359" s="8">
        <f t="shared" si="121"/>
        <v>4</v>
      </c>
      <c r="D359" s="8"/>
      <c r="E359" s="8"/>
      <c r="F359" s="9">
        <f t="shared" si="137"/>
        <v>43939.770833333321</v>
      </c>
      <c r="G359" s="8">
        <f t="shared" si="127"/>
        <v>105</v>
      </c>
      <c r="H359" s="8" t="s">
        <v>16</v>
      </c>
      <c r="I359" s="8" t="s">
        <v>12</v>
      </c>
      <c r="J359" s="8">
        <f t="shared" si="138"/>
        <v>7</v>
      </c>
      <c r="K359" s="4">
        <f>HOUR(F359)</f>
        <v>18</v>
      </c>
    </row>
    <row r="360" spans="1:11" ht="15.75" thickBot="1" x14ac:dyDescent="0.3">
      <c r="A360" s="3">
        <f t="shared" si="131"/>
        <v>355</v>
      </c>
      <c r="B360" s="4" t="str">
        <f t="shared" si="126"/>
        <v>6</v>
      </c>
      <c r="C360" s="4">
        <f t="shared" si="121"/>
        <v>4</v>
      </c>
      <c r="D360" s="4">
        <v>5</v>
      </c>
      <c r="E360" s="4"/>
      <c r="F360" s="5">
        <f>F327</f>
        <v>43939.375</v>
      </c>
      <c r="G360" s="4">
        <f t="shared" si="127"/>
        <v>105</v>
      </c>
      <c r="H360" s="4" t="s">
        <v>17</v>
      </c>
      <c r="I360" s="4" t="s">
        <v>12</v>
      </c>
      <c r="J360" s="4">
        <f t="shared" si="138"/>
        <v>7</v>
      </c>
      <c r="K360" s="4">
        <f>HOUR(F360)</f>
        <v>9</v>
      </c>
    </row>
    <row r="361" spans="1:11" ht="15.75" thickBot="1" x14ac:dyDescent="0.3">
      <c r="A361" s="7">
        <f t="shared" si="131"/>
        <v>356</v>
      </c>
      <c r="B361" s="8" t="str">
        <f t="shared" si="126"/>
        <v>6</v>
      </c>
      <c r="C361" s="8">
        <f t="shared" si="121"/>
        <v>3</v>
      </c>
      <c r="D361" s="8" t="s">
        <v>55</v>
      </c>
      <c r="E361" s="8"/>
      <c r="F361" s="9">
        <f>F360+G360/60/24</f>
        <v>43939.447916666664</v>
      </c>
      <c r="G361" s="8">
        <f t="shared" si="127"/>
        <v>105</v>
      </c>
      <c r="H361" s="8" t="s">
        <v>17</v>
      </c>
      <c r="I361" s="8" t="s">
        <v>11</v>
      </c>
      <c r="J361" s="8">
        <f t="shared" si="138"/>
        <v>7</v>
      </c>
      <c r="K361" s="4">
        <f>HOUR(F361)</f>
        <v>10</v>
      </c>
    </row>
    <row r="362" spans="1:11" ht="15.75" thickBot="1" x14ac:dyDescent="0.3">
      <c r="A362" s="7">
        <f t="shared" si="131"/>
        <v>357</v>
      </c>
      <c r="B362" s="8" t="str">
        <f t="shared" si="126"/>
        <v>6</v>
      </c>
      <c r="C362" s="8">
        <f t="shared" si="121"/>
        <v>3</v>
      </c>
      <c r="D362" s="8" t="s">
        <v>55</v>
      </c>
      <c r="E362" s="8"/>
      <c r="F362" s="9">
        <f t="shared" ref="F362:F365" si="139">F361+G361/60/24</f>
        <v>43939.520833333328</v>
      </c>
      <c r="G362" s="8">
        <f t="shared" si="127"/>
        <v>105</v>
      </c>
      <c r="H362" s="8" t="s">
        <v>17</v>
      </c>
      <c r="I362" s="8" t="s">
        <v>11</v>
      </c>
      <c r="J362" s="8">
        <f t="shared" si="138"/>
        <v>7</v>
      </c>
      <c r="K362" s="4">
        <f>HOUR(F362)</f>
        <v>12</v>
      </c>
    </row>
    <row r="363" spans="1:11" ht="15.75" thickBot="1" x14ac:dyDescent="0.3">
      <c r="A363" s="7">
        <f t="shared" si="131"/>
        <v>358</v>
      </c>
      <c r="B363" s="8" t="str">
        <f t="shared" si="126"/>
        <v>6</v>
      </c>
      <c r="C363" s="8">
        <f t="shared" si="121"/>
        <v>3</v>
      </c>
      <c r="D363" s="8" t="s">
        <v>55</v>
      </c>
      <c r="E363" s="8"/>
      <c r="F363" s="9">
        <f t="shared" si="139"/>
        <v>43939.593749999993</v>
      </c>
      <c r="G363" s="8">
        <f t="shared" si="127"/>
        <v>105</v>
      </c>
      <c r="H363" s="8" t="s">
        <v>17</v>
      </c>
      <c r="I363" s="8" t="s">
        <v>11</v>
      </c>
      <c r="J363" s="8">
        <f t="shared" si="138"/>
        <v>7</v>
      </c>
      <c r="K363" s="4">
        <f>HOUR(F363)</f>
        <v>14</v>
      </c>
    </row>
    <row r="364" spans="1:11" ht="15.75" thickBot="1" x14ac:dyDescent="0.3">
      <c r="A364" s="7">
        <f t="shared" si="131"/>
        <v>359</v>
      </c>
      <c r="B364" s="8" t="str">
        <f t="shared" si="126"/>
        <v>6</v>
      </c>
      <c r="C364" s="8">
        <f t="shared" si="121"/>
        <v>3</v>
      </c>
      <c r="D364" s="8" t="s">
        <v>55</v>
      </c>
      <c r="E364" s="8"/>
      <c r="F364" s="9">
        <f t="shared" si="139"/>
        <v>43939.666666666657</v>
      </c>
      <c r="G364" s="8">
        <f t="shared" si="127"/>
        <v>105</v>
      </c>
      <c r="H364" s="8" t="s">
        <v>17</v>
      </c>
      <c r="I364" s="8" t="s">
        <v>11</v>
      </c>
      <c r="J364" s="8">
        <f t="shared" si="138"/>
        <v>7</v>
      </c>
      <c r="K364" s="4">
        <f>HOUR(F364)</f>
        <v>16</v>
      </c>
    </row>
    <row r="365" spans="1:11" ht="15.75" thickBot="1" x14ac:dyDescent="0.3">
      <c r="A365" s="7">
        <f t="shared" si="131"/>
        <v>360</v>
      </c>
      <c r="B365" s="8" t="str">
        <f t="shared" si="126"/>
        <v>6</v>
      </c>
      <c r="C365" s="8">
        <v>2</v>
      </c>
      <c r="D365" s="14" t="s">
        <v>61</v>
      </c>
      <c r="E365" s="8"/>
      <c r="F365" s="9">
        <f t="shared" si="139"/>
        <v>43939.739583333321</v>
      </c>
      <c r="G365" s="8">
        <f t="shared" si="127"/>
        <v>105</v>
      </c>
      <c r="H365" s="8" t="s">
        <v>17</v>
      </c>
      <c r="I365" s="8" t="s">
        <v>11</v>
      </c>
      <c r="J365" s="8">
        <f t="shared" si="138"/>
        <v>7</v>
      </c>
      <c r="K365" s="4">
        <f>HOUR(F365)</f>
        <v>17</v>
      </c>
    </row>
    <row r="366" spans="1:11" ht="15.75" thickBot="1" x14ac:dyDescent="0.3">
      <c r="A366" s="3">
        <f t="shared" si="131"/>
        <v>361</v>
      </c>
      <c r="B366" s="4" t="str">
        <f t="shared" si="126"/>
        <v>7</v>
      </c>
      <c r="C366" s="4">
        <f t="shared" si="121"/>
        <v>6</v>
      </c>
      <c r="D366" s="4"/>
      <c r="E366" s="4"/>
      <c r="F366" s="5">
        <f>F327</f>
        <v>43939.375</v>
      </c>
      <c r="G366" s="4">
        <f t="shared" si="127"/>
        <v>60</v>
      </c>
      <c r="H366" s="4" t="s">
        <v>18</v>
      </c>
      <c r="I366" s="4" t="s">
        <v>13</v>
      </c>
      <c r="J366" s="4">
        <f t="shared" si="138"/>
        <v>7</v>
      </c>
      <c r="K366" s="4">
        <f>HOUR(F366)</f>
        <v>9</v>
      </c>
    </row>
    <row r="367" spans="1:11" ht="15.75" thickBot="1" x14ac:dyDescent="0.3">
      <c r="A367" s="7">
        <f t="shared" si="131"/>
        <v>362</v>
      </c>
      <c r="B367" s="8" t="str">
        <f t="shared" si="126"/>
        <v>7</v>
      </c>
      <c r="C367" s="8">
        <f t="shared" si="121"/>
        <v>3</v>
      </c>
      <c r="D367" s="8" t="s">
        <v>55</v>
      </c>
      <c r="E367" s="8"/>
      <c r="F367" s="9">
        <f>F366+G366/60/24</f>
        <v>43939.416666666664</v>
      </c>
      <c r="G367" s="8">
        <f t="shared" si="127"/>
        <v>105</v>
      </c>
      <c r="H367" s="8" t="s">
        <v>18</v>
      </c>
      <c r="I367" s="8" t="s">
        <v>11</v>
      </c>
      <c r="J367" s="8">
        <f t="shared" si="138"/>
        <v>7</v>
      </c>
      <c r="K367" s="4">
        <f>HOUR(F367)</f>
        <v>10</v>
      </c>
    </row>
    <row r="368" spans="1:11" ht="15.75" thickBot="1" x14ac:dyDescent="0.3">
      <c r="A368" s="7">
        <f t="shared" si="131"/>
        <v>363</v>
      </c>
      <c r="B368" s="8" t="str">
        <f t="shared" si="126"/>
        <v>7</v>
      </c>
      <c r="C368" s="8">
        <f t="shared" si="121"/>
        <v>3</v>
      </c>
      <c r="D368" s="8" t="s">
        <v>55</v>
      </c>
      <c r="E368" s="8"/>
      <c r="F368" s="9">
        <f t="shared" ref="F368:F371" si="140">F367+G367/60/24</f>
        <v>43939.489583333328</v>
      </c>
      <c r="G368" s="8">
        <f t="shared" si="127"/>
        <v>105</v>
      </c>
      <c r="H368" s="8" t="s">
        <v>18</v>
      </c>
      <c r="I368" s="8" t="s">
        <v>11</v>
      </c>
      <c r="J368" s="8">
        <f t="shared" si="138"/>
        <v>7</v>
      </c>
      <c r="K368" s="4">
        <f>HOUR(F368)</f>
        <v>11</v>
      </c>
    </row>
    <row r="369" spans="1:11" ht="15.75" thickBot="1" x14ac:dyDescent="0.3">
      <c r="A369" s="7">
        <f t="shared" si="131"/>
        <v>364</v>
      </c>
      <c r="B369" s="8" t="str">
        <f t="shared" si="126"/>
        <v>7</v>
      </c>
      <c r="C369" s="8">
        <f t="shared" si="121"/>
        <v>2</v>
      </c>
      <c r="D369" s="8" t="s">
        <v>56</v>
      </c>
      <c r="E369" s="8"/>
      <c r="F369" s="9">
        <f t="shared" si="140"/>
        <v>43939.562499999993</v>
      </c>
      <c r="G369" s="8">
        <f t="shared" si="127"/>
        <v>120</v>
      </c>
      <c r="H369" s="8" t="s">
        <v>18</v>
      </c>
      <c r="I369" s="8" t="s">
        <v>8</v>
      </c>
      <c r="J369" s="8">
        <f t="shared" si="138"/>
        <v>7</v>
      </c>
      <c r="K369" s="4">
        <f>HOUR(F369)</f>
        <v>13</v>
      </c>
    </row>
    <row r="370" spans="1:11" ht="15.75" thickBot="1" x14ac:dyDescent="0.3">
      <c r="A370" s="7">
        <f t="shared" si="131"/>
        <v>365</v>
      </c>
      <c r="B370" s="8" t="str">
        <f t="shared" si="126"/>
        <v>7</v>
      </c>
      <c r="C370" s="8">
        <f t="shared" ref="C370:C377" si="141">VLOOKUP(I370,league_id,2,FALSE)</f>
        <v>2</v>
      </c>
      <c r="D370" s="8" t="s">
        <v>56</v>
      </c>
      <c r="E370" s="8"/>
      <c r="F370" s="9">
        <f t="shared" si="140"/>
        <v>43939.645833333328</v>
      </c>
      <c r="G370" s="8">
        <f t="shared" si="127"/>
        <v>120</v>
      </c>
      <c r="H370" s="8" t="s">
        <v>18</v>
      </c>
      <c r="I370" s="8" t="s">
        <v>8</v>
      </c>
      <c r="J370" s="8">
        <f t="shared" si="138"/>
        <v>7</v>
      </c>
      <c r="K370" s="4">
        <f>HOUR(F370)</f>
        <v>15</v>
      </c>
    </row>
    <row r="371" spans="1:11" ht="15.75" thickBot="1" x14ac:dyDescent="0.3">
      <c r="A371" s="7">
        <f t="shared" si="131"/>
        <v>366</v>
      </c>
      <c r="B371" s="8" t="str">
        <f t="shared" si="126"/>
        <v>7</v>
      </c>
      <c r="C371" s="8">
        <f t="shared" si="141"/>
        <v>2</v>
      </c>
      <c r="D371" s="8" t="s">
        <v>61</v>
      </c>
      <c r="E371" s="8"/>
      <c r="F371" s="9">
        <f t="shared" si="140"/>
        <v>43939.729166666664</v>
      </c>
      <c r="G371" s="8">
        <f t="shared" si="127"/>
        <v>120</v>
      </c>
      <c r="H371" s="8" t="s">
        <v>18</v>
      </c>
      <c r="I371" s="8" t="s">
        <v>8</v>
      </c>
      <c r="J371" s="8">
        <f t="shared" si="138"/>
        <v>7</v>
      </c>
      <c r="K371" s="4">
        <f>HOUR(F371)</f>
        <v>17</v>
      </c>
    </row>
    <row r="372" spans="1:11" ht="15.75" thickBot="1" x14ac:dyDescent="0.3">
      <c r="A372" s="3">
        <f t="shared" si="131"/>
        <v>367</v>
      </c>
      <c r="B372" s="4" t="str">
        <f t="shared" si="126"/>
        <v>8</v>
      </c>
      <c r="C372" s="4">
        <f t="shared" si="141"/>
        <v>5</v>
      </c>
      <c r="D372" s="4"/>
      <c r="E372" s="4"/>
      <c r="F372" s="5">
        <f>F327</f>
        <v>43939.375</v>
      </c>
      <c r="G372" s="4">
        <f t="shared" si="127"/>
        <v>90</v>
      </c>
      <c r="H372" s="4" t="s">
        <v>19</v>
      </c>
      <c r="I372" s="4" t="s">
        <v>10</v>
      </c>
      <c r="J372" s="4">
        <f t="shared" si="138"/>
        <v>7</v>
      </c>
      <c r="K372" s="4">
        <f>HOUR(F372)</f>
        <v>9</v>
      </c>
    </row>
    <row r="373" spans="1:11" ht="15.75" thickBot="1" x14ac:dyDescent="0.3">
      <c r="A373" s="7">
        <f t="shared" si="131"/>
        <v>368</v>
      </c>
      <c r="B373" s="8" t="str">
        <f t="shared" si="126"/>
        <v>8</v>
      </c>
      <c r="C373" s="8">
        <f t="shared" si="141"/>
        <v>5</v>
      </c>
      <c r="D373" s="8"/>
      <c r="E373" s="8"/>
      <c r="F373" s="9">
        <f>F372+G372/60/24</f>
        <v>43939.4375</v>
      </c>
      <c r="G373" s="8">
        <f t="shared" si="127"/>
        <v>90</v>
      </c>
      <c r="H373" s="8" t="s">
        <v>19</v>
      </c>
      <c r="I373" s="8" t="s">
        <v>10</v>
      </c>
      <c r="J373" s="8">
        <f t="shared" si="138"/>
        <v>7</v>
      </c>
      <c r="K373" s="4">
        <f>HOUR(F373)</f>
        <v>10</v>
      </c>
    </row>
    <row r="374" spans="1:11" ht="15.75" thickBot="1" x14ac:dyDescent="0.3">
      <c r="A374" s="7">
        <f t="shared" si="131"/>
        <v>369</v>
      </c>
      <c r="B374" s="8" t="str">
        <f t="shared" si="126"/>
        <v>8</v>
      </c>
      <c r="C374" s="8">
        <f t="shared" si="141"/>
        <v>3</v>
      </c>
      <c r="D374" s="8" t="s">
        <v>55</v>
      </c>
      <c r="E374" s="8"/>
      <c r="F374" s="9">
        <f t="shared" ref="F374:F377" si="142">F373+G373/60/24</f>
        <v>43939.5</v>
      </c>
      <c r="G374" s="8">
        <f t="shared" si="127"/>
        <v>105</v>
      </c>
      <c r="H374" s="8" t="s">
        <v>19</v>
      </c>
      <c r="I374" s="8" t="s">
        <v>11</v>
      </c>
      <c r="J374" s="8">
        <f t="shared" si="138"/>
        <v>7</v>
      </c>
      <c r="K374" s="4">
        <f>HOUR(F374)</f>
        <v>12</v>
      </c>
    </row>
    <row r="375" spans="1:11" ht="15.75" thickBot="1" x14ac:dyDescent="0.3">
      <c r="A375" s="7">
        <f t="shared" si="131"/>
        <v>370</v>
      </c>
      <c r="B375" s="8" t="str">
        <f t="shared" si="126"/>
        <v>8</v>
      </c>
      <c r="C375" s="8">
        <f t="shared" si="141"/>
        <v>2</v>
      </c>
      <c r="D375" s="8" t="s">
        <v>56</v>
      </c>
      <c r="E375" s="8"/>
      <c r="F375" s="9">
        <f t="shared" si="142"/>
        <v>43939.572916666664</v>
      </c>
      <c r="G375" s="8">
        <f t="shared" si="127"/>
        <v>120</v>
      </c>
      <c r="H375" s="8" t="s">
        <v>19</v>
      </c>
      <c r="I375" s="8" t="s">
        <v>8</v>
      </c>
      <c r="J375" s="8">
        <f t="shared" si="138"/>
        <v>7</v>
      </c>
      <c r="K375" s="4">
        <f>HOUR(F375)</f>
        <v>13</v>
      </c>
    </row>
    <row r="376" spans="1:11" ht="15.75" thickBot="1" x14ac:dyDescent="0.3">
      <c r="A376" s="7">
        <f t="shared" si="131"/>
        <v>371</v>
      </c>
      <c r="B376" s="8" t="str">
        <f t="shared" si="126"/>
        <v>8</v>
      </c>
      <c r="C376" s="8">
        <f t="shared" si="141"/>
        <v>2</v>
      </c>
      <c r="D376" s="8" t="s">
        <v>56</v>
      </c>
      <c r="E376" s="8"/>
      <c r="F376" s="9">
        <f t="shared" si="142"/>
        <v>43939.65625</v>
      </c>
      <c r="G376" s="8">
        <f t="shared" si="127"/>
        <v>120</v>
      </c>
      <c r="H376" s="8" t="s">
        <v>19</v>
      </c>
      <c r="I376" s="8" t="s">
        <v>8</v>
      </c>
      <c r="J376" s="8">
        <f t="shared" si="138"/>
        <v>7</v>
      </c>
      <c r="K376" s="4">
        <f>HOUR(F376)</f>
        <v>15</v>
      </c>
    </row>
    <row r="377" spans="1:11" ht="15.75" thickBot="1" x14ac:dyDescent="0.3">
      <c r="A377" s="7">
        <f t="shared" si="131"/>
        <v>372</v>
      </c>
      <c r="B377" s="8" t="str">
        <f t="shared" si="126"/>
        <v>8</v>
      </c>
      <c r="C377" s="8">
        <f t="shared" si="141"/>
        <v>2</v>
      </c>
      <c r="D377" s="8" t="s">
        <v>61</v>
      </c>
      <c r="E377" s="8"/>
      <c r="F377" s="9">
        <f t="shared" si="142"/>
        <v>43939.739583333336</v>
      </c>
      <c r="G377" s="8">
        <f t="shared" si="127"/>
        <v>120</v>
      </c>
      <c r="H377" s="8" t="s">
        <v>19</v>
      </c>
      <c r="I377" s="8" t="s">
        <v>8</v>
      </c>
      <c r="J377" s="8">
        <f t="shared" si="138"/>
        <v>7</v>
      </c>
      <c r="K377" s="4">
        <f>HOUR(F377)</f>
        <v>17</v>
      </c>
    </row>
    <row r="378" spans="1:11" ht="15.75" thickBot="1" x14ac:dyDescent="0.3">
      <c r="A378" s="3">
        <f>A377+1</f>
        <v>373</v>
      </c>
      <c r="B378" s="4" t="str">
        <f t="shared" si="126"/>
        <v>4</v>
      </c>
      <c r="C378" s="4">
        <f>VLOOKUP(I378,league_id,2,FALSE)</f>
        <v>1</v>
      </c>
      <c r="D378" s="4">
        <f t="shared" ref="D378:D379" si="143">VLOOKUP(H378,slot_compat,3,FALSE)</f>
        <v>2</v>
      </c>
      <c r="E378" s="4"/>
      <c r="F378" s="5">
        <v>43941.75</v>
      </c>
      <c r="G378" s="4">
        <f t="shared" si="127"/>
        <v>120</v>
      </c>
      <c r="H378" s="4" t="s">
        <v>7</v>
      </c>
      <c r="I378" s="4" t="s">
        <v>7</v>
      </c>
      <c r="J378" s="4">
        <f t="shared" si="138"/>
        <v>2</v>
      </c>
      <c r="K378" s="4">
        <f>HOUR(F378)</f>
        <v>18</v>
      </c>
    </row>
    <row r="379" spans="1:11" ht="15.75" thickBot="1" x14ac:dyDescent="0.3">
      <c r="A379" s="3">
        <f>A378+1</f>
        <v>374</v>
      </c>
      <c r="B379" s="4" t="str">
        <f t="shared" si="126"/>
        <v>3</v>
      </c>
      <c r="C379" s="4">
        <f t="shared" ref="C379:C383" si="144">VLOOKUP(I379,league_id,2,FALSE)</f>
        <v>2</v>
      </c>
      <c r="D379" s="4" t="str">
        <f t="shared" si="143"/>
        <v>1,3</v>
      </c>
      <c r="E379" s="4"/>
      <c r="F379" s="5">
        <f>F378</f>
        <v>43941.75</v>
      </c>
      <c r="G379" s="4">
        <f t="shared" si="127"/>
        <v>120</v>
      </c>
      <c r="H379" s="4" t="s">
        <v>8</v>
      </c>
      <c r="I379" s="4" t="s">
        <v>8</v>
      </c>
      <c r="J379" s="4">
        <f t="shared" si="138"/>
        <v>2</v>
      </c>
      <c r="K379" s="4">
        <f>HOUR(F379)</f>
        <v>18</v>
      </c>
    </row>
    <row r="380" spans="1:11" ht="15.75" thickBot="1" x14ac:dyDescent="0.3">
      <c r="A380" s="3">
        <f t="shared" ref="A380:A383" si="145">A379+1</f>
        <v>375</v>
      </c>
      <c r="B380" s="4" t="str">
        <f t="shared" si="126"/>
        <v>2</v>
      </c>
      <c r="C380" s="4">
        <f t="shared" si="144"/>
        <v>4</v>
      </c>
      <c r="D380" s="4">
        <v>5</v>
      </c>
      <c r="E380" s="4"/>
      <c r="F380" s="5">
        <f>F378</f>
        <v>43941.75</v>
      </c>
      <c r="G380" s="4">
        <f t="shared" si="127"/>
        <v>105</v>
      </c>
      <c r="H380" s="4" t="s">
        <v>9</v>
      </c>
      <c r="I380" s="4" t="s">
        <v>12</v>
      </c>
      <c r="J380" s="4">
        <f t="shared" si="138"/>
        <v>2</v>
      </c>
      <c r="K380" s="4">
        <f>HOUR(F380)</f>
        <v>18</v>
      </c>
    </row>
    <row r="381" spans="1:11" ht="15.75" thickBot="1" x14ac:dyDescent="0.3">
      <c r="A381" s="3">
        <f t="shared" si="145"/>
        <v>376</v>
      </c>
      <c r="B381" s="4" t="str">
        <f t="shared" si="126"/>
        <v>1</v>
      </c>
      <c r="C381" s="4">
        <f t="shared" si="144"/>
        <v>5</v>
      </c>
      <c r="D381" s="4"/>
      <c r="E381" s="4"/>
      <c r="F381" s="5">
        <f>F378</f>
        <v>43941.75</v>
      </c>
      <c r="G381" s="4">
        <f t="shared" si="127"/>
        <v>90</v>
      </c>
      <c r="H381" s="4" t="s">
        <v>15</v>
      </c>
      <c r="I381" s="4" t="s">
        <v>10</v>
      </c>
      <c r="J381" s="4">
        <f t="shared" si="138"/>
        <v>2</v>
      </c>
      <c r="K381" s="4">
        <f>HOUR(F381)</f>
        <v>18</v>
      </c>
    </row>
    <row r="382" spans="1:11" ht="15.75" thickBot="1" x14ac:dyDescent="0.3">
      <c r="A382" s="3">
        <f t="shared" si="145"/>
        <v>377</v>
      </c>
      <c r="B382" s="4" t="str">
        <f t="shared" si="126"/>
        <v>5</v>
      </c>
      <c r="C382" s="4">
        <f t="shared" si="144"/>
        <v>5</v>
      </c>
      <c r="D382" s="4"/>
      <c r="E382" s="4"/>
      <c r="F382" s="5">
        <f>F378</f>
        <v>43941.75</v>
      </c>
      <c r="G382" s="4">
        <f t="shared" si="127"/>
        <v>90</v>
      </c>
      <c r="H382" s="4" t="s">
        <v>16</v>
      </c>
      <c r="I382" s="4" t="s">
        <v>10</v>
      </c>
      <c r="J382" s="4">
        <f t="shared" si="138"/>
        <v>2</v>
      </c>
      <c r="K382" s="4">
        <f>HOUR(F382)</f>
        <v>18</v>
      </c>
    </row>
    <row r="383" spans="1:11" ht="15.75" thickBot="1" x14ac:dyDescent="0.3">
      <c r="A383" s="3">
        <f t="shared" si="145"/>
        <v>378</v>
      </c>
      <c r="B383" s="4" t="str">
        <f t="shared" si="126"/>
        <v>6</v>
      </c>
      <c r="C383" s="4">
        <f t="shared" si="144"/>
        <v>3</v>
      </c>
      <c r="D383" s="4" t="s">
        <v>55</v>
      </c>
      <c r="E383" s="4"/>
      <c r="F383" s="5">
        <f>F378</f>
        <v>43941.75</v>
      </c>
      <c r="G383" s="4">
        <f t="shared" si="127"/>
        <v>105</v>
      </c>
      <c r="H383" s="4" t="s">
        <v>17</v>
      </c>
      <c r="I383" s="4" t="s">
        <v>11</v>
      </c>
      <c r="J383" s="4">
        <f t="shared" si="138"/>
        <v>2</v>
      </c>
      <c r="K383" s="4">
        <f>HOUR(F383)</f>
        <v>18</v>
      </c>
    </row>
    <row r="384" spans="1:11" ht="15.75" thickBot="1" x14ac:dyDescent="0.3">
      <c r="A384" s="3">
        <f>A383+1</f>
        <v>379</v>
      </c>
      <c r="B384" s="4" t="str">
        <f t="shared" si="126"/>
        <v>4</v>
      </c>
      <c r="C384" s="4">
        <f>VLOOKUP(I384,league_id,2,FALSE)</f>
        <v>1</v>
      </c>
      <c r="D384" s="4">
        <f t="shared" ref="D384:D385" si="146">VLOOKUP(H384,slot_compat,3,FALSE)</f>
        <v>2</v>
      </c>
      <c r="E384" s="4"/>
      <c r="F384" s="5">
        <v>43942.75</v>
      </c>
      <c r="G384" s="4">
        <f t="shared" si="127"/>
        <v>120</v>
      </c>
      <c r="H384" s="4" t="s">
        <v>7</v>
      </c>
      <c r="I384" s="4" t="s">
        <v>7</v>
      </c>
      <c r="J384" s="4">
        <f t="shared" si="138"/>
        <v>3</v>
      </c>
      <c r="K384" s="4">
        <f>HOUR(F384)</f>
        <v>18</v>
      </c>
    </row>
    <row r="385" spans="1:11" ht="15.75" thickBot="1" x14ac:dyDescent="0.3">
      <c r="A385" s="3">
        <f>A384+1</f>
        <v>380</v>
      </c>
      <c r="B385" s="4" t="str">
        <f t="shared" si="126"/>
        <v>3</v>
      </c>
      <c r="C385" s="4">
        <f t="shared" ref="C385:C389" si="147">VLOOKUP(I385,league_id,2,FALSE)</f>
        <v>2</v>
      </c>
      <c r="D385" s="4" t="str">
        <f t="shared" si="146"/>
        <v>1,3</v>
      </c>
      <c r="E385" s="4"/>
      <c r="F385" s="5">
        <f>F384</f>
        <v>43942.75</v>
      </c>
      <c r="G385" s="4">
        <f t="shared" si="127"/>
        <v>120</v>
      </c>
      <c r="H385" s="4" t="s">
        <v>8</v>
      </c>
      <c r="I385" s="4" t="s">
        <v>8</v>
      </c>
      <c r="J385" s="4">
        <f t="shared" si="138"/>
        <v>3</v>
      </c>
      <c r="K385" s="4">
        <f>HOUR(F385)</f>
        <v>18</v>
      </c>
    </row>
    <row r="386" spans="1:11" ht="15.75" thickBot="1" x14ac:dyDescent="0.3">
      <c r="A386" s="3">
        <f t="shared" ref="A386:A389" si="148">A385+1</f>
        <v>381</v>
      </c>
      <c r="B386" s="4" t="str">
        <f t="shared" ref="B386:B449" si="149">VLOOKUP(H386,field_id,2,FALSE)</f>
        <v>2</v>
      </c>
      <c r="C386" s="4">
        <f t="shared" si="147"/>
        <v>4</v>
      </c>
      <c r="D386" s="4">
        <v>5</v>
      </c>
      <c r="E386" s="4"/>
      <c r="F386" s="5">
        <f>F384</f>
        <v>43942.75</v>
      </c>
      <c r="G386" s="4">
        <f t="shared" ref="G386:G449" si="150">VLOOKUP(I386,GameDuration,2,FALSE)</f>
        <v>105</v>
      </c>
      <c r="H386" s="4" t="s">
        <v>9</v>
      </c>
      <c r="I386" s="4" t="s">
        <v>12</v>
      </c>
      <c r="J386" s="4">
        <f t="shared" si="138"/>
        <v>3</v>
      </c>
      <c r="K386" s="4">
        <f>HOUR(F386)</f>
        <v>18</v>
      </c>
    </row>
    <row r="387" spans="1:11" ht="15.75" thickBot="1" x14ac:dyDescent="0.3">
      <c r="A387" s="3">
        <f t="shared" si="148"/>
        <v>382</v>
      </c>
      <c r="B387" s="4" t="str">
        <f t="shared" si="149"/>
        <v>1</v>
      </c>
      <c r="C387" s="4">
        <f t="shared" si="147"/>
        <v>5</v>
      </c>
      <c r="D387" s="4"/>
      <c r="E387" s="4"/>
      <c r="F387" s="5">
        <f>F384</f>
        <v>43942.75</v>
      </c>
      <c r="G387" s="4">
        <f t="shared" si="150"/>
        <v>90</v>
      </c>
      <c r="H387" s="4" t="s">
        <v>15</v>
      </c>
      <c r="I387" s="4" t="s">
        <v>10</v>
      </c>
      <c r="J387" s="4">
        <f t="shared" si="138"/>
        <v>3</v>
      </c>
      <c r="K387" s="4">
        <f>HOUR(F387)</f>
        <v>18</v>
      </c>
    </row>
    <row r="388" spans="1:11" ht="15.75" thickBot="1" x14ac:dyDescent="0.3">
      <c r="A388" s="3">
        <f t="shared" si="148"/>
        <v>383</v>
      </c>
      <c r="B388" s="4" t="str">
        <f t="shared" si="149"/>
        <v>5</v>
      </c>
      <c r="C388" s="4">
        <f t="shared" si="147"/>
        <v>5</v>
      </c>
      <c r="D388" s="4"/>
      <c r="E388" s="4"/>
      <c r="F388" s="5">
        <f>F384</f>
        <v>43942.75</v>
      </c>
      <c r="G388" s="4">
        <f t="shared" si="150"/>
        <v>90</v>
      </c>
      <c r="H388" s="4" t="s">
        <v>16</v>
      </c>
      <c r="I388" s="4" t="s">
        <v>10</v>
      </c>
      <c r="J388" s="4">
        <f t="shared" si="138"/>
        <v>3</v>
      </c>
      <c r="K388" s="4">
        <f>HOUR(F388)</f>
        <v>18</v>
      </c>
    </row>
    <row r="389" spans="1:11" ht="15.75" thickBot="1" x14ac:dyDescent="0.3">
      <c r="A389" s="3">
        <f t="shared" si="148"/>
        <v>384</v>
      </c>
      <c r="B389" s="4" t="str">
        <f t="shared" si="149"/>
        <v>6</v>
      </c>
      <c r="C389" s="4">
        <f t="shared" si="147"/>
        <v>3</v>
      </c>
      <c r="D389" s="4" t="s">
        <v>55</v>
      </c>
      <c r="E389" s="4"/>
      <c r="F389" s="5">
        <f>F384</f>
        <v>43942.75</v>
      </c>
      <c r="G389" s="4">
        <f t="shared" si="150"/>
        <v>105</v>
      </c>
      <c r="H389" s="4" t="s">
        <v>17</v>
      </c>
      <c r="I389" s="4" t="s">
        <v>11</v>
      </c>
      <c r="J389" s="4">
        <f t="shared" si="138"/>
        <v>3</v>
      </c>
      <c r="K389" s="4">
        <f>HOUR(F389)</f>
        <v>18</v>
      </c>
    </row>
    <row r="390" spans="1:11" ht="15.75" thickBot="1" x14ac:dyDescent="0.3">
      <c r="A390" s="3">
        <f>A389+1</f>
        <v>385</v>
      </c>
      <c r="B390" s="4" t="str">
        <f t="shared" si="149"/>
        <v>4</v>
      </c>
      <c r="C390" s="4">
        <f>VLOOKUP(I390,league_id,2,FALSE)</f>
        <v>1</v>
      </c>
      <c r="D390" s="4">
        <f t="shared" ref="D390:D391" si="151">VLOOKUP(H390,slot_compat,3,FALSE)</f>
        <v>2</v>
      </c>
      <c r="E390" s="4"/>
      <c r="F390" s="5">
        <v>43943.75</v>
      </c>
      <c r="G390" s="4">
        <f t="shared" si="150"/>
        <v>120</v>
      </c>
      <c r="H390" s="4" t="s">
        <v>7</v>
      </c>
      <c r="I390" s="4" t="s">
        <v>7</v>
      </c>
      <c r="J390" s="4">
        <f t="shared" si="138"/>
        <v>4</v>
      </c>
      <c r="K390" s="4">
        <f>HOUR(F390)</f>
        <v>18</v>
      </c>
    </row>
    <row r="391" spans="1:11" ht="15.75" thickBot="1" x14ac:dyDescent="0.3">
      <c r="A391" s="3">
        <f>A390+1</f>
        <v>386</v>
      </c>
      <c r="B391" s="4" t="str">
        <f t="shared" si="149"/>
        <v>3</v>
      </c>
      <c r="C391" s="4">
        <f t="shared" ref="C391:C395" si="152">VLOOKUP(I391,league_id,2,FALSE)</f>
        <v>2</v>
      </c>
      <c r="D391" s="4" t="str">
        <f t="shared" si="151"/>
        <v>1,3</v>
      </c>
      <c r="E391" s="4"/>
      <c r="F391" s="5">
        <f>F390</f>
        <v>43943.75</v>
      </c>
      <c r="G391" s="4">
        <f t="shared" si="150"/>
        <v>120</v>
      </c>
      <c r="H391" s="4" t="s">
        <v>8</v>
      </c>
      <c r="I391" s="4" t="s">
        <v>8</v>
      </c>
      <c r="J391" s="4">
        <f t="shared" si="138"/>
        <v>4</v>
      </c>
      <c r="K391" s="4">
        <f>HOUR(F391)</f>
        <v>18</v>
      </c>
    </row>
    <row r="392" spans="1:11" ht="15.75" thickBot="1" x14ac:dyDescent="0.3">
      <c r="A392" s="3">
        <f t="shared" ref="A392:A395" si="153">A391+1</f>
        <v>387</v>
      </c>
      <c r="B392" s="4" t="str">
        <f t="shared" si="149"/>
        <v>2</v>
      </c>
      <c r="C392" s="4">
        <f t="shared" si="152"/>
        <v>4</v>
      </c>
      <c r="D392" s="4">
        <v>5</v>
      </c>
      <c r="E392" s="4"/>
      <c r="F392" s="5">
        <f>F390</f>
        <v>43943.75</v>
      </c>
      <c r="G392" s="4">
        <f t="shared" si="150"/>
        <v>105</v>
      </c>
      <c r="H392" s="4" t="s">
        <v>9</v>
      </c>
      <c r="I392" s="4" t="s">
        <v>12</v>
      </c>
      <c r="J392" s="4">
        <f t="shared" si="138"/>
        <v>4</v>
      </c>
      <c r="K392" s="4">
        <f>HOUR(F392)</f>
        <v>18</v>
      </c>
    </row>
    <row r="393" spans="1:11" ht="15.75" thickBot="1" x14ac:dyDescent="0.3">
      <c r="A393" s="3">
        <f t="shared" si="153"/>
        <v>388</v>
      </c>
      <c r="B393" s="4" t="str">
        <f t="shared" si="149"/>
        <v>1</v>
      </c>
      <c r="C393" s="4">
        <f t="shared" si="152"/>
        <v>5</v>
      </c>
      <c r="D393" s="4"/>
      <c r="E393" s="4"/>
      <c r="F393" s="5">
        <f>F390</f>
        <v>43943.75</v>
      </c>
      <c r="G393" s="4">
        <f t="shared" si="150"/>
        <v>90</v>
      </c>
      <c r="H393" s="4" t="s">
        <v>15</v>
      </c>
      <c r="I393" s="4" t="s">
        <v>10</v>
      </c>
      <c r="J393" s="4">
        <f t="shared" si="138"/>
        <v>4</v>
      </c>
      <c r="K393" s="4">
        <f>HOUR(F393)</f>
        <v>18</v>
      </c>
    </row>
    <row r="394" spans="1:11" ht="15.75" thickBot="1" x14ac:dyDescent="0.3">
      <c r="A394" s="3">
        <f t="shared" si="153"/>
        <v>389</v>
      </c>
      <c r="B394" s="4" t="str">
        <f t="shared" si="149"/>
        <v>5</v>
      </c>
      <c r="C394" s="4">
        <f t="shared" si="152"/>
        <v>5</v>
      </c>
      <c r="D394" s="4"/>
      <c r="E394" s="4"/>
      <c r="F394" s="5">
        <f>F390</f>
        <v>43943.75</v>
      </c>
      <c r="G394" s="4">
        <f t="shared" si="150"/>
        <v>90</v>
      </c>
      <c r="H394" s="4" t="s">
        <v>16</v>
      </c>
      <c r="I394" s="4" t="s">
        <v>10</v>
      </c>
      <c r="J394" s="4">
        <f t="shared" si="138"/>
        <v>4</v>
      </c>
      <c r="K394" s="4">
        <f>HOUR(F394)</f>
        <v>18</v>
      </c>
    </row>
    <row r="395" spans="1:11" ht="15.75" thickBot="1" x14ac:dyDescent="0.3">
      <c r="A395" s="3">
        <f t="shared" si="153"/>
        <v>390</v>
      </c>
      <c r="B395" s="4" t="str">
        <f t="shared" si="149"/>
        <v>6</v>
      </c>
      <c r="C395" s="4">
        <f t="shared" si="152"/>
        <v>3</v>
      </c>
      <c r="D395" s="4" t="s">
        <v>55</v>
      </c>
      <c r="E395" s="4"/>
      <c r="F395" s="5">
        <f>F390</f>
        <v>43943.75</v>
      </c>
      <c r="G395" s="4">
        <f t="shared" si="150"/>
        <v>105</v>
      </c>
      <c r="H395" s="4" t="s">
        <v>17</v>
      </c>
      <c r="I395" s="4" t="s">
        <v>11</v>
      </c>
      <c r="J395" s="4">
        <f t="shared" si="138"/>
        <v>4</v>
      </c>
      <c r="K395" s="4">
        <f>HOUR(F395)</f>
        <v>18</v>
      </c>
    </row>
    <row r="396" spans="1:11" ht="15.75" thickBot="1" x14ac:dyDescent="0.3">
      <c r="A396" s="3">
        <f>A395+1</f>
        <v>391</v>
      </c>
      <c r="B396" s="4" t="str">
        <f t="shared" si="149"/>
        <v>4</v>
      </c>
      <c r="C396" s="4">
        <f>VLOOKUP(I396,league_id,2,FALSE)</f>
        <v>1</v>
      </c>
      <c r="D396" s="4">
        <f t="shared" ref="D396:D397" si="154">VLOOKUP(H396,slot_compat,3,FALSE)</f>
        <v>2</v>
      </c>
      <c r="E396" s="4"/>
      <c r="F396" s="5">
        <v>43944.75</v>
      </c>
      <c r="G396" s="4">
        <f t="shared" si="150"/>
        <v>120</v>
      </c>
      <c r="H396" s="4" t="s">
        <v>7</v>
      </c>
      <c r="I396" s="4" t="s">
        <v>7</v>
      </c>
      <c r="J396" s="4">
        <f t="shared" si="138"/>
        <v>5</v>
      </c>
      <c r="K396" s="4">
        <f>HOUR(F396)</f>
        <v>18</v>
      </c>
    </row>
    <row r="397" spans="1:11" ht="15.75" thickBot="1" x14ac:dyDescent="0.3">
      <c r="A397" s="3">
        <f>A396+1</f>
        <v>392</v>
      </c>
      <c r="B397" s="4" t="str">
        <f t="shared" si="149"/>
        <v>3</v>
      </c>
      <c r="C397" s="4">
        <f t="shared" ref="C397:C460" si="155">VLOOKUP(I397,league_id,2,FALSE)</f>
        <v>2</v>
      </c>
      <c r="D397" s="4" t="str">
        <f t="shared" si="154"/>
        <v>1,3</v>
      </c>
      <c r="E397" s="4"/>
      <c r="F397" s="5">
        <f>F396</f>
        <v>43944.75</v>
      </c>
      <c r="G397" s="4">
        <f t="shared" si="150"/>
        <v>120</v>
      </c>
      <c r="H397" s="4" t="s">
        <v>8</v>
      </c>
      <c r="I397" s="4" t="s">
        <v>8</v>
      </c>
      <c r="J397" s="4">
        <f t="shared" si="138"/>
        <v>5</v>
      </c>
      <c r="K397" s="4">
        <f>HOUR(F397)</f>
        <v>18</v>
      </c>
    </row>
    <row r="398" spans="1:11" ht="15.75" thickBot="1" x14ac:dyDescent="0.3">
      <c r="A398" s="3">
        <f t="shared" ref="A398:A401" si="156">A397+1</f>
        <v>393</v>
      </c>
      <c r="B398" s="4" t="str">
        <f t="shared" si="149"/>
        <v>2</v>
      </c>
      <c r="C398" s="4">
        <f t="shared" si="155"/>
        <v>4</v>
      </c>
      <c r="D398" s="4">
        <v>5</v>
      </c>
      <c r="E398" s="4"/>
      <c r="F398" s="5">
        <f>F396</f>
        <v>43944.75</v>
      </c>
      <c r="G398" s="4">
        <f t="shared" si="150"/>
        <v>105</v>
      </c>
      <c r="H398" s="4" t="s">
        <v>9</v>
      </c>
      <c r="I398" s="4" t="s">
        <v>12</v>
      </c>
      <c r="J398" s="4">
        <f t="shared" si="138"/>
        <v>5</v>
      </c>
      <c r="K398" s="4">
        <f>HOUR(F398)</f>
        <v>18</v>
      </c>
    </row>
    <row r="399" spans="1:11" ht="15.75" thickBot="1" x14ac:dyDescent="0.3">
      <c r="A399" s="3">
        <f t="shared" si="156"/>
        <v>394</v>
      </c>
      <c r="B399" s="4" t="str">
        <f t="shared" si="149"/>
        <v>1</v>
      </c>
      <c r="C399" s="4">
        <f t="shared" si="155"/>
        <v>5</v>
      </c>
      <c r="D399" s="4"/>
      <c r="E399" s="4"/>
      <c r="F399" s="5">
        <f>F396</f>
        <v>43944.75</v>
      </c>
      <c r="G399" s="4">
        <f t="shared" si="150"/>
        <v>90</v>
      </c>
      <c r="H399" s="4" t="s">
        <v>15</v>
      </c>
      <c r="I399" s="4" t="s">
        <v>10</v>
      </c>
      <c r="J399" s="4">
        <f t="shared" si="138"/>
        <v>5</v>
      </c>
      <c r="K399" s="4">
        <f>HOUR(F399)</f>
        <v>18</v>
      </c>
    </row>
    <row r="400" spans="1:11" ht="15.75" thickBot="1" x14ac:dyDescent="0.3">
      <c r="A400" s="3">
        <f t="shared" si="156"/>
        <v>395</v>
      </c>
      <c r="B400" s="4" t="str">
        <f t="shared" si="149"/>
        <v>5</v>
      </c>
      <c r="C400" s="4">
        <f t="shared" si="155"/>
        <v>5</v>
      </c>
      <c r="D400" s="4"/>
      <c r="E400" s="4"/>
      <c r="F400" s="5">
        <f>F396</f>
        <v>43944.75</v>
      </c>
      <c r="G400" s="4">
        <f t="shared" si="150"/>
        <v>90</v>
      </c>
      <c r="H400" s="4" t="s">
        <v>16</v>
      </c>
      <c r="I400" s="4" t="s">
        <v>10</v>
      </c>
      <c r="J400" s="4">
        <f t="shared" si="138"/>
        <v>5</v>
      </c>
      <c r="K400" s="4">
        <f>HOUR(F400)</f>
        <v>18</v>
      </c>
    </row>
    <row r="401" spans="1:11" ht="15.75" thickBot="1" x14ac:dyDescent="0.3">
      <c r="A401" s="3">
        <f t="shared" si="156"/>
        <v>396</v>
      </c>
      <c r="B401" s="4" t="str">
        <f t="shared" si="149"/>
        <v>6</v>
      </c>
      <c r="C401" s="4">
        <f t="shared" si="155"/>
        <v>3</v>
      </c>
      <c r="D401" s="4" t="s">
        <v>55</v>
      </c>
      <c r="E401" s="4"/>
      <c r="F401" s="5">
        <f>F396</f>
        <v>43944.75</v>
      </c>
      <c r="G401" s="4">
        <f t="shared" si="150"/>
        <v>105</v>
      </c>
      <c r="H401" s="4" t="s">
        <v>17</v>
      </c>
      <c r="I401" s="4" t="s">
        <v>11</v>
      </c>
      <c r="J401" s="4">
        <f t="shared" si="138"/>
        <v>5</v>
      </c>
      <c r="K401" s="4">
        <f>HOUR(F401)</f>
        <v>18</v>
      </c>
    </row>
    <row r="402" spans="1:11" ht="15.75" thickBot="1" x14ac:dyDescent="0.3">
      <c r="A402" s="3">
        <f>A401+1</f>
        <v>397</v>
      </c>
      <c r="B402" s="4" t="str">
        <f t="shared" si="149"/>
        <v>4</v>
      </c>
      <c r="C402" s="4">
        <f t="shared" si="155"/>
        <v>1</v>
      </c>
      <c r="D402" s="4">
        <f t="shared" ref="D402:D411" si="157">VLOOKUP(H402,slot_compat,3,FALSE)</f>
        <v>2</v>
      </c>
      <c r="E402" s="4"/>
      <c r="F402" s="5">
        <v>43945.75</v>
      </c>
      <c r="G402" s="4">
        <f t="shared" si="150"/>
        <v>120</v>
      </c>
      <c r="H402" s="4" t="s">
        <v>7</v>
      </c>
      <c r="I402" s="4" t="s">
        <v>7</v>
      </c>
      <c r="J402" s="4">
        <f t="shared" si="138"/>
        <v>6</v>
      </c>
      <c r="K402" s="4">
        <f>HOUR(F402)</f>
        <v>18</v>
      </c>
    </row>
    <row r="403" spans="1:11" ht="15.75" thickBot="1" x14ac:dyDescent="0.3">
      <c r="A403" s="7">
        <f>A402+1</f>
        <v>398</v>
      </c>
      <c r="B403" s="8" t="str">
        <f t="shared" si="149"/>
        <v>4</v>
      </c>
      <c r="C403" s="8">
        <f t="shared" si="155"/>
        <v>1</v>
      </c>
      <c r="D403" s="8">
        <f t="shared" si="157"/>
        <v>2</v>
      </c>
      <c r="E403" s="8"/>
      <c r="F403" s="9">
        <f>F402+G402/60/24</f>
        <v>43945.833333333336</v>
      </c>
      <c r="G403" s="8">
        <f t="shared" si="150"/>
        <v>120</v>
      </c>
      <c r="H403" s="8" t="s">
        <v>7</v>
      </c>
      <c r="I403" s="8" t="s">
        <v>7</v>
      </c>
      <c r="J403" s="8">
        <f t="shared" si="138"/>
        <v>6</v>
      </c>
      <c r="K403" s="4">
        <f>HOUR(F403)</f>
        <v>20</v>
      </c>
    </row>
    <row r="404" spans="1:11" ht="15.75" thickBot="1" x14ac:dyDescent="0.3">
      <c r="A404" s="3">
        <f>A403+1</f>
        <v>399</v>
      </c>
      <c r="B404" s="4" t="str">
        <f t="shared" si="149"/>
        <v>3</v>
      </c>
      <c r="C404" s="4">
        <f t="shared" si="155"/>
        <v>2</v>
      </c>
      <c r="D404" s="4" t="str">
        <f t="shared" si="157"/>
        <v>1,3</v>
      </c>
      <c r="E404" s="4"/>
      <c r="F404" s="5">
        <f>F402</f>
        <v>43945.75</v>
      </c>
      <c r="G404" s="4">
        <f t="shared" si="150"/>
        <v>120</v>
      </c>
      <c r="H404" s="4" t="s">
        <v>8</v>
      </c>
      <c r="I404" s="4" t="s">
        <v>8</v>
      </c>
      <c r="J404" s="4">
        <f t="shared" si="138"/>
        <v>6</v>
      </c>
      <c r="K404" s="4">
        <f>HOUR(F404)</f>
        <v>18</v>
      </c>
    </row>
    <row r="405" spans="1:11" ht="15.75" thickBot="1" x14ac:dyDescent="0.3">
      <c r="A405" s="7">
        <f t="shared" ref="A405:A413" si="158">A404+1</f>
        <v>400</v>
      </c>
      <c r="B405" s="8" t="str">
        <f t="shared" si="149"/>
        <v>3</v>
      </c>
      <c r="C405" s="8">
        <f t="shared" si="155"/>
        <v>2</v>
      </c>
      <c r="D405" s="8" t="str">
        <f t="shared" si="157"/>
        <v>1,3</v>
      </c>
      <c r="E405" s="8"/>
      <c r="F405" s="9">
        <f>F404+G404/60/24</f>
        <v>43945.833333333336</v>
      </c>
      <c r="G405" s="8">
        <f t="shared" si="150"/>
        <v>120</v>
      </c>
      <c r="H405" s="8" t="s">
        <v>8</v>
      </c>
      <c r="I405" s="8" t="s">
        <v>8</v>
      </c>
      <c r="J405" s="8">
        <f t="shared" si="138"/>
        <v>6</v>
      </c>
      <c r="K405" s="4">
        <f>HOUR(F405)</f>
        <v>20</v>
      </c>
    </row>
    <row r="406" spans="1:11" ht="15.75" thickBot="1" x14ac:dyDescent="0.3">
      <c r="A406" s="3">
        <f>A405+1</f>
        <v>401</v>
      </c>
      <c r="B406" s="4" t="str">
        <f t="shared" si="149"/>
        <v>2</v>
      </c>
      <c r="C406" s="4">
        <f t="shared" si="155"/>
        <v>4</v>
      </c>
      <c r="D406" s="4">
        <v>5</v>
      </c>
      <c r="E406" s="4"/>
      <c r="F406" s="5">
        <f>F402</f>
        <v>43945.75</v>
      </c>
      <c r="G406" s="4">
        <f t="shared" si="150"/>
        <v>105</v>
      </c>
      <c r="H406" s="4" t="s">
        <v>9</v>
      </c>
      <c r="I406" s="4" t="s">
        <v>12</v>
      </c>
      <c r="J406" s="4">
        <f t="shared" si="138"/>
        <v>6</v>
      </c>
      <c r="K406" s="4">
        <f>HOUR(F406)</f>
        <v>18</v>
      </c>
    </row>
    <row r="407" spans="1:11" ht="15.75" thickBot="1" x14ac:dyDescent="0.3">
      <c r="A407" s="7">
        <f t="shared" si="158"/>
        <v>402</v>
      </c>
      <c r="B407" s="8" t="str">
        <f t="shared" si="149"/>
        <v>2</v>
      </c>
      <c r="C407" s="8">
        <f t="shared" si="155"/>
        <v>4</v>
      </c>
      <c r="D407" s="8">
        <v>5</v>
      </c>
      <c r="E407" s="8"/>
      <c r="F407" s="9">
        <f>F406+G406/60/24</f>
        <v>43945.822916666664</v>
      </c>
      <c r="G407" s="8">
        <f t="shared" si="150"/>
        <v>105</v>
      </c>
      <c r="H407" s="8" t="s">
        <v>9</v>
      </c>
      <c r="I407" s="8" t="s">
        <v>12</v>
      </c>
      <c r="J407" s="8">
        <f t="shared" si="138"/>
        <v>6</v>
      </c>
      <c r="K407" s="4">
        <f>HOUR(F407)</f>
        <v>19</v>
      </c>
    </row>
    <row r="408" spans="1:11" ht="15.75" thickBot="1" x14ac:dyDescent="0.3">
      <c r="A408" s="3">
        <f>A407+1</f>
        <v>403</v>
      </c>
      <c r="B408" s="4" t="str">
        <f t="shared" si="149"/>
        <v>1</v>
      </c>
      <c r="C408" s="4">
        <f t="shared" si="155"/>
        <v>5</v>
      </c>
      <c r="D408" s="4"/>
      <c r="E408" s="4"/>
      <c r="F408" s="5">
        <f>F402</f>
        <v>43945.75</v>
      </c>
      <c r="G408" s="4">
        <f t="shared" si="150"/>
        <v>90</v>
      </c>
      <c r="H408" s="4" t="s">
        <v>15</v>
      </c>
      <c r="I408" s="4" t="s">
        <v>10</v>
      </c>
      <c r="J408" s="4">
        <f t="shared" si="138"/>
        <v>6</v>
      </c>
      <c r="K408" s="4">
        <f>HOUR(F408)</f>
        <v>18</v>
      </c>
    </row>
    <row r="409" spans="1:11" ht="15.75" thickBot="1" x14ac:dyDescent="0.3">
      <c r="A409" s="7">
        <f t="shared" si="158"/>
        <v>404</v>
      </c>
      <c r="B409" s="8" t="str">
        <f t="shared" si="149"/>
        <v>1</v>
      </c>
      <c r="C409" s="8">
        <f t="shared" si="155"/>
        <v>5</v>
      </c>
      <c r="D409" s="8"/>
      <c r="E409" s="8"/>
      <c r="F409" s="9">
        <f>F408+G408/60/24</f>
        <v>43945.8125</v>
      </c>
      <c r="G409" s="8">
        <f t="shared" si="150"/>
        <v>90</v>
      </c>
      <c r="H409" s="8" t="s">
        <v>15</v>
      </c>
      <c r="I409" s="8" t="s">
        <v>10</v>
      </c>
      <c r="J409" s="8">
        <f t="shared" si="138"/>
        <v>6</v>
      </c>
      <c r="K409" s="4">
        <f>HOUR(F409)</f>
        <v>19</v>
      </c>
    </row>
    <row r="410" spans="1:11" ht="15.75" thickBot="1" x14ac:dyDescent="0.3">
      <c r="A410" s="3">
        <f>A409+1</f>
        <v>405</v>
      </c>
      <c r="B410" s="4" t="str">
        <f t="shared" si="149"/>
        <v>5</v>
      </c>
      <c r="C410" s="4">
        <f t="shared" si="155"/>
        <v>5</v>
      </c>
      <c r="D410" s="4"/>
      <c r="E410" s="4"/>
      <c r="F410" s="5">
        <f>F402</f>
        <v>43945.75</v>
      </c>
      <c r="G410" s="4">
        <f t="shared" si="150"/>
        <v>90</v>
      </c>
      <c r="H410" s="4" t="s">
        <v>16</v>
      </c>
      <c r="I410" s="4" t="s">
        <v>10</v>
      </c>
      <c r="J410" s="4">
        <f t="shared" si="138"/>
        <v>6</v>
      </c>
      <c r="K410" s="4">
        <f>HOUR(F410)</f>
        <v>18</v>
      </c>
    </row>
    <row r="411" spans="1:11" ht="15.75" thickBot="1" x14ac:dyDescent="0.3">
      <c r="A411" s="7">
        <f t="shared" si="158"/>
        <v>406</v>
      </c>
      <c r="B411" s="8" t="str">
        <f t="shared" si="149"/>
        <v>5</v>
      </c>
      <c r="C411" s="8">
        <f t="shared" si="155"/>
        <v>4</v>
      </c>
      <c r="D411" s="8">
        <f t="shared" si="157"/>
        <v>5</v>
      </c>
      <c r="E411" s="8"/>
      <c r="F411" s="9">
        <f>F410+G410/60/24</f>
        <v>43945.8125</v>
      </c>
      <c r="G411" s="8">
        <f t="shared" si="150"/>
        <v>105</v>
      </c>
      <c r="H411" s="8" t="s">
        <v>16</v>
      </c>
      <c r="I411" s="8" t="s">
        <v>12</v>
      </c>
      <c r="J411" s="8">
        <f t="shared" si="138"/>
        <v>6</v>
      </c>
      <c r="K411" s="4">
        <f>HOUR(F411)</f>
        <v>19</v>
      </c>
    </row>
    <row r="412" spans="1:11" ht="15.75" thickBot="1" x14ac:dyDescent="0.3">
      <c r="A412" s="3">
        <f>A411+1</f>
        <v>407</v>
      </c>
      <c r="B412" s="4" t="str">
        <f t="shared" si="149"/>
        <v>6</v>
      </c>
      <c r="C412" s="4">
        <f t="shared" si="155"/>
        <v>3</v>
      </c>
      <c r="D412" s="4" t="s">
        <v>55</v>
      </c>
      <c r="E412" s="4"/>
      <c r="F412" s="5">
        <f>F402</f>
        <v>43945.75</v>
      </c>
      <c r="G412" s="4">
        <f t="shared" si="150"/>
        <v>105</v>
      </c>
      <c r="H412" s="4" t="s">
        <v>17</v>
      </c>
      <c r="I412" s="4" t="s">
        <v>11</v>
      </c>
      <c r="J412" s="4">
        <f t="shared" si="138"/>
        <v>6</v>
      </c>
      <c r="K412" s="4">
        <f>HOUR(F412)</f>
        <v>18</v>
      </c>
    </row>
    <row r="413" spans="1:11" ht="15.75" thickBot="1" x14ac:dyDescent="0.3">
      <c r="A413" s="10">
        <f t="shared" si="158"/>
        <v>408</v>
      </c>
      <c r="B413" s="11" t="str">
        <f t="shared" si="149"/>
        <v>6</v>
      </c>
      <c r="C413" s="11">
        <f t="shared" si="155"/>
        <v>3</v>
      </c>
      <c r="D413" s="11" t="s">
        <v>55</v>
      </c>
      <c r="E413" s="11"/>
      <c r="F413" s="12">
        <f>F412+G412/60/24</f>
        <v>43945.822916666664</v>
      </c>
      <c r="G413" s="11">
        <f t="shared" si="150"/>
        <v>105</v>
      </c>
      <c r="H413" s="11" t="s">
        <v>17</v>
      </c>
      <c r="I413" s="11" t="s">
        <v>11</v>
      </c>
      <c r="J413" s="11">
        <f t="shared" si="138"/>
        <v>6</v>
      </c>
      <c r="K413" s="4">
        <f>HOUR(F413)</f>
        <v>19</v>
      </c>
    </row>
    <row r="414" spans="1:11" ht="15.75" thickBot="1" x14ac:dyDescent="0.3">
      <c r="A414" s="3">
        <f>A413+1</f>
        <v>409</v>
      </c>
      <c r="B414" s="4" t="str">
        <f t="shared" si="149"/>
        <v>7</v>
      </c>
      <c r="C414" s="4">
        <f t="shared" si="155"/>
        <v>5</v>
      </c>
      <c r="D414" s="4">
        <v>6</v>
      </c>
      <c r="E414" s="4"/>
      <c r="F414" s="5">
        <f>F402</f>
        <v>43945.75</v>
      </c>
      <c r="G414" s="4">
        <f t="shared" si="150"/>
        <v>90</v>
      </c>
      <c r="H414" s="4" t="s">
        <v>18</v>
      </c>
      <c r="I414" s="4" t="s">
        <v>10</v>
      </c>
      <c r="J414" s="4">
        <f t="shared" si="138"/>
        <v>6</v>
      </c>
      <c r="K414" s="4">
        <f>HOUR(F414)</f>
        <v>18</v>
      </c>
    </row>
    <row r="415" spans="1:11" ht="15.75" thickBot="1" x14ac:dyDescent="0.3">
      <c r="A415" s="7">
        <f t="shared" ref="A415" si="159">A414+1</f>
        <v>410</v>
      </c>
      <c r="B415" s="8" t="str">
        <f t="shared" si="149"/>
        <v>7</v>
      </c>
      <c r="C415" s="8">
        <f t="shared" si="155"/>
        <v>2</v>
      </c>
      <c r="D415" s="8" t="s">
        <v>55</v>
      </c>
      <c r="E415" s="8"/>
      <c r="F415" s="9">
        <f>F414+G414/60/24</f>
        <v>43945.8125</v>
      </c>
      <c r="G415" s="8">
        <f t="shared" si="150"/>
        <v>120</v>
      </c>
      <c r="H415" s="8" t="s">
        <v>18</v>
      </c>
      <c r="I415" s="8" t="s">
        <v>8</v>
      </c>
      <c r="J415" s="8">
        <f t="shared" si="138"/>
        <v>6</v>
      </c>
      <c r="K415" s="4">
        <f>HOUR(F415)</f>
        <v>19</v>
      </c>
    </row>
    <row r="416" spans="1:11" ht="15.75" thickBot="1" x14ac:dyDescent="0.3">
      <c r="A416" s="3">
        <f>A415+1</f>
        <v>411</v>
      </c>
      <c r="B416" s="4" t="str">
        <f t="shared" si="149"/>
        <v>8</v>
      </c>
      <c r="C416" s="4">
        <f t="shared" si="155"/>
        <v>5</v>
      </c>
      <c r="D416" s="4"/>
      <c r="E416" s="4"/>
      <c r="F416" s="5">
        <f>F402</f>
        <v>43945.75</v>
      </c>
      <c r="G416" s="4">
        <f t="shared" si="150"/>
        <v>90</v>
      </c>
      <c r="H416" s="4" t="s">
        <v>19</v>
      </c>
      <c r="I416" s="4" t="s">
        <v>10</v>
      </c>
      <c r="J416" s="4">
        <f t="shared" si="138"/>
        <v>6</v>
      </c>
      <c r="K416" s="4">
        <f>HOUR(F416)</f>
        <v>18</v>
      </c>
    </row>
    <row r="417" spans="1:11" ht="15.75" thickBot="1" x14ac:dyDescent="0.3">
      <c r="A417" s="10">
        <f t="shared" ref="A417" si="160">A416+1</f>
        <v>412</v>
      </c>
      <c r="B417" s="11" t="str">
        <f t="shared" si="149"/>
        <v>8</v>
      </c>
      <c r="C417" s="11">
        <f t="shared" si="155"/>
        <v>2</v>
      </c>
      <c r="D417" s="11" t="s">
        <v>56</v>
      </c>
      <c r="E417" s="11"/>
      <c r="F417" s="12">
        <f>F416+G416/60/24</f>
        <v>43945.8125</v>
      </c>
      <c r="G417" s="11">
        <f t="shared" si="150"/>
        <v>120</v>
      </c>
      <c r="H417" s="11" t="s">
        <v>19</v>
      </c>
      <c r="I417" s="11" t="s">
        <v>8</v>
      </c>
      <c r="J417" s="11">
        <f t="shared" si="138"/>
        <v>6</v>
      </c>
      <c r="K417" s="4">
        <f>HOUR(F417)</f>
        <v>19</v>
      </c>
    </row>
    <row r="418" spans="1:11" ht="15.75" thickBot="1" x14ac:dyDescent="0.3">
      <c r="A418" s="3">
        <f>A417+1</f>
        <v>413</v>
      </c>
      <c r="B418" s="4" t="str">
        <f t="shared" si="149"/>
        <v>4</v>
      </c>
      <c r="C418" s="4">
        <f t="shared" si="155"/>
        <v>1</v>
      </c>
      <c r="D418" s="4">
        <f t="shared" ref="D418:D435" si="161">VLOOKUP(H418,slot_compat,3,FALSE)</f>
        <v>2</v>
      </c>
      <c r="E418" s="4"/>
      <c r="F418" s="5">
        <v>43946.375</v>
      </c>
      <c r="G418" s="4">
        <f t="shared" si="150"/>
        <v>120</v>
      </c>
      <c r="H418" s="4" t="s">
        <v>7</v>
      </c>
      <c r="I418" s="4" t="s">
        <v>7</v>
      </c>
      <c r="J418" s="4">
        <f t="shared" si="138"/>
        <v>7</v>
      </c>
      <c r="K418" s="4">
        <f>HOUR(F418)</f>
        <v>9</v>
      </c>
    </row>
    <row r="419" spans="1:11" ht="15.75" thickBot="1" x14ac:dyDescent="0.3">
      <c r="A419" s="7">
        <f>A418+1</f>
        <v>414</v>
      </c>
      <c r="B419" s="8" t="str">
        <f t="shared" si="149"/>
        <v>4</v>
      </c>
      <c r="C419" s="8">
        <f t="shared" si="155"/>
        <v>1</v>
      </c>
      <c r="D419" s="8">
        <f t="shared" si="161"/>
        <v>2</v>
      </c>
      <c r="E419" s="8"/>
      <c r="F419" s="9">
        <f>F418+G418/60/24</f>
        <v>43946.458333333336</v>
      </c>
      <c r="G419" s="8">
        <f t="shared" si="150"/>
        <v>120</v>
      </c>
      <c r="H419" s="8" t="s">
        <v>7</v>
      </c>
      <c r="I419" s="8" t="s">
        <v>7</v>
      </c>
      <c r="J419" s="8">
        <f t="shared" si="138"/>
        <v>7</v>
      </c>
      <c r="K419" s="4">
        <f>HOUR(F419)</f>
        <v>11</v>
      </c>
    </row>
    <row r="420" spans="1:11" ht="15.75" thickBot="1" x14ac:dyDescent="0.3">
      <c r="A420" s="7">
        <f t="shared" ref="A420:A468" si="162">A419+1</f>
        <v>415</v>
      </c>
      <c r="B420" s="8" t="str">
        <f t="shared" si="149"/>
        <v>4</v>
      </c>
      <c r="C420" s="8">
        <f t="shared" si="155"/>
        <v>1</v>
      </c>
      <c r="D420" s="8">
        <f t="shared" si="161"/>
        <v>2</v>
      </c>
      <c r="E420" s="8"/>
      <c r="F420" s="9">
        <f>F419+G419/60/24</f>
        <v>43946.541666666672</v>
      </c>
      <c r="G420" s="8">
        <f t="shared" si="150"/>
        <v>120</v>
      </c>
      <c r="H420" s="8" t="s">
        <v>7</v>
      </c>
      <c r="I420" s="8" t="s">
        <v>7</v>
      </c>
      <c r="J420" s="8">
        <f t="shared" si="138"/>
        <v>7</v>
      </c>
      <c r="K420" s="4">
        <f>HOUR(F420)</f>
        <v>13</v>
      </c>
    </row>
    <row r="421" spans="1:11" ht="15.75" thickBot="1" x14ac:dyDescent="0.3">
      <c r="A421" s="7">
        <f t="shared" si="162"/>
        <v>416</v>
      </c>
      <c r="B421" s="8" t="str">
        <f t="shared" si="149"/>
        <v>4</v>
      </c>
      <c r="C421" s="8">
        <f t="shared" si="155"/>
        <v>1</v>
      </c>
      <c r="D421" s="8">
        <f t="shared" si="161"/>
        <v>2</v>
      </c>
      <c r="E421" s="8"/>
      <c r="F421" s="9">
        <f>F420+G420/60/24</f>
        <v>43946.625000000007</v>
      </c>
      <c r="G421" s="8">
        <f t="shared" si="150"/>
        <v>120</v>
      </c>
      <c r="H421" s="8" t="s">
        <v>7</v>
      </c>
      <c r="I421" s="8" t="s">
        <v>7</v>
      </c>
      <c r="J421" s="8">
        <f t="shared" ref="J421:J436" si="163">WEEKDAY(F421)</f>
        <v>7</v>
      </c>
      <c r="K421" s="4">
        <f>HOUR(F421)</f>
        <v>15</v>
      </c>
    </row>
    <row r="422" spans="1:11" ht="15.75" thickBot="1" x14ac:dyDescent="0.3">
      <c r="A422" s="7">
        <f>A420+1</f>
        <v>416</v>
      </c>
      <c r="B422" s="8" t="str">
        <f t="shared" si="149"/>
        <v>4</v>
      </c>
      <c r="C422" s="8">
        <f t="shared" si="155"/>
        <v>1</v>
      </c>
      <c r="D422" s="8">
        <f t="shared" si="161"/>
        <v>2</v>
      </c>
      <c r="E422" s="8"/>
      <c r="F422" s="9">
        <f>F421+G421/60/24</f>
        <v>43946.708333333343</v>
      </c>
      <c r="G422" s="8">
        <f t="shared" si="150"/>
        <v>120</v>
      </c>
      <c r="H422" s="8" t="s">
        <v>7</v>
      </c>
      <c r="I422" s="8" t="s">
        <v>7</v>
      </c>
      <c r="J422" s="8">
        <f t="shared" si="163"/>
        <v>7</v>
      </c>
      <c r="K422" s="4">
        <f>HOUR(F422)</f>
        <v>17</v>
      </c>
    </row>
    <row r="423" spans="1:11" ht="15.75" thickBot="1" x14ac:dyDescent="0.3">
      <c r="A423" s="10">
        <f>A421+1</f>
        <v>417</v>
      </c>
      <c r="B423" s="11" t="str">
        <f t="shared" si="149"/>
        <v>4</v>
      </c>
      <c r="C423" s="11">
        <f t="shared" si="155"/>
        <v>1</v>
      </c>
      <c r="D423" s="11">
        <f t="shared" si="161"/>
        <v>2</v>
      </c>
      <c r="E423" s="11"/>
      <c r="F423" s="9">
        <f>F422+G422/60/24</f>
        <v>43946.791666666679</v>
      </c>
      <c r="G423" s="11">
        <f t="shared" si="150"/>
        <v>120</v>
      </c>
      <c r="H423" s="11" t="s">
        <v>7</v>
      </c>
      <c r="I423" s="11" t="s">
        <v>7</v>
      </c>
      <c r="J423" s="11">
        <f t="shared" si="163"/>
        <v>7</v>
      </c>
      <c r="K423" s="4">
        <f>HOUR(F423)</f>
        <v>19</v>
      </c>
    </row>
    <row r="424" spans="1:11" ht="15.75" thickBot="1" x14ac:dyDescent="0.3">
      <c r="A424" s="3">
        <f t="shared" si="162"/>
        <v>418</v>
      </c>
      <c r="B424" s="4" t="str">
        <f t="shared" si="149"/>
        <v>3</v>
      </c>
      <c r="C424" s="8">
        <f t="shared" si="155"/>
        <v>2</v>
      </c>
      <c r="D424" s="8" t="str">
        <f t="shared" si="161"/>
        <v>1,3</v>
      </c>
      <c r="E424" s="4"/>
      <c r="F424" s="5">
        <f>F418</f>
        <v>43946.375</v>
      </c>
      <c r="G424" s="4">
        <f t="shared" si="150"/>
        <v>120</v>
      </c>
      <c r="H424" s="4" t="s">
        <v>8</v>
      </c>
      <c r="I424" s="4" t="s">
        <v>8</v>
      </c>
      <c r="J424" s="4">
        <f t="shared" si="163"/>
        <v>7</v>
      </c>
      <c r="K424" s="4">
        <f>HOUR(F424)</f>
        <v>9</v>
      </c>
    </row>
    <row r="425" spans="1:11" ht="15.75" thickBot="1" x14ac:dyDescent="0.3">
      <c r="A425" s="7">
        <f t="shared" si="162"/>
        <v>419</v>
      </c>
      <c r="B425" s="8" t="str">
        <f t="shared" si="149"/>
        <v>3</v>
      </c>
      <c r="C425" s="8">
        <f t="shared" si="155"/>
        <v>2</v>
      </c>
      <c r="D425" s="8" t="str">
        <f t="shared" si="161"/>
        <v>1,3</v>
      </c>
      <c r="E425" s="8"/>
      <c r="F425" s="9">
        <f>F424+G424/60/24</f>
        <v>43946.458333333336</v>
      </c>
      <c r="G425" s="8">
        <f t="shared" si="150"/>
        <v>120</v>
      </c>
      <c r="H425" s="8" t="s">
        <v>8</v>
      </c>
      <c r="I425" s="8" t="s">
        <v>8</v>
      </c>
      <c r="J425" s="8">
        <f t="shared" si="163"/>
        <v>7</v>
      </c>
      <c r="K425" s="4">
        <f>HOUR(F425)</f>
        <v>11</v>
      </c>
    </row>
    <row r="426" spans="1:11" ht="15.75" thickBot="1" x14ac:dyDescent="0.3">
      <c r="A426" s="7">
        <f t="shared" si="162"/>
        <v>420</v>
      </c>
      <c r="B426" s="8" t="str">
        <f t="shared" si="149"/>
        <v>3</v>
      </c>
      <c r="C426" s="8">
        <f t="shared" si="155"/>
        <v>2</v>
      </c>
      <c r="D426" s="8" t="str">
        <f t="shared" si="161"/>
        <v>1,3</v>
      </c>
      <c r="E426" s="8"/>
      <c r="F426" s="9">
        <f t="shared" ref="F426:F429" si="164">F425+G425/60/24</f>
        <v>43946.541666666672</v>
      </c>
      <c r="G426" s="8">
        <f t="shared" si="150"/>
        <v>120</v>
      </c>
      <c r="H426" s="8" t="s">
        <v>8</v>
      </c>
      <c r="I426" s="8" t="s">
        <v>8</v>
      </c>
      <c r="J426" s="8">
        <f t="shared" si="163"/>
        <v>7</v>
      </c>
      <c r="K426" s="4">
        <f>HOUR(F426)</f>
        <v>13</v>
      </c>
    </row>
    <row r="427" spans="1:11" ht="15.75" thickBot="1" x14ac:dyDescent="0.3">
      <c r="A427" s="7">
        <f t="shared" si="162"/>
        <v>421</v>
      </c>
      <c r="B427" s="8" t="str">
        <f t="shared" si="149"/>
        <v>3</v>
      </c>
      <c r="C427" s="8">
        <f t="shared" si="155"/>
        <v>2</v>
      </c>
      <c r="D427" s="8" t="str">
        <f t="shared" si="161"/>
        <v>1,3</v>
      </c>
      <c r="E427" s="8"/>
      <c r="F427" s="9">
        <f t="shared" si="164"/>
        <v>43946.625000000007</v>
      </c>
      <c r="G427" s="8">
        <f t="shared" si="150"/>
        <v>120</v>
      </c>
      <c r="H427" s="8" t="s">
        <v>8</v>
      </c>
      <c r="I427" s="8" t="s">
        <v>8</v>
      </c>
      <c r="J427" s="8">
        <f t="shared" si="163"/>
        <v>7</v>
      </c>
      <c r="K427" s="4">
        <f>HOUR(F427)</f>
        <v>15</v>
      </c>
    </row>
    <row r="428" spans="1:11" ht="15.75" thickBot="1" x14ac:dyDescent="0.3">
      <c r="A428" s="7">
        <f t="shared" si="162"/>
        <v>422</v>
      </c>
      <c r="B428" s="8" t="str">
        <f t="shared" si="149"/>
        <v>3</v>
      </c>
      <c r="C428" s="8">
        <f t="shared" si="155"/>
        <v>2</v>
      </c>
      <c r="D428" s="8" t="str">
        <f t="shared" si="161"/>
        <v>1,3</v>
      </c>
      <c r="E428" s="8"/>
      <c r="F428" s="9">
        <f t="shared" si="164"/>
        <v>43946.708333333343</v>
      </c>
      <c r="G428" s="8">
        <f t="shared" si="150"/>
        <v>120</v>
      </c>
      <c r="H428" s="8" t="s">
        <v>8</v>
      </c>
      <c r="I428" s="8" t="s">
        <v>8</v>
      </c>
      <c r="J428" s="8">
        <f t="shared" si="163"/>
        <v>7</v>
      </c>
      <c r="K428" s="4">
        <f>HOUR(F428)</f>
        <v>17</v>
      </c>
    </row>
    <row r="429" spans="1:11" ht="15.75" thickBot="1" x14ac:dyDescent="0.3">
      <c r="A429" s="7">
        <f t="shared" si="162"/>
        <v>423</v>
      </c>
      <c r="B429" s="8" t="str">
        <f t="shared" si="149"/>
        <v>3</v>
      </c>
      <c r="C429" s="8">
        <f t="shared" si="155"/>
        <v>2</v>
      </c>
      <c r="D429" s="8" t="str">
        <f t="shared" si="161"/>
        <v>1,3</v>
      </c>
      <c r="E429" s="8"/>
      <c r="F429" s="9">
        <f t="shared" si="164"/>
        <v>43946.791666666679</v>
      </c>
      <c r="G429" s="8">
        <f t="shared" si="150"/>
        <v>120</v>
      </c>
      <c r="H429" s="8" t="s">
        <v>8</v>
      </c>
      <c r="I429" s="8" t="s">
        <v>8</v>
      </c>
      <c r="J429" s="8">
        <f t="shared" si="163"/>
        <v>7</v>
      </c>
      <c r="K429" s="4">
        <f>HOUR(F429)</f>
        <v>19</v>
      </c>
    </row>
    <row r="430" spans="1:11" ht="15.75" thickBot="1" x14ac:dyDescent="0.3">
      <c r="A430" s="3">
        <f t="shared" si="162"/>
        <v>424</v>
      </c>
      <c r="B430" s="4" t="str">
        <f t="shared" si="149"/>
        <v>2</v>
      </c>
      <c r="C430" s="4">
        <f t="shared" si="155"/>
        <v>6</v>
      </c>
      <c r="D430" s="4"/>
      <c r="E430" s="4"/>
      <c r="F430" s="5">
        <f>F418</f>
        <v>43946.375</v>
      </c>
      <c r="G430" s="4">
        <f t="shared" si="150"/>
        <v>60</v>
      </c>
      <c r="H430" s="4" t="s">
        <v>9</v>
      </c>
      <c r="I430" s="4" t="s">
        <v>13</v>
      </c>
      <c r="J430" s="4">
        <f t="shared" si="163"/>
        <v>7</v>
      </c>
      <c r="K430" s="4">
        <f>HOUR(F430)</f>
        <v>9</v>
      </c>
    </row>
    <row r="431" spans="1:11" ht="15.75" thickBot="1" x14ac:dyDescent="0.3">
      <c r="A431" s="7">
        <f t="shared" si="162"/>
        <v>425</v>
      </c>
      <c r="B431" s="8" t="str">
        <f t="shared" si="149"/>
        <v>2</v>
      </c>
      <c r="C431" s="8">
        <f t="shared" si="155"/>
        <v>4</v>
      </c>
      <c r="D431" s="8" t="str">
        <f t="shared" si="161"/>
        <v>5,6</v>
      </c>
      <c r="E431" s="8"/>
      <c r="F431" s="9">
        <f>F430+G430/60/24</f>
        <v>43946.416666666664</v>
      </c>
      <c r="G431" s="8">
        <f t="shared" si="150"/>
        <v>105</v>
      </c>
      <c r="H431" s="8" t="s">
        <v>9</v>
      </c>
      <c r="I431" s="8" t="s">
        <v>12</v>
      </c>
      <c r="J431" s="8">
        <f t="shared" si="163"/>
        <v>7</v>
      </c>
      <c r="K431" s="4">
        <f>HOUR(F431)</f>
        <v>10</v>
      </c>
    </row>
    <row r="432" spans="1:11" ht="15.75" thickBot="1" x14ac:dyDescent="0.3">
      <c r="A432" s="7">
        <f t="shared" si="162"/>
        <v>426</v>
      </c>
      <c r="B432" s="8" t="str">
        <f t="shared" si="149"/>
        <v>2</v>
      </c>
      <c r="C432" s="8">
        <f t="shared" si="155"/>
        <v>4</v>
      </c>
      <c r="D432" s="8" t="str">
        <f t="shared" si="161"/>
        <v>5,6</v>
      </c>
      <c r="E432" s="8"/>
      <c r="F432" s="9">
        <f t="shared" ref="F432:F436" si="165">F431+G431/60/24</f>
        <v>43946.489583333328</v>
      </c>
      <c r="G432" s="8">
        <f t="shared" si="150"/>
        <v>105</v>
      </c>
      <c r="H432" s="8" t="s">
        <v>9</v>
      </c>
      <c r="I432" s="8" t="s">
        <v>12</v>
      </c>
      <c r="J432" s="8">
        <f t="shared" si="163"/>
        <v>7</v>
      </c>
      <c r="K432" s="4">
        <f>HOUR(F432)</f>
        <v>11</v>
      </c>
    </row>
    <row r="433" spans="1:11" ht="15.75" thickBot="1" x14ac:dyDescent="0.3">
      <c r="A433" s="7">
        <f t="shared" si="162"/>
        <v>427</v>
      </c>
      <c r="B433" s="8" t="str">
        <f t="shared" si="149"/>
        <v>2</v>
      </c>
      <c r="C433" s="8">
        <f t="shared" si="155"/>
        <v>4</v>
      </c>
      <c r="D433" s="8" t="str">
        <f t="shared" si="161"/>
        <v>5,6</v>
      </c>
      <c r="E433" s="8"/>
      <c r="F433" s="9">
        <f t="shared" si="165"/>
        <v>43946.562499999993</v>
      </c>
      <c r="G433" s="8">
        <f t="shared" si="150"/>
        <v>105</v>
      </c>
      <c r="H433" s="8" t="s">
        <v>9</v>
      </c>
      <c r="I433" s="8" t="s">
        <v>12</v>
      </c>
      <c r="J433" s="8">
        <f t="shared" si="163"/>
        <v>7</v>
      </c>
      <c r="K433" s="4">
        <f>HOUR(F433)</f>
        <v>13</v>
      </c>
    </row>
    <row r="434" spans="1:11" ht="15.75" thickBot="1" x14ac:dyDescent="0.3">
      <c r="A434" s="7">
        <f t="shared" si="162"/>
        <v>428</v>
      </c>
      <c r="B434" s="8" t="str">
        <f t="shared" si="149"/>
        <v>2</v>
      </c>
      <c r="C434" s="8">
        <f t="shared" si="155"/>
        <v>4</v>
      </c>
      <c r="D434" s="8" t="str">
        <f t="shared" si="161"/>
        <v>5,6</v>
      </c>
      <c r="E434" s="8"/>
      <c r="F434" s="9">
        <f t="shared" si="165"/>
        <v>43946.635416666657</v>
      </c>
      <c r="G434" s="8">
        <f t="shared" si="150"/>
        <v>105</v>
      </c>
      <c r="H434" s="8" t="s">
        <v>9</v>
      </c>
      <c r="I434" s="8" t="s">
        <v>12</v>
      </c>
      <c r="J434" s="8">
        <f t="shared" si="163"/>
        <v>7</v>
      </c>
      <c r="K434" s="4">
        <f>HOUR(F434)</f>
        <v>15</v>
      </c>
    </row>
    <row r="435" spans="1:11" ht="15.75" thickBot="1" x14ac:dyDescent="0.3">
      <c r="A435" s="7">
        <f t="shared" si="162"/>
        <v>429</v>
      </c>
      <c r="B435" s="8" t="str">
        <f t="shared" si="149"/>
        <v>2</v>
      </c>
      <c r="C435" s="8">
        <f t="shared" si="155"/>
        <v>4</v>
      </c>
      <c r="D435" s="8" t="str">
        <f t="shared" si="161"/>
        <v>5,6</v>
      </c>
      <c r="E435" s="8"/>
      <c r="F435" s="9">
        <f t="shared" si="165"/>
        <v>43946.708333333321</v>
      </c>
      <c r="G435" s="8">
        <f t="shared" si="150"/>
        <v>105</v>
      </c>
      <c r="H435" s="8" t="s">
        <v>9</v>
      </c>
      <c r="I435" s="8" t="s">
        <v>12</v>
      </c>
      <c r="J435" s="8">
        <f t="shared" si="163"/>
        <v>7</v>
      </c>
      <c r="K435" s="4">
        <f>HOUR(F435)</f>
        <v>17</v>
      </c>
    </row>
    <row r="436" spans="1:11" ht="15.75" thickBot="1" x14ac:dyDescent="0.3">
      <c r="A436" s="7">
        <f t="shared" si="162"/>
        <v>430</v>
      </c>
      <c r="B436" s="8" t="str">
        <f t="shared" si="149"/>
        <v>2</v>
      </c>
      <c r="C436" s="8">
        <f t="shared" si="155"/>
        <v>4</v>
      </c>
      <c r="D436" s="8"/>
      <c r="E436" s="8"/>
      <c r="F436" s="9">
        <f t="shared" si="165"/>
        <v>43946.781249999985</v>
      </c>
      <c r="G436" s="8">
        <f t="shared" si="150"/>
        <v>105</v>
      </c>
      <c r="H436" s="8" t="s">
        <v>9</v>
      </c>
      <c r="I436" s="8" t="s">
        <v>12</v>
      </c>
      <c r="J436" s="8">
        <f t="shared" si="163"/>
        <v>7</v>
      </c>
      <c r="K436" s="4">
        <f>HOUR(F436)</f>
        <v>18</v>
      </c>
    </row>
    <row r="437" spans="1:11" ht="15.75" thickBot="1" x14ac:dyDescent="0.3">
      <c r="A437" s="3">
        <f t="shared" si="162"/>
        <v>431</v>
      </c>
      <c r="B437" s="4" t="str">
        <f t="shared" si="149"/>
        <v>1</v>
      </c>
      <c r="C437" s="4">
        <v>6</v>
      </c>
      <c r="D437" s="4"/>
      <c r="E437" s="4"/>
      <c r="F437" s="5">
        <f>F418</f>
        <v>43946.375</v>
      </c>
      <c r="G437" s="4">
        <f t="shared" si="150"/>
        <v>60</v>
      </c>
      <c r="H437" s="4" t="s">
        <v>15</v>
      </c>
      <c r="I437" s="4" t="s">
        <v>14</v>
      </c>
      <c r="J437" s="4">
        <f>WEEKDAY(F437)</f>
        <v>7</v>
      </c>
      <c r="K437" s="4">
        <f>HOUR(F437)</f>
        <v>9</v>
      </c>
    </row>
    <row r="438" spans="1:11" ht="15.75" thickBot="1" x14ac:dyDescent="0.3">
      <c r="A438" s="7">
        <f t="shared" si="162"/>
        <v>432</v>
      </c>
      <c r="B438" s="8" t="str">
        <f t="shared" si="149"/>
        <v>1</v>
      </c>
      <c r="C438" s="8">
        <f t="shared" si="155"/>
        <v>6</v>
      </c>
      <c r="D438" s="8"/>
      <c r="E438" s="8"/>
      <c r="F438" s="9">
        <f>F437+G437/60/24</f>
        <v>43946.416666666664</v>
      </c>
      <c r="G438" s="8">
        <f t="shared" si="150"/>
        <v>60</v>
      </c>
      <c r="H438" s="8" t="s">
        <v>15</v>
      </c>
      <c r="I438" s="8" t="s">
        <v>13</v>
      </c>
      <c r="J438" s="8">
        <f>WEEKDAY(F438)</f>
        <v>7</v>
      </c>
      <c r="K438" s="4">
        <f>HOUR(F438)</f>
        <v>10</v>
      </c>
    </row>
    <row r="439" spans="1:11" ht="15.75" thickBot="1" x14ac:dyDescent="0.3">
      <c r="A439" s="7">
        <f t="shared" si="162"/>
        <v>433</v>
      </c>
      <c r="B439" s="8" t="str">
        <f t="shared" si="149"/>
        <v>1</v>
      </c>
      <c r="C439" s="8">
        <f t="shared" si="155"/>
        <v>5</v>
      </c>
      <c r="D439" s="8"/>
      <c r="E439" s="8"/>
      <c r="F439" s="9">
        <f t="shared" ref="F439:F443" si="166">F438+G438/60/24</f>
        <v>43946.458333333328</v>
      </c>
      <c r="G439" s="8">
        <f t="shared" si="150"/>
        <v>90</v>
      </c>
      <c r="H439" s="8" t="s">
        <v>15</v>
      </c>
      <c r="I439" s="8" t="s">
        <v>10</v>
      </c>
      <c r="J439" s="8">
        <f>WEEKDAY(F439)</f>
        <v>7</v>
      </c>
      <c r="K439" s="4">
        <f>HOUR(F439)</f>
        <v>11</v>
      </c>
    </row>
    <row r="440" spans="1:11" ht="15.75" thickBot="1" x14ac:dyDescent="0.3">
      <c r="A440" s="7">
        <f t="shared" si="162"/>
        <v>434</v>
      </c>
      <c r="B440" s="8" t="str">
        <f t="shared" si="149"/>
        <v>1</v>
      </c>
      <c r="C440" s="8">
        <f t="shared" si="155"/>
        <v>5</v>
      </c>
      <c r="D440" s="8"/>
      <c r="E440" s="8"/>
      <c r="F440" s="9">
        <f t="shared" si="166"/>
        <v>43946.520833333328</v>
      </c>
      <c r="G440" s="8">
        <f t="shared" si="150"/>
        <v>90</v>
      </c>
      <c r="H440" s="8" t="s">
        <v>15</v>
      </c>
      <c r="I440" s="8" t="s">
        <v>10</v>
      </c>
      <c r="J440" s="8">
        <f>WEEKDAY(F440)</f>
        <v>7</v>
      </c>
      <c r="K440" s="4">
        <f>HOUR(F440)</f>
        <v>12</v>
      </c>
    </row>
    <row r="441" spans="1:11" ht="15.75" thickBot="1" x14ac:dyDescent="0.3">
      <c r="A441" s="7">
        <f t="shared" si="162"/>
        <v>435</v>
      </c>
      <c r="B441" s="8" t="str">
        <f t="shared" si="149"/>
        <v>1</v>
      </c>
      <c r="C441" s="8">
        <f t="shared" si="155"/>
        <v>5</v>
      </c>
      <c r="D441" s="8"/>
      <c r="E441" s="8"/>
      <c r="F441" s="9">
        <f t="shared" si="166"/>
        <v>43946.583333333328</v>
      </c>
      <c r="G441" s="8">
        <f t="shared" si="150"/>
        <v>90</v>
      </c>
      <c r="H441" s="8" t="s">
        <v>15</v>
      </c>
      <c r="I441" s="8" t="s">
        <v>10</v>
      </c>
      <c r="J441" s="8">
        <f t="shared" ref="J441:J443" si="167">WEEKDAY(F441)</f>
        <v>7</v>
      </c>
      <c r="K441" s="4">
        <f>HOUR(F441)</f>
        <v>14</v>
      </c>
    </row>
    <row r="442" spans="1:11" ht="15.75" thickBot="1" x14ac:dyDescent="0.3">
      <c r="A442" s="7">
        <f t="shared" si="162"/>
        <v>436</v>
      </c>
      <c r="B442" s="8" t="str">
        <f t="shared" si="149"/>
        <v>1</v>
      </c>
      <c r="C442" s="8">
        <f t="shared" si="155"/>
        <v>5</v>
      </c>
      <c r="D442" s="8"/>
      <c r="E442" s="8"/>
      <c r="F442" s="9">
        <f t="shared" si="166"/>
        <v>43946.645833333328</v>
      </c>
      <c r="G442" s="8">
        <f t="shared" si="150"/>
        <v>90</v>
      </c>
      <c r="H442" s="8" t="s">
        <v>15</v>
      </c>
      <c r="I442" s="8" t="s">
        <v>10</v>
      </c>
      <c r="J442" s="8">
        <f t="shared" si="167"/>
        <v>7</v>
      </c>
      <c r="K442" s="4">
        <f>HOUR(F442)</f>
        <v>15</v>
      </c>
    </row>
    <row r="443" spans="1:11" ht="15.75" thickBot="1" x14ac:dyDescent="0.3">
      <c r="A443" s="10">
        <f t="shared" si="162"/>
        <v>437</v>
      </c>
      <c r="B443" s="11" t="str">
        <f t="shared" si="149"/>
        <v>1</v>
      </c>
      <c r="C443" s="11">
        <f t="shared" si="155"/>
        <v>5</v>
      </c>
      <c r="D443" s="11"/>
      <c r="E443" s="11"/>
      <c r="F443" s="9">
        <f t="shared" si="166"/>
        <v>43946.708333333328</v>
      </c>
      <c r="G443" s="11">
        <f t="shared" si="150"/>
        <v>90</v>
      </c>
      <c r="H443" s="11" t="s">
        <v>15</v>
      </c>
      <c r="I443" s="11" t="s">
        <v>10</v>
      </c>
      <c r="J443" s="11">
        <f t="shared" si="167"/>
        <v>7</v>
      </c>
      <c r="K443" s="4">
        <f>HOUR(F443)</f>
        <v>17</v>
      </c>
    </row>
    <row r="444" spans="1:11" ht="15.75" thickBot="1" x14ac:dyDescent="0.3">
      <c r="A444" s="3">
        <f t="shared" si="162"/>
        <v>438</v>
      </c>
      <c r="B444" s="4" t="str">
        <f t="shared" si="149"/>
        <v>5</v>
      </c>
      <c r="C444" s="4">
        <f t="shared" si="155"/>
        <v>6</v>
      </c>
      <c r="D444" s="4"/>
      <c r="E444" s="4"/>
      <c r="F444" s="5">
        <f>F418</f>
        <v>43946.375</v>
      </c>
      <c r="G444" s="4">
        <f t="shared" si="150"/>
        <v>60</v>
      </c>
      <c r="H444" s="4" t="s">
        <v>16</v>
      </c>
      <c r="I444" s="4" t="s">
        <v>13</v>
      </c>
      <c r="J444" s="4">
        <f>WEEKDAY(F444)</f>
        <v>7</v>
      </c>
      <c r="K444" s="4">
        <f>HOUR(F444)</f>
        <v>9</v>
      </c>
    </row>
    <row r="445" spans="1:11" ht="15.75" thickBot="1" x14ac:dyDescent="0.3">
      <c r="A445" s="7">
        <f t="shared" si="162"/>
        <v>439</v>
      </c>
      <c r="B445" s="8" t="str">
        <f t="shared" si="149"/>
        <v>5</v>
      </c>
      <c r="C445" s="8">
        <f t="shared" si="155"/>
        <v>5</v>
      </c>
      <c r="D445" s="8">
        <v>6</v>
      </c>
      <c r="E445" s="8"/>
      <c r="F445" s="9">
        <f>F444+G444/60/24</f>
        <v>43946.416666666664</v>
      </c>
      <c r="G445" s="8">
        <f t="shared" si="150"/>
        <v>90</v>
      </c>
      <c r="H445" s="8" t="s">
        <v>16</v>
      </c>
      <c r="I445" s="8" t="s">
        <v>10</v>
      </c>
      <c r="J445" s="8">
        <f>WEEKDAY(F445)</f>
        <v>7</v>
      </c>
      <c r="K445" s="4">
        <f>HOUR(F445)</f>
        <v>10</v>
      </c>
    </row>
    <row r="446" spans="1:11" ht="15.75" thickBot="1" x14ac:dyDescent="0.3">
      <c r="A446" s="7">
        <f t="shared" si="162"/>
        <v>440</v>
      </c>
      <c r="B446" s="8" t="str">
        <f t="shared" si="149"/>
        <v>5</v>
      </c>
      <c r="C446" s="8">
        <f t="shared" si="155"/>
        <v>4</v>
      </c>
      <c r="D446" s="8">
        <f t="shared" ref="D446:D449" si="168">VLOOKUP(H446,slot_compat,3,FALSE)</f>
        <v>5</v>
      </c>
      <c r="E446" s="8"/>
      <c r="F446" s="9">
        <f t="shared" ref="F446:F450" si="169">F445+G445/60/24</f>
        <v>43946.479166666664</v>
      </c>
      <c r="G446" s="8">
        <f t="shared" si="150"/>
        <v>105</v>
      </c>
      <c r="H446" s="8" t="s">
        <v>16</v>
      </c>
      <c r="I446" s="8" t="s">
        <v>12</v>
      </c>
      <c r="J446" s="8">
        <f>WEEKDAY(F446)</f>
        <v>7</v>
      </c>
      <c r="K446" s="4">
        <f>HOUR(F446)</f>
        <v>11</v>
      </c>
    </row>
    <row r="447" spans="1:11" ht="15.75" thickBot="1" x14ac:dyDescent="0.3">
      <c r="A447" s="7">
        <f t="shared" si="162"/>
        <v>441</v>
      </c>
      <c r="B447" s="8" t="str">
        <f t="shared" si="149"/>
        <v>5</v>
      </c>
      <c r="C447" s="8">
        <f t="shared" si="155"/>
        <v>4</v>
      </c>
      <c r="D447" s="8">
        <f t="shared" si="168"/>
        <v>5</v>
      </c>
      <c r="E447" s="8"/>
      <c r="F447" s="9">
        <f t="shared" si="169"/>
        <v>43946.552083333328</v>
      </c>
      <c r="G447" s="8">
        <f t="shared" si="150"/>
        <v>105</v>
      </c>
      <c r="H447" s="8" t="s">
        <v>16</v>
      </c>
      <c r="I447" s="8" t="s">
        <v>12</v>
      </c>
      <c r="J447" s="8">
        <f>WEEKDAY(F447)</f>
        <v>7</v>
      </c>
      <c r="K447" s="4">
        <f>HOUR(F447)</f>
        <v>13</v>
      </c>
    </row>
    <row r="448" spans="1:11" ht="15.75" thickBot="1" x14ac:dyDescent="0.3">
      <c r="A448" s="7">
        <f t="shared" si="162"/>
        <v>442</v>
      </c>
      <c r="B448" s="8" t="str">
        <f t="shared" si="149"/>
        <v>5</v>
      </c>
      <c r="C448" s="8">
        <f t="shared" si="155"/>
        <v>4</v>
      </c>
      <c r="D448" s="8">
        <f t="shared" si="168"/>
        <v>5</v>
      </c>
      <c r="E448" s="8"/>
      <c r="F448" s="9">
        <f t="shared" si="169"/>
        <v>43946.624999999993</v>
      </c>
      <c r="G448" s="8">
        <f t="shared" si="150"/>
        <v>105</v>
      </c>
      <c r="H448" s="8" t="s">
        <v>16</v>
      </c>
      <c r="I448" s="8" t="s">
        <v>12</v>
      </c>
      <c r="J448" s="8">
        <f t="shared" ref="J448:J511" si="170">WEEKDAY(F448)</f>
        <v>7</v>
      </c>
      <c r="K448" s="4">
        <f>HOUR(F448)</f>
        <v>15</v>
      </c>
    </row>
    <row r="449" spans="1:11" ht="15.75" thickBot="1" x14ac:dyDescent="0.3">
      <c r="A449" s="7">
        <f t="shared" si="162"/>
        <v>443</v>
      </c>
      <c r="B449" s="8" t="str">
        <f t="shared" si="149"/>
        <v>5</v>
      </c>
      <c r="C449" s="8">
        <f t="shared" si="155"/>
        <v>4</v>
      </c>
      <c r="D449" s="8">
        <f t="shared" si="168"/>
        <v>5</v>
      </c>
      <c r="E449" s="8"/>
      <c r="F449" s="9">
        <f t="shared" si="169"/>
        <v>43946.697916666657</v>
      </c>
      <c r="G449" s="8">
        <f t="shared" si="150"/>
        <v>105</v>
      </c>
      <c r="H449" s="8" t="s">
        <v>16</v>
      </c>
      <c r="I449" s="8" t="s">
        <v>12</v>
      </c>
      <c r="J449" s="8">
        <f t="shared" si="170"/>
        <v>7</v>
      </c>
      <c r="K449" s="4">
        <f>HOUR(F449)</f>
        <v>16</v>
      </c>
    </row>
    <row r="450" spans="1:11" ht="15.75" thickBot="1" x14ac:dyDescent="0.3">
      <c r="A450" s="7">
        <f t="shared" si="162"/>
        <v>444</v>
      </c>
      <c r="B450" s="8" t="str">
        <f t="shared" ref="B450:B513" si="171">VLOOKUP(H450,field_id,2,FALSE)</f>
        <v>5</v>
      </c>
      <c r="C450" s="8">
        <f t="shared" si="155"/>
        <v>4</v>
      </c>
      <c r="D450" s="8"/>
      <c r="E450" s="8"/>
      <c r="F450" s="9">
        <f t="shared" si="169"/>
        <v>43946.770833333321</v>
      </c>
      <c r="G450" s="8">
        <f t="shared" ref="G450:G513" si="172">VLOOKUP(I450,GameDuration,2,FALSE)</f>
        <v>105</v>
      </c>
      <c r="H450" s="8" t="s">
        <v>16</v>
      </c>
      <c r="I450" s="8" t="s">
        <v>12</v>
      </c>
      <c r="J450" s="8">
        <f t="shared" si="170"/>
        <v>7</v>
      </c>
      <c r="K450" s="4">
        <f>HOUR(F450)</f>
        <v>18</v>
      </c>
    </row>
    <row r="451" spans="1:11" ht="15.75" thickBot="1" x14ac:dyDescent="0.3">
      <c r="A451" s="3">
        <f t="shared" si="162"/>
        <v>445</v>
      </c>
      <c r="B451" s="4" t="str">
        <f t="shared" si="171"/>
        <v>6</v>
      </c>
      <c r="C451" s="4">
        <f t="shared" si="155"/>
        <v>4</v>
      </c>
      <c r="D451" s="4">
        <v>5</v>
      </c>
      <c r="E451" s="4"/>
      <c r="F451" s="5">
        <f>F418</f>
        <v>43946.375</v>
      </c>
      <c r="G451" s="4">
        <f t="shared" si="172"/>
        <v>105</v>
      </c>
      <c r="H451" s="4" t="s">
        <v>17</v>
      </c>
      <c r="I451" s="4" t="s">
        <v>12</v>
      </c>
      <c r="J451" s="4">
        <f t="shared" si="170"/>
        <v>7</v>
      </c>
      <c r="K451" s="4">
        <f>HOUR(F451)</f>
        <v>9</v>
      </c>
    </row>
    <row r="452" spans="1:11" ht="15.75" thickBot="1" x14ac:dyDescent="0.3">
      <c r="A452" s="7">
        <f t="shared" si="162"/>
        <v>446</v>
      </c>
      <c r="B452" s="8" t="str">
        <f t="shared" si="171"/>
        <v>6</v>
      </c>
      <c r="C452" s="8">
        <f t="shared" si="155"/>
        <v>3</v>
      </c>
      <c r="D452" s="8" t="s">
        <v>55</v>
      </c>
      <c r="E452" s="8"/>
      <c r="F452" s="9">
        <f>F451+G451/60/24</f>
        <v>43946.447916666664</v>
      </c>
      <c r="G452" s="8">
        <f t="shared" si="172"/>
        <v>105</v>
      </c>
      <c r="H452" s="8" t="s">
        <v>17</v>
      </c>
      <c r="I452" s="8" t="s">
        <v>11</v>
      </c>
      <c r="J452" s="8">
        <f t="shared" si="170"/>
        <v>7</v>
      </c>
      <c r="K452" s="4">
        <f>HOUR(F452)</f>
        <v>10</v>
      </c>
    </row>
    <row r="453" spans="1:11" ht="15.75" thickBot="1" x14ac:dyDescent="0.3">
      <c r="A453" s="7">
        <f t="shared" si="162"/>
        <v>447</v>
      </c>
      <c r="B453" s="8" t="str">
        <f t="shared" si="171"/>
        <v>6</v>
      </c>
      <c r="C453" s="8">
        <f t="shared" si="155"/>
        <v>3</v>
      </c>
      <c r="D453" s="8" t="s">
        <v>55</v>
      </c>
      <c r="E453" s="8"/>
      <c r="F453" s="9">
        <f t="shared" ref="F453:F456" si="173">F452+G452/60/24</f>
        <v>43946.520833333328</v>
      </c>
      <c r="G453" s="8">
        <f t="shared" si="172"/>
        <v>105</v>
      </c>
      <c r="H453" s="8" t="s">
        <v>17</v>
      </c>
      <c r="I453" s="8" t="s">
        <v>11</v>
      </c>
      <c r="J453" s="8">
        <f t="shared" si="170"/>
        <v>7</v>
      </c>
      <c r="K453" s="4">
        <f>HOUR(F453)</f>
        <v>12</v>
      </c>
    </row>
    <row r="454" spans="1:11" ht="15.75" thickBot="1" x14ac:dyDescent="0.3">
      <c r="A454" s="7">
        <f t="shared" si="162"/>
        <v>448</v>
      </c>
      <c r="B454" s="8" t="str">
        <f t="shared" si="171"/>
        <v>6</v>
      </c>
      <c r="C454" s="8">
        <f t="shared" si="155"/>
        <v>3</v>
      </c>
      <c r="D454" s="8" t="s">
        <v>55</v>
      </c>
      <c r="E454" s="8"/>
      <c r="F454" s="9">
        <f t="shared" si="173"/>
        <v>43946.593749999993</v>
      </c>
      <c r="G454" s="8">
        <f t="shared" si="172"/>
        <v>105</v>
      </c>
      <c r="H454" s="8" t="s">
        <v>17</v>
      </c>
      <c r="I454" s="8" t="s">
        <v>11</v>
      </c>
      <c r="J454" s="8">
        <f t="shared" si="170"/>
        <v>7</v>
      </c>
      <c r="K454" s="4">
        <f>HOUR(F454)</f>
        <v>14</v>
      </c>
    </row>
    <row r="455" spans="1:11" ht="15.75" thickBot="1" x14ac:dyDescent="0.3">
      <c r="A455" s="7">
        <f t="shared" si="162"/>
        <v>449</v>
      </c>
      <c r="B455" s="8" t="str">
        <f t="shared" si="171"/>
        <v>6</v>
      </c>
      <c r="C455" s="8">
        <f t="shared" si="155"/>
        <v>3</v>
      </c>
      <c r="D455" s="8" t="s">
        <v>55</v>
      </c>
      <c r="E455" s="8"/>
      <c r="F455" s="9">
        <f t="shared" si="173"/>
        <v>43946.666666666657</v>
      </c>
      <c r="G455" s="8">
        <f t="shared" si="172"/>
        <v>105</v>
      </c>
      <c r="H455" s="8" t="s">
        <v>17</v>
      </c>
      <c r="I455" s="8" t="s">
        <v>11</v>
      </c>
      <c r="J455" s="8">
        <f t="shared" si="170"/>
        <v>7</v>
      </c>
      <c r="K455" s="4">
        <f>HOUR(F455)</f>
        <v>16</v>
      </c>
    </row>
    <row r="456" spans="1:11" ht="15.75" thickBot="1" x14ac:dyDescent="0.3">
      <c r="A456" s="7">
        <f t="shared" si="162"/>
        <v>450</v>
      </c>
      <c r="B456" s="8" t="str">
        <f t="shared" si="171"/>
        <v>6</v>
      </c>
      <c r="C456" s="8">
        <v>2</v>
      </c>
      <c r="D456" s="14" t="s">
        <v>61</v>
      </c>
      <c r="E456" s="8"/>
      <c r="F456" s="9">
        <f t="shared" si="173"/>
        <v>43946.739583333321</v>
      </c>
      <c r="G456" s="8">
        <f t="shared" si="172"/>
        <v>105</v>
      </c>
      <c r="H456" s="8" t="s">
        <v>17</v>
      </c>
      <c r="I456" s="8" t="s">
        <v>11</v>
      </c>
      <c r="J456" s="8">
        <f t="shared" si="170"/>
        <v>7</v>
      </c>
      <c r="K456" s="4">
        <f>HOUR(F456)</f>
        <v>17</v>
      </c>
    </row>
    <row r="457" spans="1:11" ht="15.75" thickBot="1" x14ac:dyDescent="0.3">
      <c r="A457" s="3">
        <f t="shared" si="162"/>
        <v>451</v>
      </c>
      <c r="B457" s="4" t="str">
        <f t="shared" si="171"/>
        <v>7</v>
      </c>
      <c r="C457" s="4">
        <f t="shared" si="155"/>
        <v>6</v>
      </c>
      <c r="D457" s="4"/>
      <c r="E457" s="4"/>
      <c r="F457" s="5">
        <f>F418</f>
        <v>43946.375</v>
      </c>
      <c r="G457" s="4">
        <f t="shared" si="172"/>
        <v>60</v>
      </c>
      <c r="H457" s="4" t="s">
        <v>18</v>
      </c>
      <c r="I457" s="4" t="s">
        <v>13</v>
      </c>
      <c r="J457" s="4">
        <f t="shared" si="170"/>
        <v>7</v>
      </c>
      <c r="K457" s="4">
        <f>HOUR(F457)</f>
        <v>9</v>
      </c>
    </row>
    <row r="458" spans="1:11" ht="15.75" thickBot="1" x14ac:dyDescent="0.3">
      <c r="A458" s="7">
        <f t="shared" si="162"/>
        <v>452</v>
      </c>
      <c r="B458" s="8" t="str">
        <f t="shared" si="171"/>
        <v>7</v>
      </c>
      <c r="C458" s="8">
        <f t="shared" si="155"/>
        <v>3</v>
      </c>
      <c r="D458" s="8" t="s">
        <v>55</v>
      </c>
      <c r="E458" s="8"/>
      <c r="F458" s="9">
        <f>F457+G457/60/24</f>
        <v>43946.416666666664</v>
      </c>
      <c r="G458" s="8">
        <f t="shared" si="172"/>
        <v>105</v>
      </c>
      <c r="H458" s="8" t="s">
        <v>18</v>
      </c>
      <c r="I458" s="8" t="s">
        <v>11</v>
      </c>
      <c r="J458" s="8">
        <f t="shared" si="170"/>
        <v>7</v>
      </c>
      <c r="K458" s="4">
        <f>HOUR(F458)</f>
        <v>10</v>
      </c>
    </row>
    <row r="459" spans="1:11" ht="15.75" thickBot="1" x14ac:dyDescent="0.3">
      <c r="A459" s="7">
        <f t="shared" si="162"/>
        <v>453</v>
      </c>
      <c r="B459" s="8" t="str">
        <f t="shared" si="171"/>
        <v>7</v>
      </c>
      <c r="C459" s="8">
        <f t="shared" si="155"/>
        <v>3</v>
      </c>
      <c r="D459" s="8" t="s">
        <v>55</v>
      </c>
      <c r="E459" s="8"/>
      <c r="F459" s="9">
        <f t="shared" ref="F459:F462" si="174">F458+G458/60/24</f>
        <v>43946.489583333328</v>
      </c>
      <c r="G459" s="8">
        <f t="shared" si="172"/>
        <v>105</v>
      </c>
      <c r="H459" s="8" t="s">
        <v>18</v>
      </c>
      <c r="I459" s="8" t="s">
        <v>11</v>
      </c>
      <c r="J459" s="8">
        <f t="shared" si="170"/>
        <v>7</v>
      </c>
      <c r="K459" s="4">
        <f>HOUR(F459)</f>
        <v>11</v>
      </c>
    </row>
    <row r="460" spans="1:11" ht="15.75" thickBot="1" x14ac:dyDescent="0.3">
      <c r="A460" s="7">
        <f t="shared" si="162"/>
        <v>454</v>
      </c>
      <c r="B460" s="8" t="str">
        <f t="shared" si="171"/>
        <v>7</v>
      </c>
      <c r="C460" s="8">
        <f t="shared" si="155"/>
        <v>2</v>
      </c>
      <c r="D460" s="8" t="s">
        <v>56</v>
      </c>
      <c r="E460" s="8"/>
      <c r="F460" s="9">
        <f t="shared" si="174"/>
        <v>43946.562499999993</v>
      </c>
      <c r="G460" s="8">
        <f t="shared" si="172"/>
        <v>120</v>
      </c>
      <c r="H460" s="8" t="s">
        <v>18</v>
      </c>
      <c r="I460" s="8" t="s">
        <v>8</v>
      </c>
      <c r="J460" s="8">
        <f t="shared" si="170"/>
        <v>7</v>
      </c>
      <c r="K460" s="4">
        <f>HOUR(F460)</f>
        <v>13</v>
      </c>
    </row>
    <row r="461" spans="1:11" ht="15.75" thickBot="1" x14ac:dyDescent="0.3">
      <c r="A461" s="7">
        <f t="shared" si="162"/>
        <v>455</v>
      </c>
      <c r="B461" s="8" t="str">
        <f t="shared" si="171"/>
        <v>7</v>
      </c>
      <c r="C461" s="8">
        <f t="shared" ref="C461:C468" si="175">VLOOKUP(I461,league_id,2,FALSE)</f>
        <v>2</v>
      </c>
      <c r="D461" s="8" t="s">
        <v>56</v>
      </c>
      <c r="E461" s="8"/>
      <c r="F461" s="9">
        <f t="shared" si="174"/>
        <v>43946.645833333328</v>
      </c>
      <c r="G461" s="8">
        <f t="shared" si="172"/>
        <v>120</v>
      </c>
      <c r="H461" s="8" t="s">
        <v>18</v>
      </c>
      <c r="I461" s="8" t="s">
        <v>8</v>
      </c>
      <c r="J461" s="8">
        <f t="shared" si="170"/>
        <v>7</v>
      </c>
      <c r="K461" s="4">
        <f>HOUR(F461)</f>
        <v>15</v>
      </c>
    </row>
    <row r="462" spans="1:11" ht="15.75" thickBot="1" x14ac:dyDescent="0.3">
      <c r="A462" s="7">
        <f t="shared" si="162"/>
        <v>456</v>
      </c>
      <c r="B462" s="8" t="str">
        <f t="shared" si="171"/>
        <v>7</v>
      </c>
      <c r="C462" s="8">
        <f t="shared" si="175"/>
        <v>2</v>
      </c>
      <c r="D462" s="8" t="s">
        <v>61</v>
      </c>
      <c r="E462" s="8"/>
      <c r="F462" s="9">
        <f t="shared" si="174"/>
        <v>43946.729166666664</v>
      </c>
      <c r="G462" s="8">
        <f t="shared" si="172"/>
        <v>120</v>
      </c>
      <c r="H462" s="8" t="s">
        <v>18</v>
      </c>
      <c r="I462" s="8" t="s">
        <v>8</v>
      </c>
      <c r="J462" s="8">
        <f t="shared" si="170"/>
        <v>7</v>
      </c>
      <c r="K462" s="4">
        <f>HOUR(F462)</f>
        <v>17</v>
      </c>
    </row>
    <row r="463" spans="1:11" ht="15.75" thickBot="1" x14ac:dyDescent="0.3">
      <c r="A463" s="3">
        <f t="shared" si="162"/>
        <v>457</v>
      </c>
      <c r="B463" s="4" t="str">
        <f t="shared" si="171"/>
        <v>8</v>
      </c>
      <c r="C463" s="4">
        <f t="shared" si="175"/>
        <v>5</v>
      </c>
      <c r="D463" s="4"/>
      <c r="E463" s="4"/>
      <c r="F463" s="5">
        <f>F418</f>
        <v>43946.375</v>
      </c>
      <c r="G463" s="4">
        <f t="shared" si="172"/>
        <v>90</v>
      </c>
      <c r="H463" s="4" t="s">
        <v>19</v>
      </c>
      <c r="I463" s="4" t="s">
        <v>10</v>
      </c>
      <c r="J463" s="4">
        <f t="shared" si="170"/>
        <v>7</v>
      </c>
      <c r="K463" s="4">
        <f>HOUR(F463)</f>
        <v>9</v>
      </c>
    </row>
    <row r="464" spans="1:11" ht="15.75" thickBot="1" x14ac:dyDescent="0.3">
      <c r="A464" s="7">
        <f t="shared" si="162"/>
        <v>458</v>
      </c>
      <c r="B464" s="8" t="str">
        <f t="shared" si="171"/>
        <v>8</v>
      </c>
      <c r="C464" s="8">
        <f t="shared" si="175"/>
        <v>5</v>
      </c>
      <c r="D464" s="8"/>
      <c r="E464" s="8"/>
      <c r="F464" s="9">
        <f>F463+G463/60/24</f>
        <v>43946.4375</v>
      </c>
      <c r="G464" s="8">
        <f t="shared" si="172"/>
        <v>90</v>
      </c>
      <c r="H464" s="8" t="s">
        <v>19</v>
      </c>
      <c r="I464" s="8" t="s">
        <v>10</v>
      </c>
      <c r="J464" s="8">
        <f t="shared" si="170"/>
        <v>7</v>
      </c>
      <c r="K464" s="4">
        <f>HOUR(F464)</f>
        <v>10</v>
      </c>
    </row>
    <row r="465" spans="1:11" ht="15.75" thickBot="1" x14ac:dyDescent="0.3">
      <c r="A465" s="7">
        <f t="shared" si="162"/>
        <v>459</v>
      </c>
      <c r="B465" s="8" t="str">
        <f t="shared" si="171"/>
        <v>8</v>
      </c>
      <c r="C465" s="8">
        <f t="shared" si="175"/>
        <v>3</v>
      </c>
      <c r="D465" s="8" t="s">
        <v>55</v>
      </c>
      <c r="E465" s="8"/>
      <c r="F465" s="9">
        <f t="shared" ref="F465:F468" si="176">F464+G464/60/24</f>
        <v>43946.5</v>
      </c>
      <c r="G465" s="8">
        <f t="shared" si="172"/>
        <v>105</v>
      </c>
      <c r="H465" s="8" t="s">
        <v>19</v>
      </c>
      <c r="I465" s="8" t="s">
        <v>11</v>
      </c>
      <c r="J465" s="8">
        <f t="shared" si="170"/>
        <v>7</v>
      </c>
      <c r="K465" s="4">
        <f>HOUR(F465)</f>
        <v>12</v>
      </c>
    </row>
    <row r="466" spans="1:11" ht="15.75" thickBot="1" x14ac:dyDescent="0.3">
      <c r="A466" s="7">
        <f t="shared" si="162"/>
        <v>460</v>
      </c>
      <c r="B466" s="8" t="str">
        <f t="shared" si="171"/>
        <v>8</v>
      </c>
      <c r="C466" s="8">
        <f t="shared" si="175"/>
        <v>2</v>
      </c>
      <c r="D466" s="8" t="s">
        <v>56</v>
      </c>
      <c r="E466" s="8"/>
      <c r="F466" s="9">
        <f t="shared" si="176"/>
        <v>43946.572916666664</v>
      </c>
      <c r="G466" s="8">
        <f t="shared" si="172"/>
        <v>120</v>
      </c>
      <c r="H466" s="8" t="s">
        <v>19</v>
      </c>
      <c r="I466" s="8" t="s">
        <v>8</v>
      </c>
      <c r="J466" s="8">
        <f t="shared" si="170"/>
        <v>7</v>
      </c>
      <c r="K466" s="4">
        <f>HOUR(F466)</f>
        <v>13</v>
      </c>
    </row>
    <row r="467" spans="1:11" ht="15.75" thickBot="1" x14ac:dyDescent="0.3">
      <c r="A467" s="7">
        <f t="shared" si="162"/>
        <v>461</v>
      </c>
      <c r="B467" s="8" t="str">
        <f t="shared" si="171"/>
        <v>8</v>
      </c>
      <c r="C467" s="8">
        <f t="shared" si="175"/>
        <v>2</v>
      </c>
      <c r="D467" s="8" t="s">
        <v>56</v>
      </c>
      <c r="E467" s="8"/>
      <c r="F467" s="9">
        <f t="shared" si="176"/>
        <v>43946.65625</v>
      </c>
      <c r="G467" s="8">
        <f t="shared" si="172"/>
        <v>120</v>
      </c>
      <c r="H467" s="8" t="s">
        <v>19</v>
      </c>
      <c r="I467" s="8" t="s">
        <v>8</v>
      </c>
      <c r="J467" s="8">
        <f t="shared" si="170"/>
        <v>7</v>
      </c>
      <c r="K467" s="4">
        <f>HOUR(F467)</f>
        <v>15</v>
      </c>
    </row>
    <row r="468" spans="1:11" ht="15.75" thickBot="1" x14ac:dyDescent="0.3">
      <c r="A468" s="7">
        <f t="shared" si="162"/>
        <v>462</v>
      </c>
      <c r="B468" s="8" t="str">
        <f t="shared" si="171"/>
        <v>8</v>
      </c>
      <c r="C468" s="8">
        <f t="shared" si="175"/>
        <v>2</v>
      </c>
      <c r="D468" s="8" t="s">
        <v>61</v>
      </c>
      <c r="E468" s="8"/>
      <c r="F468" s="9">
        <f t="shared" si="176"/>
        <v>43946.739583333336</v>
      </c>
      <c r="G468" s="8">
        <f t="shared" si="172"/>
        <v>120</v>
      </c>
      <c r="H468" s="8" t="s">
        <v>19</v>
      </c>
      <c r="I468" s="8" t="s">
        <v>8</v>
      </c>
      <c r="J468" s="8">
        <f t="shared" si="170"/>
        <v>7</v>
      </c>
      <c r="K468" s="4">
        <f>HOUR(F468)</f>
        <v>17</v>
      </c>
    </row>
    <row r="469" spans="1:11" ht="15.75" thickBot="1" x14ac:dyDescent="0.3">
      <c r="A469" s="3">
        <f>A468+1</f>
        <v>463</v>
      </c>
      <c r="B469" s="4" t="str">
        <f t="shared" si="171"/>
        <v>4</v>
      </c>
      <c r="C469" s="4">
        <f>VLOOKUP(I469,league_id,2,FALSE)</f>
        <v>1</v>
      </c>
      <c r="D469" s="4">
        <f t="shared" ref="D469:D470" si="177">VLOOKUP(H469,slot_compat,3,FALSE)</f>
        <v>2</v>
      </c>
      <c r="E469" s="4"/>
      <c r="F469" s="5">
        <v>43948.75</v>
      </c>
      <c r="G469" s="4">
        <f t="shared" si="172"/>
        <v>120</v>
      </c>
      <c r="H469" s="4" t="s">
        <v>7</v>
      </c>
      <c r="I469" s="4" t="s">
        <v>7</v>
      </c>
      <c r="J469" s="4">
        <f t="shared" si="170"/>
        <v>2</v>
      </c>
      <c r="K469" s="4">
        <f>HOUR(F469)</f>
        <v>18</v>
      </c>
    </row>
    <row r="470" spans="1:11" ht="15.75" thickBot="1" x14ac:dyDescent="0.3">
      <c r="A470" s="3">
        <f>A469+1</f>
        <v>464</v>
      </c>
      <c r="B470" s="4" t="str">
        <f t="shared" si="171"/>
        <v>3</v>
      </c>
      <c r="C470" s="4">
        <f t="shared" ref="C470:C474" si="178">VLOOKUP(I470,league_id,2,FALSE)</f>
        <v>2</v>
      </c>
      <c r="D470" s="4" t="str">
        <f t="shared" si="177"/>
        <v>1,3</v>
      </c>
      <c r="E470" s="4"/>
      <c r="F470" s="5">
        <f>F469</f>
        <v>43948.75</v>
      </c>
      <c r="G470" s="4">
        <f t="shared" si="172"/>
        <v>120</v>
      </c>
      <c r="H470" s="4" t="s">
        <v>8</v>
      </c>
      <c r="I470" s="4" t="s">
        <v>8</v>
      </c>
      <c r="J470" s="4">
        <f t="shared" si="170"/>
        <v>2</v>
      </c>
      <c r="K470" s="4">
        <f>HOUR(F470)</f>
        <v>18</v>
      </c>
    </row>
    <row r="471" spans="1:11" ht="15.75" thickBot="1" x14ac:dyDescent="0.3">
      <c r="A471" s="3">
        <f t="shared" ref="A471:A474" si="179">A470+1</f>
        <v>465</v>
      </c>
      <c r="B471" s="4" t="str">
        <f t="shared" si="171"/>
        <v>2</v>
      </c>
      <c r="C471" s="4">
        <f t="shared" si="178"/>
        <v>4</v>
      </c>
      <c r="D471" s="4">
        <v>5</v>
      </c>
      <c r="E471" s="4"/>
      <c r="F471" s="5">
        <f>F469</f>
        <v>43948.75</v>
      </c>
      <c r="G471" s="4">
        <f t="shared" si="172"/>
        <v>105</v>
      </c>
      <c r="H471" s="4" t="s">
        <v>9</v>
      </c>
      <c r="I471" s="4" t="s">
        <v>12</v>
      </c>
      <c r="J471" s="4">
        <f t="shared" si="170"/>
        <v>2</v>
      </c>
      <c r="K471" s="4">
        <f>HOUR(F471)</f>
        <v>18</v>
      </c>
    </row>
    <row r="472" spans="1:11" ht="15.75" thickBot="1" x14ac:dyDescent="0.3">
      <c r="A472" s="3">
        <f t="shared" si="179"/>
        <v>466</v>
      </c>
      <c r="B472" s="4" t="str">
        <f t="shared" si="171"/>
        <v>1</v>
      </c>
      <c r="C472" s="4">
        <f t="shared" si="178"/>
        <v>5</v>
      </c>
      <c r="D472" s="4"/>
      <c r="E472" s="4"/>
      <c r="F472" s="5">
        <f>F469</f>
        <v>43948.75</v>
      </c>
      <c r="G472" s="4">
        <f t="shared" si="172"/>
        <v>90</v>
      </c>
      <c r="H472" s="4" t="s">
        <v>15</v>
      </c>
      <c r="I472" s="4" t="s">
        <v>10</v>
      </c>
      <c r="J472" s="4">
        <f t="shared" si="170"/>
        <v>2</v>
      </c>
      <c r="K472" s="4">
        <f>HOUR(F472)</f>
        <v>18</v>
      </c>
    </row>
    <row r="473" spans="1:11" ht="15.75" thickBot="1" x14ac:dyDescent="0.3">
      <c r="A473" s="3">
        <f t="shared" si="179"/>
        <v>467</v>
      </c>
      <c r="B473" s="4" t="str">
        <f t="shared" si="171"/>
        <v>5</v>
      </c>
      <c r="C473" s="4">
        <f t="shared" si="178"/>
        <v>5</v>
      </c>
      <c r="D473" s="4"/>
      <c r="E473" s="4"/>
      <c r="F473" s="5">
        <f>F469</f>
        <v>43948.75</v>
      </c>
      <c r="G473" s="4">
        <f t="shared" si="172"/>
        <v>90</v>
      </c>
      <c r="H473" s="4" t="s">
        <v>16</v>
      </c>
      <c r="I473" s="4" t="s">
        <v>10</v>
      </c>
      <c r="J473" s="4">
        <f t="shared" si="170"/>
        <v>2</v>
      </c>
      <c r="K473" s="4">
        <f>HOUR(F473)</f>
        <v>18</v>
      </c>
    </row>
    <row r="474" spans="1:11" ht="15.75" thickBot="1" x14ac:dyDescent="0.3">
      <c r="A474" s="3">
        <f t="shared" si="179"/>
        <v>468</v>
      </c>
      <c r="B474" s="4" t="str">
        <f t="shared" si="171"/>
        <v>6</v>
      </c>
      <c r="C474" s="4">
        <f t="shared" si="178"/>
        <v>3</v>
      </c>
      <c r="D474" s="4" t="s">
        <v>55</v>
      </c>
      <c r="E474" s="4"/>
      <c r="F474" s="5">
        <f>F469</f>
        <v>43948.75</v>
      </c>
      <c r="G474" s="4">
        <f t="shared" si="172"/>
        <v>105</v>
      </c>
      <c r="H474" s="4" t="s">
        <v>17</v>
      </c>
      <c r="I474" s="4" t="s">
        <v>11</v>
      </c>
      <c r="J474" s="4">
        <f t="shared" si="170"/>
        <v>2</v>
      </c>
      <c r="K474" s="4">
        <f>HOUR(F474)</f>
        <v>18</v>
      </c>
    </row>
    <row r="475" spans="1:11" ht="15.75" thickBot="1" x14ac:dyDescent="0.3">
      <c r="A475" s="3">
        <f>A474+1</f>
        <v>469</v>
      </c>
      <c r="B475" s="4" t="str">
        <f t="shared" si="171"/>
        <v>4</v>
      </c>
      <c r="C475" s="4">
        <f>VLOOKUP(I475,league_id,2,FALSE)</f>
        <v>1</v>
      </c>
      <c r="D475" s="4">
        <f t="shared" ref="D475:D476" si="180">VLOOKUP(H475,slot_compat,3,FALSE)</f>
        <v>2</v>
      </c>
      <c r="E475" s="4"/>
      <c r="F475" s="5">
        <v>43949.75</v>
      </c>
      <c r="G475" s="4">
        <f t="shared" si="172"/>
        <v>120</v>
      </c>
      <c r="H475" s="4" t="s">
        <v>7</v>
      </c>
      <c r="I475" s="4" t="s">
        <v>7</v>
      </c>
      <c r="J475" s="4">
        <f t="shared" si="170"/>
        <v>3</v>
      </c>
      <c r="K475" s="4">
        <f>HOUR(F475)</f>
        <v>18</v>
      </c>
    </row>
    <row r="476" spans="1:11" ht="15.75" thickBot="1" x14ac:dyDescent="0.3">
      <c r="A476" s="3">
        <f>A475+1</f>
        <v>470</v>
      </c>
      <c r="B476" s="4" t="str">
        <f t="shared" si="171"/>
        <v>3</v>
      </c>
      <c r="C476" s="4">
        <f t="shared" ref="C476:C480" si="181">VLOOKUP(I476,league_id,2,FALSE)</f>
        <v>2</v>
      </c>
      <c r="D476" s="4" t="str">
        <f t="shared" si="180"/>
        <v>1,3</v>
      </c>
      <c r="E476" s="4"/>
      <c r="F476" s="5">
        <f>F475</f>
        <v>43949.75</v>
      </c>
      <c r="G476" s="4">
        <f t="shared" si="172"/>
        <v>120</v>
      </c>
      <c r="H476" s="4" t="s">
        <v>8</v>
      </c>
      <c r="I476" s="4" t="s">
        <v>8</v>
      </c>
      <c r="J476" s="4">
        <f t="shared" si="170"/>
        <v>3</v>
      </c>
      <c r="K476" s="4">
        <f>HOUR(F476)</f>
        <v>18</v>
      </c>
    </row>
    <row r="477" spans="1:11" ht="15.75" thickBot="1" x14ac:dyDescent="0.3">
      <c r="A477" s="3">
        <f t="shared" ref="A477:A480" si="182">A476+1</f>
        <v>471</v>
      </c>
      <c r="B477" s="4" t="str">
        <f t="shared" si="171"/>
        <v>2</v>
      </c>
      <c r="C477" s="4">
        <f t="shared" si="181"/>
        <v>4</v>
      </c>
      <c r="D477" s="4">
        <v>5</v>
      </c>
      <c r="E477" s="4"/>
      <c r="F477" s="5">
        <f>F475</f>
        <v>43949.75</v>
      </c>
      <c r="G477" s="4">
        <f t="shared" si="172"/>
        <v>105</v>
      </c>
      <c r="H477" s="4" t="s">
        <v>9</v>
      </c>
      <c r="I477" s="4" t="s">
        <v>12</v>
      </c>
      <c r="J477" s="4">
        <f t="shared" si="170"/>
        <v>3</v>
      </c>
      <c r="K477" s="4">
        <f>HOUR(F477)</f>
        <v>18</v>
      </c>
    </row>
    <row r="478" spans="1:11" ht="15.75" thickBot="1" x14ac:dyDescent="0.3">
      <c r="A478" s="3">
        <f t="shared" si="182"/>
        <v>472</v>
      </c>
      <c r="B478" s="4" t="str">
        <f t="shared" si="171"/>
        <v>1</v>
      </c>
      <c r="C478" s="4">
        <f t="shared" si="181"/>
        <v>5</v>
      </c>
      <c r="D478" s="4"/>
      <c r="E478" s="4"/>
      <c r="F478" s="5">
        <f>F475</f>
        <v>43949.75</v>
      </c>
      <c r="G478" s="4">
        <f t="shared" si="172"/>
        <v>90</v>
      </c>
      <c r="H478" s="4" t="s">
        <v>15</v>
      </c>
      <c r="I478" s="4" t="s">
        <v>10</v>
      </c>
      <c r="J478" s="4">
        <f t="shared" si="170"/>
        <v>3</v>
      </c>
      <c r="K478" s="4">
        <f>HOUR(F478)</f>
        <v>18</v>
      </c>
    </row>
    <row r="479" spans="1:11" ht="15.75" thickBot="1" x14ac:dyDescent="0.3">
      <c r="A479" s="3">
        <f t="shared" si="182"/>
        <v>473</v>
      </c>
      <c r="B479" s="4" t="str">
        <f t="shared" si="171"/>
        <v>5</v>
      </c>
      <c r="C479" s="4">
        <f t="shared" si="181"/>
        <v>5</v>
      </c>
      <c r="D479" s="4"/>
      <c r="E479" s="4"/>
      <c r="F479" s="5">
        <f>F475</f>
        <v>43949.75</v>
      </c>
      <c r="G479" s="4">
        <f t="shared" si="172"/>
        <v>90</v>
      </c>
      <c r="H479" s="4" t="s">
        <v>16</v>
      </c>
      <c r="I479" s="4" t="s">
        <v>10</v>
      </c>
      <c r="J479" s="4">
        <f t="shared" si="170"/>
        <v>3</v>
      </c>
      <c r="K479" s="4">
        <f>HOUR(F479)</f>
        <v>18</v>
      </c>
    </row>
    <row r="480" spans="1:11" ht="15.75" thickBot="1" x14ac:dyDescent="0.3">
      <c r="A480" s="3">
        <f t="shared" si="182"/>
        <v>474</v>
      </c>
      <c r="B480" s="4" t="str">
        <f t="shared" si="171"/>
        <v>6</v>
      </c>
      <c r="C480" s="4">
        <f t="shared" si="181"/>
        <v>3</v>
      </c>
      <c r="D480" s="4" t="s">
        <v>55</v>
      </c>
      <c r="E480" s="4"/>
      <c r="F480" s="5">
        <f>F475</f>
        <v>43949.75</v>
      </c>
      <c r="G480" s="4">
        <f t="shared" si="172"/>
        <v>105</v>
      </c>
      <c r="H480" s="4" t="s">
        <v>17</v>
      </c>
      <c r="I480" s="4" t="s">
        <v>11</v>
      </c>
      <c r="J480" s="4">
        <f t="shared" si="170"/>
        <v>3</v>
      </c>
      <c r="K480" s="4">
        <f>HOUR(F480)</f>
        <v>18</v>
      </c>
    </row>
    <row r="481" spans="1:11" ht="15.75" thickBot="1" x14ac:dyDescent="0.3">
      <c r="A481" s="3">
        <f>A480+1</f>
        <v>475</v>
      </c>
      <c r="B481" s="4" t="str">
        <f t="shared" si="171"/>
        <v>4</v>
      </c>
      <c r="C481" s="4">
        <f>VLOOKUP(I481,league_id,2,FALSE)</f>
        <v>1</v>
      </c>
      <c r="D481" s="4">
        <f t="shared" ref="D481:D482" si="183">VLOOKUP(H481,slot_compat,3,FALSE)</f>
        <v>2</v>
      </c>
      <c r="E481" s="4"/>
      <c r="F481" s="5">
        <v>43950.75</v>
      </c>
      <c r="G481" s="4">
        <f t="shared" si="172"/>
        <v>120</v>
      </c>
      <c r="H481" s="4" t="s">
        <v>7</v>
      </c>
      <c r="I481" s="4" t="s">
        <v>7</v>
      </c>
      <c r="J481" s="4">
        <f t="shared" si="170"/>
        <v>4</v>
      </c>
      <c r="K481" s="4">
        <f>HOUR(F481)</f>
        <v>18</v>
      </c>
    </row>
    <row r="482" spans="1:11" ht="15.75" thickBot="1" x14ac:dyDescent="0.3">
      <c r="A482" s="3">
        <f>A481+1</f>
        <v>476</v>
      </c>
      <c r="B482" s="4" t="str">
        <f t="shared" si="171"/>
        <v>3</v>
      </c>
      <c r="C482" s="4">
        <f t="shared" ref="C482:C486" si="184">VLOOKUP(I482,league_id,2,FALSE)</f>
        <v>2</v>
      </c>
      <c r="D482" s="4" t="str">
        <f t="shared" si="183"/>
        <v>1,3</v>
      </c>
      <c r="E482" s="4"/>
      <c r="F482" s="5">
        <f>F481</f>
        <v>43950.75</v>
      </c>
      <c r="G482" s="4">
        <f t="shared" si="172"/>
        <v>120</v>
      </c>
      <c r="H482" s="4" t="s">
        <v>8</v>
      </c>
      <c r="I482" s="4" t="s">
        <v>8</v>
      </c>
      <c r="J482" s="4">
        <f t="shared" si="170"/>
        <v>4</v>
      </c>
      <c r="K482" s="4">
        <f>HOUR(F482)</f>
        <v>18</v>
      </c>
    </row>
    <row r="483" spans="1:11" ht="15.75" thickBot="1" x14ac:dyDescent="0.3">
      <c r="A483" s="3">
        <f t="shared" ref="A483:A486" si="185">A482+1</f>
        <v>477</v>
      </c>
      <c r="B483" s="4" t="str">
        <f t="shared" si="171"/>
        <v>2</v>
      </c>
      <c r="C483" s="4">
        <f t="shared" si="184"/>
        <v>4</v>
      </c>
      <c r="D483" s="4">
        <v>5</v>
      </c>
      <c r="E483" s="4"/>
      <c r="F483" s="5">
        <f>F481</f>
        <v>43950.75</v>
      </c>
      <c r="G483" s="4">
        <f t="shared" si="172"/>
        <v>105</v>
      </c>
      <c r="H483" s="4" t="s">
        <v>9</v>
      </c>
      <c r="I483" s="4" t="s">
        <v>12</v>
      </c>
      <c r="J483" s="4">
        <f t="shared" si="170"/>
        <v>4</v>
      </c>
      <c r="K483" s="4">
        <f>HOUR(F483)</f>
        <v>18</v>
      </c>
    </row>
    <row r="484" spans="1:11" ht="15.75" thickBot="1" x14ac:dyDescent="0.3">
      <c r="A484" s="3">
        <f t="shared" si="185"/>
        <v>478</v>
      </c>
      <c r="B484" s="4" t="str">
        <f t="shared" si="171"/>
        <v>1</v>
      </c>
      <c r="C484" s="4">
        <f t="shared" si="184"/>
        <v>5</v>
      </c>
      <c r="D484" s="4"/>
      <c r="E484" s="4"/>
      <c r="F484" s="5">
        <f>F481</f>
        <v>43950.75</v>
      </c>
      <c r="G484" s="4">
        <f t="shared" si="172"/>
        <v>90</v>
      </c>
      <c r="H484" s="4" t="s">
        <v>15</v>
      </c>
      <c r="I484" s="4" t="s">
        <v>10</v>
      </c>
      <c r="J484" s="4">
        <f t="shared" si="170"/>
        <v>4</v>
      </c>
      <c r="K484" s="4">
        <f>HOUR(F484)</f>
        <v>18</v>
      </c>
    </row>
    <row r="485" spans="1:11" ht="15.75" thickBot="1" x14ac:dyDescent="0.3">
      <c r="A485" s="3">
        <f t="shared" si="185"/>
        <v>479</v>
      </c>
      <c r="B485" s="4" t="str">
        <f t="shared" si="171"/>
        <v>5</v>
      </c>
      <c r="C485" s="4">
        <f t="shared" si="184"/>
        <v>5</v>
      </c>
      <c r="D485" s="4"/>
      <c r="E485" s="4"/>
      <c r="F485" s="5">
        <f>F481</f>
        <v>43950.75</v>
      </c>
      <c r="G485" s="4">
        <f t="shared" si="172"/>
        <v>90</v>
      </c>
      <c r="H485" s="4" t="s">
        <v>16</v>
      </c>
      <c r="I485" s="4" t="s">
        <v>10</v>
      </c>
      <c r="J485" s="4">
        <f t="shared" si="170"/>
        <v>4</v>
      </c>
      <c r="K485" s="4">
        <f>HOUR(F485)</f>
        <v>18</v>
      </c>
    </row>
    <row r="486" spans="1:11" ht="15.75" thickBot="1" x14ac:dyDescent="0.3">
      <c r="A486" s="3">
        <f t="shared" si="185"/>
        <v>480</v>
      </c>
      <c r="B486" s="4" t="str">
        <f t="shared" si="171"/>
        <v>6</v>
      </c>
      <c r="C486" s="4">
        <f t="shared" si="184"/>
        <v>3</v>
      </c>
      <c r="D486" s="4" t="s">
        <v>55</v>
      </c>
      <c r="E486" s="4"/>
      <c r="F486" s="5">
        <f>F481</f>
        <v>43950.75</v>
      </c>
      <c r="G486" s="4">
        <f t="shared" si="172"/>
        <v>105</v>
      </c>
      <c r="H486" s="4" t="s">
        <v>17</v>
      </c>
      <c r="I486" s="4" t="s">
        <v>11</v>
      </c>
      <c r="J486" s="4">
        <f t="shared" si="170"/>
        <v>4</v>
      </c>
      <c r="K486" s="4">
        <f>HOUR(F486)</f>
        <v>18</v>
      </c>
    </row>
    <row r="487" spans="1:11" ht="15.75" thickBot="1" x14ac:dyDescent="0.3">
      <c r="A487" s="3">
        <f>A486+1</f>
        <v>481</v>
      </c>
      <c r="B487" s="4" t="str">
        <f t="shared" si="171"/>
        <v>4</v>
      </c>
      <c r="C487" s="4">
        <f>VLOOKUP(I487,league_id,2,FALSE)</f>
        <v>1</v>
      </c>
      <c r="D487" s="4">
        <f t="shared" ref="D487:D488" si="186">VLOOKUP(H487,slot_compat,3,FALSE)</f>
        <v>2</v>
      </c>
      <c r="E487" s="4"/>
      <c r="F487" s="5">
        <v>43951.75</v>
      </c>
      <c r="G487" s="4">
        <f t="shared" si="172"/>
        <v>120</v>
      </c>
      <c r="H487" s="4" t="s">
        <v>7</v>
      </c>
      <c r="I487" s="4" t="s">
        <v>7</v>
      </c>
      <c r="J487" s="4">
        <f t="shared" si="170"/>
        <v>5</v>
      </c>
      <c r="K487" s="4">
        <f>HOUR(F487)</f>
        <v>18</v>
      </c>
    </row>
    <row r="488" spans="1:11" ht="15.75" thickBot="1" x14ac:dyDescent="0.3">
      <c r="A488" s="3">
        <f>A487+1</f>
        <v>482</v>
      </c>
      <c r="B488" s="4" t="str">
        <f t="shared" si="171"/>
        <v>3</v>
      </c>
      <c r="C488" s="4">
        <f t="shared" ref="C488:C551" si="187">VLOOKUP(I488,league_id,2,FALSE)</f>
        <v>2</v>
      </c>
      <c r="D488" s="4" t="str">
        <f t="shared" si="186"/>
        <v>1,3</v>
      </c>
      <c r="E488" s="4"/>
      <c r="F488" s="5">
        <f>F487</f>
        <v>43951.75</v>
      </c>
      <c r="G488" s="4">
        <f t="shared" si="172"/>
        <v>120</v>
      </c>
      <c r="H488" s="4" t="s">
        <v>8</v>
      </c>
      <c r="I488" s="4" t="s">
        <v>8</v>
      </c>
      <c r="J488" s="4">
        <f t="shared" si="170"/>
        <v>5</v>
      </c>
      <c r="K488" s="4">
        <f>HOUR(F488)</f>
        <v>18</v>
      </c>
    </row>
    <row r="489" spans="1:11" ht="15.75" thickBot="1" x14ac:dyDescent="0.3">
      <c r="A489" s="3">
        <f t="shared" ref="A489:A492" si="188">A488+1</f>
        <v>483</v>
      </c>
      <c r="B489" s="4" t="str">
        <f t="shared" si="171"/>
        <v>2</v>
      </c>
      <c r="C489" s="4">
        <f t="shared" si="187"/>
        <v>4</v>
      </c>
      <c r="D489" s="4">
        <v>5</v>
      </c>
      <c r="E489" s="4"/>
      <c r="F489" s="5">
        <f>F487</f>
        <v>43951.75</v>
      </c>
      <c r="G489" s="4">
        <f t="shared" si="172"/>
        <v>105</v>
      </c>
      <c r="H489" s="4" t="s">
        <v>9</v>
      </c>
      <c r="I489" s="4" t="s">
        <v>12</v>
      </c>
      <c r="J489" s="4">
        <f t="shared" si="170"/>
        <v>5</v>
      </c>
      <c r="K489" s="4">
        <f>HOUR(F489)</f>
        <v>18</v>
      </c>
    </row>
    <row r="490" spans="1:11" ht="15.75" thickBot="1" x14ac:dyDescent="0.3">
      <c r="A490" s="3">
        <f t="shared" si="188"/>
        <v>484</v>
      </c>
      <c r="B490" s="4" t="str">
        <f t="shared" si="171"/>
        <v>1</v>
      </c>
      <c r="C490" s="4">
        <f t="shared" si="187"/>
        <v>5</v>
      </c>
      <c r="D490" s="4"/>
      <c r="E490" s="4"/>
      <c r="F490" s="5">
        <f>F487</f>
        <v>43951.75</v>
      </c>
      <c r="G490" s="4">
        <f t="shared" si="172"/>
        <v>90</v>
      </c>
      <c r="H490" s="4" t="s">
        <v>15</v>
      </c>
      <c r="I490" s="4" t="s">
        <v>10</v>
      </c>
      <c r="J490" s="4">
        <f t="shared" si="170"/>
        <v>5</v>
      </c>
      <c r="K490" s="4">
        <f>HOUR(F490)</f>
        <v>18</v>
      </c>
    </row>
    <row r="491" spans="1:11" ht="15.75" thickBot="1" x14ac:dyDescent="0.3">
      <c r="A491" s="3">
        <f t="shared" si="188"/>
        <v>485</v>
      </c>
      <c r="B491" s="4" t="str">
        <f t="shared" si="171"/>
        <v>5</v>
      </c>
      <c r="C491" s="4">
        <f t="shared" si="187"/>
        <v>5</v>
      </c>
      <c r="D491" s="4"/>
      <c r="E491" s="4"/>
      <c r="F491" s="5">
        <f>F487</f>
        <v>43951.75</v>
      </c>
      <c r="G491" s="4">
        <f t="shared" si="172"/>
        <v>90</v>
      </c>
      <c r="H491" s="4" t="s">
        <v>16</v>
      </c>
      <c r="I491" s="4" t="s">
        <v>10</v>
      </c>
      <c r="J491" s="4">
        <f t="shared" si="170"/>
        <v>5</v>
      </c>
      <c r="K491" s="4">
        <f>HOUR(F491)</f>
        <v>18</v>
      </c>
    </row>
    <row r="492" spans="1:11" ht="15.75" thickBot="1" x14ac:dyDescent="0.3">
      <c r="A492" s="3">
        <f t="shared" si="188"/>
        <v>486</v>
      </c>
      <c r="B492" s="4" t="str">
        <f t="shared" si="171"/>
        <v>6</v>
      </c>
      <c r="C492" s="4">
        <f t="shared" si="187"/>
        <v>3</v>
      </c>
      <c r="D492" s="4" t="s">
        <v>55</v>
      </c>
      <c r="E492" s="4"/>
      <c r="F492" s="5">
        <f>F487</f>
        <v>43951.75</v>
      </c>
      <c r="G492" s="4">
        <f t="shared" si="172"/>
        <v>105</v>
      </c>
      <c r="H492" s="4" t="s">
        <v>17</v>
      </c>
      <c r="I492" s="4" t="s">
        <v>11</v>
      </c>
      <c r="J492" s="4">
        <f t="shared" si="170"/>
        <v>5</v>
      </c>
      <c r="K492" s="4">
        <f>HOUR(F492)</f>
        <v>18</v>
      </c>
    </row>
    <row r="493" spans="1:11" ht="15.75" thickBot="1" x14ac:dyDescent="0.3">
      <c r="A493" s="3">
        <f>A492+1</f>
        <v>487</v>
      </c>
      <c r="B493" s="4" t="str">
        <f t="shared" si="171"/>
        <v>4</v>
      </c>
      <c r="C493" s="4">
        <f t="shared" si="187"/>
        <v>1</v>
      </c>
      <c r="D493" s="4">
        <f t="shared" ref="D493:D502" si="189">VLOOKUP(H493,slot_compat,3,FALSE)</f>
        <v>2</v>
      </c>
      <c r="E493" s="4"/>
      <c r="F493" s="5">
        <v>43952.75</v>
      </c>
      <c r="G493" s="4">
        <f t="shared" si="172"/>
        <v>120</v>
      </c>
      <c r="H493" s="4" t="s">
        <v>7</v>
      </c>
      <c r="I493" s="4" t="s">
        <v>7</v>
      </c>
      <c r="J493" s="4">
        <f t="shared" si="170"/>
        <v>6</v>
      </c>
      <c r="K493" s="4">
        <f>HOUR(F493)</f>
        <v>18</v>
      </c>
    </row>
    <row r="494" spans="1:11" ht="15.75" thickBot="1" x14ac:dyDescent="0.3">
      <c r="A494" s="7">
        <f>A493+1</f>
        <v>488</v>
      </c>
      <c r="B494" s="8" t="str">
        <f t="shared" si="171"/>
        <v>4</v>
      </c>
      <c r="C494" s="8">
        <f t="shared" si="187"/>
        <v>1</v>
      </c>
      <c r="D494" s="8">
        <f t="shared" si="189"/>
        <v>2</v>
      </c>
      <c r="E494" s="8"/>
      <c r="F494" s="9">
        <f>F493+G493/60/24</f>
        <v>43952.833333333336</v>
      </c>
      <c r="G494" s="8">
        <f t="shared" si="172"/>
        <v>120</v>
      </c>
      <c r="H494" s="8" t="s">
        <v>7</v>
      </c>
      <c r="I494" s="8" t="s">
        <v>7</v>
      </c>
      <c r="J494" s="8">
        <f t="shared" si="170"/>
        <v>6</v>
      </c>
      <c r="K494" s="4">
        <f>HOUR(F494)</f>
        <v>20</v>
      </c>
    </row>
    <row r="495" spans="1:11" ht="15.75" thickBot="1" x14ac:dyDescent="0.3">
      <c r="A495" s="3">
        <f>A494+1</f>
        <v>489</v>
      </c>
      <c r="B495" s="4" t="str">
        <f t="shared" si="171"/>
        <v>3</v>
      </c>
      <c r="C495" s="4">
        <f t="shared" si="187"/>
        <v>2</v>
      </c>
      <c r="D495" s="4" t="str">
        <f t="shared" si="189"/>
        <v>1,3</v>
      </c>
      <c r="E495" s="4"/>
      <c r="F495" s="5">
        <f>F493</f>
        <v>43952.75</v>
      </c>
      <c r="G495" s="4">
        <f t="shared" si="172"/>
        <v>120</v>
      </c>
      <c r="H495" s="4" t="s">
        <v>8</v>
      </c>
      <c r="I495" s="4" t="s">
        <v>8</v>
      </c>
      <c r="J495" s="4">
        <f t="shared" si="170"/>
        <v>6</v>
      </c>
      <c r="K495" s="4">
        <f>HOUR(F495)</f>
        <v>18</v>
      </c>
    </row>
    <row r="496" spans="1:11" ht="15.75" thickBot="1" x14ac:dyDescent="0.3">
      <c r="A496" s="7">
        <f t="shared" ref="A496:A504" si="190">A495+1</f>
        <v>490</v>
      </c>
      <c r="B496" s="8" t="str">
        <f t="shared" si="171"/>
        <v>3</v>
      </c>
      <c r="C496" s="8">
        <f t="shared" si="187"/>
        <v>2</v>
      </c>
      <c r="D496" s="8" t="str">
        <f t="shared" si="189"/>
        <v>1,3</v>
      </c>
      <c r="E496" s="8"/>
      <c r="F496" s="9">
        <f>F495+G495/60/24</f>
        <v>43952.833333333336</v>
      </c>
      <c r="G496" s="8">
        <f t="shared" si="172"/>
        <v>120</v>
      </c>
      <c r="H496" s="8" t="s">
        <v>8</v>
      </c>
      <c r="I496" s="8" t="s">
        <v>8</v>
      </c>
      <c r="J496" s="8">
        <f t="shared" si="170"/>
        <v>6</v>
      </c>
      <c r="K496" s="4">
        <f>HOUR(F496)</f>
        <v>20</v>
      </c>
    </row>
    <row r="497" spans="1:11" ht="15.75" thickBot="1" x14ac:dyDescent="0.3">
      <c r="A497" s="3">
        <f>A496+1</f>
        <v>491</v>
      </c>
      <c r="B497" s="4" t="str">
        <f t="shared" si="171"/>
        <v>2</v>
      </c>
      <c r="C497" s="4">
        <f t="shared" si="187"/>
        <v>4</v>
      </c>
      <c r="D497" s="4">
        <v>5</v>
      </c>
      <c r="E497" s="4"/>
      <c r="F497" s="5">
        <f>F493</f>
        <v>43952.75</v>
      </c>
      <c r="G497" s="4">
        <f t="shared" si="172"/>
        <v>105</v>
      </c>
      <c r="H497" s="4" t="s">
        <v>9</v>
      </c>
      <c r="I497" s="4" t="s">
        <v>12</v>
      </c>
      <c r="J497" s="4">
        <f t="shared" si="170"/>
        <v>6</v>
      </c>
      <c r="K497" s="4">
        <f>HOUR(F497)</f>
        <v>18</v>
      </c>
    </row>
    <row r="498" spans="1:11" ht="15.75" thickBot="1" x14ac:dyDescent="0.3">
      <c r="A498" s="7">
        <f t="shared" si="190"/>
        <v>492</v>
      </c>
      <c r="B498" s="8" t="str">
        <f t="shared" si="171"/>
        <v>2</v>
      </c>
      <c r="C498" s="8">
        <f t="shared" si="187"/>
        <v>4</v>
      </c>
      <c r="D498" s="8">
        <v>5</v>
      </c>
      <c r="E498" s="8"/>
      <c r="F498" s="9">
        <f>F497+G497/60/24</f>
        <v>43952.822916666664</v>
      </c>
      <c r="G498" s="8">
        <f t="shared" si="172"/>
        <v>105</v>
      </c>
      <c r="H498" s="8" t="s">
        <v>9</v>
      </c>
      <c r="I498" s="8" t="s">
        <v>12</v>
      </c>
      <c r="J498" s="8">
        <f t="shared" si="170"/>
        <v>6</v>
      </c>
      <c r="K498" s="4">
        <f>HOUR(F498)</f>
        <v>19</v>
      </c>
    </row>
    <row r="499" spans="1:11" ht="15.75" thickBot="1" x14ac:dyDescent="0.3">
      <c r="A499" s="3">
        <f>A498+1</f>
        <v>493</v>
      </c>
      <c r="B499" s="4" t="str">
        <f t="shared" si="171"/>
        <v>1</v>
      </c>
      <c r="C499" s="4">
        <f t="shared" si="187"/>
        <v>5</v>
      </c>
      <c r="D499" s="4"/>
      <c r="E499" s="4"/>
      <c r="F499" s="5">
        <f>F493</f>
        <v>43952.75</v>
      </c>
      <c r="G499" s="4">
        <f t="shared" si="172"/>
        <v>90</v>
      </c>
      <c r="H499" s="4" t="s">
        <v>15</v>
      </c>
      <c r="I499" s="4" t="s">
        <v>10</v>
      </c>
      <c r="J499" s="4">
        <f t="shared" si="170"/>
        <v>6</v>
      </c>
      <c r="K499" s="4">
        <f>HOUR(F499)</f>
        <v>18</v>
      </c>
    </row>
    <row r="500" spans="1:11" ht="15.75" thickBot="1" x14ac:dyDescent="0.3">
      <c r="A500" s="7">
        <f t="shared" si="190"/>
        <v>494</v>
      </c>
      <c r="B500" s="8" t="str">
        <f t="shared" si="171"/>
        <v>1</v>
      </c>
      <c r="C500" s="8">
        <f t="shared" si="187"/>
        <v>5</v>
      </c>
      <c r="D500" s="8"/>
      <c r="E500" s="8"/>
      <c r="F500" s="9">
        <f>F499+G499/60/24</f>
        <v>43952.8125</v>
      </c>
      <c r="G500" s="8">
        <f t="shared" si="172"/>
        <v>90</v>
      </c>
      <c r="H500" s="8" t="s">
        <v>15</v>
      </c>
      <c r="I500" s="8" t="s">
        <v>10</v>
      </c>
      <c r="J500" s="8">
        <f t="shared" si="170"/>
        <v>6</v>
      </c>
      <c r="K500" s="4">
        <f>HOUR(F500)</f>
        <v>19</v>
      </c>
    </row>
    <row r="501" spans="1:11" ht="15.75" thickBot="1" x14ac:dyDescent="0.3">
      <c r="A501" s="3">
        <f>A500+1</f>
        <v>495</v>
      </c>
      <c r="B501" s="4" t="str">
        <f t="shared" si="171"/>
        <v>5</v>
      </c>
      <c r="C501" s="4">
        <f t="shared" si="187"/>
        <v>5</v>
      </c>
      <c r="D501" s="4"/>
      <c r="E501" s="4"/>
      <c r="F501" s="5">
        <f>F493</f>
        <v>43952.75</v>
      </c>
      <c r="G501" s="4">
        <f t="shared" si="172"/>
        <v>90</v>
      </c>
      <c r="H501" s="4" t="s">
        <v>16</v>
      </c>
      <c r="I501" s="4" t="s">
        <v>10</v>
      </c>
      <c r="J501" s="4">
        <f t="shared" si="170"/>
        <v>6</v>
      </c>
      <c r="K501" s="4">
        <f>HOUR(F501)</f>
        <v>18</v>
      </c>
    </row>
    <row r="502" spans="1:11" ht="15.75" thickBot="1" x14ac:dyDescent="0.3">
      <c r="A502" s="7">
        <f t="shared" si="190"/>
        <v>496</v>
      </c>
      <c r="B502" s="8" t="str">
        <f t="shared" si="171"/>
        <v>5</v>
      </c>
      <c r="C502" s="8">
        <f t="shared" si="187"/>
        <v>4</v>
      </c>
      <c r="D502" s="8">
        <f t="shared" si="189"/>
        <v>5</v>
      </c>
      <c r="E502" s="8"/>
      <c r="F502" s="9">
        <f>F501+G501/60/24</f>
        <v>43952.8125</v>
      </c>
      <c r="G502" s="8">
        <f t="shared" si="172"/>
        <v>105</v>
      </c>
      <c r="H502" s="8" t="s">
        <v>16</v>
      </c>
      <c r="I502" s="8" t="s">
        <v>12</v>
      </c>
      <c r="J502" s="8">
        <f t="shared" si="170"/>
        <v>6</v>
      </c>
      <c r="K502" s="4">
        <f>HOUR(F502)</f>
        <v>19</v>
      </c>
    </row>
    <row r="503" spans="1:11" ht="15.75" thickBot="1" x14ac:dyDescent="0.3">
      <c r="A503" s="3">
        <f>A502+1</f>
        <v>497</v>
      </c>
      <c r="B503" s="4" t="str">
        <f t="shared" si="171"/>
        <v>6</v>
      </c>
      <c r="C503" s="4">
        <f t="shared" si="187"/>
        <v>3</v>
      </c>
      <c r="D503" s="4" t="s">
        <v>55</v>
      </c>
      <c r="E503" s="4"/>
      <c r="F503" s="5">
        <f>F493</f>
        <v>43952.75</v>
      </c>
      <c r="G503" s="4">
        <f t="shared" si="172"/>
        <v>105</v>
      </c>
      <c r="H503" s="4" t="s">
        <v>17</v>
      </c>
      <c r="I503" s="4" t="s">
        <v>11</v>
      </c>
      <c r="J503" s="4">
        <f t="shared" si="170"/>
        <v>6</v>
      </c>
      <c r="K503" s="4">
        <f>HOUR(F503)</f>
        <v>18</v>
      </c>
    </row>
    <row r="504" spans="1:11" ht="15.75" thickBot="1" x14ac:dyDescent="0.3">
      <c r="A504" s="10">
        <f t="shared" si="190"/>
        <v>498</v>
      </c>
      <c r="B504" s="11" t="str">
        <f t="shared" si="171"/>
        <v>6</v>
      </c>
      <c r="C504" s="11">
        <f t="shared" si="187"/>
        <v>3</v>
      </c>
      <c r="D504" s="11" t="s">
        <v>55</v>
      </c>
      <c r="E504" s="11"/>
      <c r="F504" s="12">
        <f>F503+G503/60/24</f>
        <v>43952.822916666664</v>
      </c>
      <c r="G504" s="11">
        <f t="shared" si="172"/>
        <v>105</v>
      </c>
      <c r="H504" s="11" t="s">
        <v>17</v>
      </c>
      <c r="I504" s="11" t="s">
        <v>11</v>
      </c>
      <c r="J504" s="11">
        <f t="shared" si="170"/>
        <v>6</v>
      </c>
      <c r="K504" s="4">
        <f>HOUR(F504)</f>
        <v>19</v>
      </c>
    </row>
    <row r="505" spans="1:11" ht="15.75" thickBot="1" x14ac:dyDescent="0.3">
      <c r="A505" s="3">
        <f>A504+1</f>
        <v>499</v>
      </c>
      <c r="B505" s="4" t="str">
        <f t="shared" si="171"/>
        <v>7</v>
      </c>
      <c r="C505" s="4">
        <f t="shared" si="187"/>
        <v>5</v>
      </c>
      <c r="D505" s="4">
        <v>6</v>
      </c>
      <c r="E505" s="4"/>
      <c r="F505" s="5">
        <f>F493</f>
        <v>43952.75</v>
      </c>
      <c r="G505" s="4">
        <f t="shared" si="172"/>
        <v>90</v>
      </c>
      <c r="H505" s="4" t="s">
        <v>18</v>
      </c>
      <c r="I505" s="4" t="s">
        <v>10</v>
      </c>
      <c r="J505" s="4">
        <f t="shared" si="170"/>
        <v>6</v>
      </c>
      <c r="K505" s="4">
        <f>HOUR(F505)</f>
        <v>18</v>
      </c>
    </row>
    <row r="506" spans="1:11" ht="15.75" thickBot="1" x14ac:dyDescent="0.3">
      <c r="A506" s="7">
        <f t="shared" ref="A506" si="191">A505+1</f>
        <v>500</v>
      </c>
      <c r="B506" s="8" t="str">
        <f t="shared" si="171"/>
        <v>7</v>
      </c>
      <c r="C506" s="8">
        <f t="shared" si="187"/>
        <v>2</v>
      </c>
      <c r="D506" s="8" t="s">
        <v>55</v>
      </c>
      <c r="E506" s="8"/>
      <c r="F506" s="9">
        <f>F505+G505/60/24</f>
        <v>43952.8125</v>
      </c>
      <c r="G506" s="8">
        <f t="shared" si="172"/>
        <v>120</v>
      </c>
      <c r="H506" s="8" t="s">
        <v>18</v>
      </c>
      <c r="I506" s="8" t="s">
        <v>8</v>
      </c>
      <c r="J506" s="8">
        <f t="shared" si="170"/>
        <v>6</v>
      </c>
      <c r="K506" s="4">
        <f>HOUR(F506)</f>
        <v>19</v>
      </c>
    </row>
    <row r="507" spans="1:11" ht="15.75" thickBot="1" x14ac:dyDescent="0.3">
      <c r="A507" s="3">
        <f>A506+1</f>
        <v>501</v>
      </c>
      <c r="B507" s="4" t="str">
        <f t="shared" si="171"/>
        <v>8</v>
      </c>
      <c r="C507" s="4">
        <f t="shared" si="187"/>
        <v>5</v>
      </c>
      <c r="D507" s="4"/>
      <c r="E507" s="4"/>
      <c r="F507" s="5">
        <f>F493</f>
        <v>43952.75</v>
      </c>
      <c r="G507" s="4">
        <f t="shared" si="172"/>
        <v>90</v>
      </c>
      <c r="H507" s="4" t="s">
        <v>19</v>
      </c>
      <c r="I507" s="4" t="s">
        <v>10</v>
      </c>
      <c r="J507" s="4">
        <f t="shared" si="170"/>
        <v>6</v>
      </c>
      <c r="K507" s="4">
        <f>HOUR(F507)</f>
        <v>18</v>
      </c>
    </row>
    <row r="508" spans="1:11" ht="15.75" thickBot="1" x14ac:dyDescent="0.3">
      <c r="A508" s="10">
        <f t="shared" ref="A508" si="192">A507+1</f>
        <v>502</v>
      </c>
      <c r="B508" s="11" t="str">
        <f t="shared" si="171"/>
        <v>8</v>
      </c>
      <c r="C508" s="11">
        <f t="shared" si="187"/>
        <v>2</v>
      </c>
      <c r="D508" s="11" t="s">
        <v>56</v>
      </c>
      <c r="E508" s="11"/>
      <c r="F508" s="12">
        <f>F507+G507/60/24</f>
        <v>43952.8125</v>
      </c>
      <c r="G508" s="11">
        <f t="shared" si="172"/>
        <v>120</v>
      </c>
      <c r="H508" s="11" t="s">
        <v>19</v>
      </c>
      <c r="I508" s="11" t="s">
        <v>8</v>
      </c>
      <c r="J508" s="11">
        <f t="shared" si="170"/>
        <v>6</v>
      </c>
      <c r="K508" s="4">
        <f>HOUR(F508)</f>
        <v>19</v>
      </c>
    </row>
    <row r="509" spans="1:11" ht="15.75" thickBot="1" x14ac:dyDescent="0.3">
      <c r="A509" s="3">
        <f>A508+1</f>
        <v>503</v>
      </c>
      <c r="B509" s="4" t="str">
        <f t="shared" si="171"/>
        <v>4</v>
      </c>
      <c r="C509" s="4">
        <f t="shared" si="187"/>
        <v>1</v>
      </c>
      <c r="D509" s="4">
        <f t="shared" ref="D509:D526" si="193">VLOOKUP(H509,slot_compat,3,FALSE)</f>
        <v>2</v>
      </c>
      <c r="E509" s="4"/>
      <c r="F509" s="5">
        <v>43953.375</v>
      </c>
      <c r="G509" s="4">
        <f t="shared" si="172"/>
        <v>120</v>
      </c>
      <c r="H509" s="4" t="s">
        <v>7</v>
      </c>
      <c r="I509" s="4" t="s">
        <v>7</v>
      </c>
      <c r="J509" s="4">
        <f t="shared" si="170"/>
        <v>7</v>
      </c>
      <c r="K509" s="4">
        <f>HOUR(F509)</f>
        <v>9</v>
      </c>
    </row>
    <row r="510" spans="1:11" ht="15.75" thickBot="1" x14ac:dyDescent="0.3">
      <c r="A510" s="7">
        <f>A509+1</f>
        <v>504</v>
      </c>
      <c r="B510" s="8" t="str">
        <f t="shared" si="171"/>
        <v>4</v>
      </c>
      <c r="C510" s="8">
        <f t="shared" si="187"/>
        <v>1</v>
      </c>
      <c r="D510" s="8">
        <f t="shared" si="193"/>
        <v>2</v>
      </c>
      <c r="E510" s="8"/>
      <c r="F510" s="9">
        <f>F509+G509/60/24</f>
        <v>43953.458333333336</v>
      </c>
      <c r="G510" s="8">
        <f t="shared" si="172"/>
        <v>120</v>
      </c>
      <c r="H510" s="8" t="s">
        <v>7</v>
      </c>
      <c r="I510" s="8" t="s">
        <v>7</v>
      </c>
      <c r="J510" s="8">
        <f t="shared" si="170"/>
        <v>7</v>
      </c>
      <c r="K510" s="4">
        <f>HOUR(F510)</f>
        <v>11</v>
      </c>
    </row>
    <row r="511" spans="1:11" ht="15.75" thickBot="1" x14ac:dyDescent="0.3">
      <c r="A511" s="7">
        <f t="shared" ref="A511:A559" si="194">A510+1</f>
        <v>505</v>
      </c>
      <c r="B511" s="8" t="str">
        <f t="shared" si="171"/>
        <v>4</v>
      </c>
      <c r="C511" s="8">
        <f t="shared" si="187"/>
        <v>1</v>
      </c>
      <c r="D511" s="8">
        <f t="shared" si="193"/>
        <v>2</v>
      </c>
      <c r="E511" s="8"/>
      <c r="F511" s="9">
        <f>F510+G510/60/24</f>
        <v>43953.541666666672</v>
      </c>
      <c r="G511" s="8">
        <f t="shared" si="172"/>
        <v>120</v>
      </c>
      <c r="H511" s="8" t="s">
        <v>7</v>
      </c>
      <c r="I511" s="8" t="s">
        <v>7</v>
      </c>
      <c r="J511" s="8">
        <f t="shared" si="170"/>
        <v>7</v>
      </c>
      <c r="K511" s="4">
        <f>HOUR(F511)</f>
        <v>13</v>
      </c>
    </row>
    <row r="512" spans="1:11" ht="15.75" thickBot="1" x14ac:dyDescent="0.3">
      <c r="A512" s="7">
        <f t="shared" si="194"/>
        <v>506</v>
      </c>
      <c r="B512" s="8" t="str">
        <f t="shared" si="171"/>
        <v>4</v>
      </c>
      <c r="C512" s="8">
        <f t="shared" si="187"/>
        <v>1</v>
      </c>
      <c r="D512" s="8">
        <f t="shared" si="193"/>
        <v>2</v>
      </c>
      <c r="E512" s="8"/>
      <c r="F512" s="9">
        <f>F511+G511/60/24</f>
        <v>43953.625000000007</v>
      </c>
      <c r="G512" s="8">
        <f t="shared" si="172"/>
        <v>120</v>
      </c>
      <c r="H512" s="8" t="s">
        <v>7</v>
      </c>
      <c r="I512" s="8" t="s">
        <v>7</v>
      </c>
      <c r="J512" s="8">
        <f t="shared" ref="J512:J527" si="195">WEEKDAY(F512)</f>
        <v>7</v>
      </c>
      <c r="K512" s="4">
        <f>HOUR(F512)</f>
        <v>15</v>
      </c>
    </row>
    <row r="513" spans="1:11" ht="15.75" thickBot="1" x14ac:dyDescent="0.3">
      <c r="A513" s="7">
        <f>A511+1</f>
        <v>506</v>
      </c>
      <c r="B513" s="8" t="str">
        <f t="shared" si="171"/>
        <v>4</v>
      </c>
      <c r="C513" s="8">
        <f t="shared" si="187"/>
        <v>1</v>
      </c>
      <c r="D513" s="8">
        <f t="shared" si="193"/>
        <v>2</v>
      </c>
      <c r="E513" s="8"/>
      <c r="F513" s="9">
        <f>F512+G512/60/24</f>
        <v>43953.708333333343</v>
      </c>
      <c r="G513" s="8">
        <f t="shared" si="172"/>
        <v>120</v>
      </c>
      <c r="H513" s="8" t="s">
        <v>7</v>
      </c>
      <c r="I513" s="8" t="s">
        <v>7</v>
      </c>
      <c r="J513" s="8">
        <f t="shared" si="195"/>
        <v>7</v>
      </c>
      <c r="K513" s="4">
        <f>HOUR(F513)</f>
        <v>17</v>
      </c>
    </row>
    <row r="514" spans="1:11" ht="15.75" thickBot="1" x14ac:dyDescent="0.3">
      <c r="A514" s="10">
        <f>A512+1</f>
        <v>507</v>
      </c>
      <c r="B514" s="11" t="str">
        <f t="shared" ref="B514:B577" si="196">VLOOKUP(H514,field_id,2,FALSE)</f>
        <v>4</v>
      </c>
      <c r="C514" s="11">
        <f t="shared" si="187"/>
        <v>1</v>
      </c>
      <c r="D514" s="11">
        <f t="shared" si="193"/>
        <v>2</v>
      </c>
      <c r="E514" s="11"/>
      <c r="F514" s="9">
        <f>F513+G513/60/24</f>
        <v>43953.791666666679</v>
      </c>
      <c r="G514" s="11">
        <f t="shared" ref="G514:G577" si="197">VLOOKUP(I514,GameDuration,2,FALSE)</f>
        <v>120</v>
      </c>
      <c r="H514" s="11" t="s">
        <v>7</v>
      </c>
      <c r="I514" s="11" t="s">
        <v>7</v>
      </c>
      <c r="J514" s="11">
        <f t="shared" si="195"/>
        <v>7</v>
      </c>
      <c r="K514" s="4">
        <f>HOUR(F514)</f>
        <v>19</v>
      </c>
    </row>
    <row r="515" spans="1:11" ht="15.75" thickBot="1" x14ac:dyDescent="0.3">
      <c r="A515" s="3">
        <f t="shared" si="194"/>
        <v>508</v>
      </c>
      <c r="B515" s="4" t="str">
        <f t="shared" si="196"/>
        <v>3</v>
      </c>
      <c r="C515" s="8">
        <f t="shared" si="187"/>
        <v>2</v>
      </c>
      <c r="D515" s="8" t="str">
        <f t="shared" si="193"/>
        <v>1,3</v>
      </c>
      <c r="E515" s="4"/>
      <c r="F515" s="5">
        <f>F509</f>
        <v>43953.375</v>
      </c>
      <c r="G515" s="4">
        <f t="shared" si="197"/>
        <v>120</v>
      </c>
      <c r="H515" s="4" t="s">
        <v>8</v>
      </c>
      <c r="I515" s="4" t="s">
        <v>8</v>
      </c>
      <c r="J515" s="4">
        <f t="shared" si="195"/>
        <v>7</v>
      </c>
      <c r="K515" s="4">
        <f>HOUR(F515)</f>
        <v>9</v>
      </c>
    </row>
    <row r="516" spans="1:11" ht="15.75" thickBot="1" x14ac:dyDescent="0.3">
      <c r="A516" s="7">
        <f t="shared" si="194"/>
        <v>509</v>
      </c>
      <c r="B516" s="8" t="str">
        <f t="shared" si="196"/>
        <v>3</v>
      </c>
      <c r="C516" s="8">
        <f t="shared" si="187"/>
        <v>2</v>
      </c>
      <c r="D516" s="8" t="str">
        <f t="shared" si="193"/>
        <v>1,3</v>
      </c>
      <c r="E516" s="8"/>
      <c r="F516" s="9">
        <f>F515+G515/60/24</f>
        <v>43953.458333333336</v>
      </c>
      <c r="G516" s="8">
        <f t="shared" si="197"/>
        <v>120</v>
      </c>
      <c r="H516" s="8" t="s">
        <v>8</v>
      </c>
      <c r="I516" s="8" t="s">
        <v>8</v>
      </c>
      <c r="J516" s="8">
        <f t="shared" si="195"/>
        <v>7</v>
      </c>
      <c r="K516" s="4">
        <f>HOUR(F516)</f>
        <v>11</v>
      </c>
    </row>
    <row r="517" spans="1:11" ht="15.75" thickBot="1" x14ac:dyDescent="0.3">
      <c r="A517" s="7">
        <f t="shared" si="194"/>
        <v>510</v>
      </c>
      <c r="B517" s="8" t="str">
        <f t="shared" si="196"/>
        <v>3</v>
      </c>
      <c r="C517" s="8">
        <f t="shared" si="187"/>
        <v>2</v>
      </c>
      <c r="D517" s="8" t="str">
        <f t="shared" si="193"/>
        <v>1,3</v>
      </c>
      <c r="E517" s="8"/>
      <c r="F517" s="9">
        <f t="shared" ref="F517:F520" si="198">F516+G516/60/24</f>
        <v>43953.541666666672</v>
      </c>
      <c r="G517" s="8">
        <f t="shared" si="197"/>
        <v>120</v>
      </c>
      <c r="H517" s="8" t="s">
        <v>8</v>
      </c>
      <c r="I517" s="8" t="s">
        <v>8</v>
      </c>
      <c r="J517" s="8">
        <f t="shared" si="195"/>
        <v>7</v>
      </c>
      <c r="K517" s="4">
        <f>HOUR(F517)</f>
        <v>13</v>
      </c>
    </row>
    <row r="518" spans="1:11" ht="15.75" thickBot="1" x14ac:dyDescent="0.3">
      <c r="A518" s="7">
        <f t="shared" si="194"/>
        <v>511</v>
      </c>
      <c r="B518" s="8" t="str">
        <f t="shared" si="196"/>
        <v>3</v>
      </c>
      <c r="C518" s="8">
        <f t="shared" si="187"/>
        <v>2</v>
      </c>
      <c r="D518" s="8" t="str">
        <f t="shared" si="193"/>
        <v>1,3</v>
      </c>
      <c r="E518" s="8"/>
      <c r="F518" s="9">
        <f t="shared" si="198"/>
        <v>43953.625000000007</v>
      </c>
      <c r="G518" s="8">
        <f t="shared" si="197"/>
        <v>120</v>
      </c>
      <c r="H518" s="8" t="s">
        <v>8</v>
      </c>
      <c r="I518" s="8" t="s">
        <v>8</v>
      </c>
      <c r="J518" s="8">
        <f t="shared" si="195"/>
        <v>7</v>
      </c>
      <c r="K518" s="4">
        <f>HOUR(F518)</f>
        <v>15</v>
      </c>
    </row>
    <row r="519" spans="1:11" ht="15.75" thickBot="1" x14ac:dyDescent="0.3">
      <c r="A519" s="7">
        <f t="shared" si="194"/>
        <v>512</v>
      </c>
      <c r="B519" s="8" t="str">
        <f t="shared" si="196"/>
        <v>3</v>
      </c>
      <c r="C519" s="8">
        <f t="shared" si="187"/>
        <v>2</v>
      </c>
      <c r="D519" s="8" t="str">
        <f t="shared" si="193"/>
        <v>1,3</v>
      </c>
      <c r="E519" s="8"/>
      <c r="F519" s="9">
        <f t="shared" si="198"/>
        <v>43953.708333333343</v>
      </c>
      <c r="G519" s="8">
        <f t="shared" si="197"/>
        <v>120</v>
      </c>
      <c r="H519" s="8" t="s">
        <v>8</v>
      </c>
      <c r="I519" s="8" t="s">
        <v>8</v>
      </c>
      <c r="J519" s="8">
        <f t="shared" si="195"/>
        <v>7</v>
      </c>
      <c r="K519" s="4">
        <f>HOUR(F519)</f>
        <v>17</v>
      </c>
    </row>
    <row r="520" spans="1:11" ht="15.75" thickBot="1" x14ac:dyDescent="0.3">
      <c r="A520" s="7">
        <f t="shared" si="194"/>
        <v>513</v>
      </c>
      <c r="B520" s="8" t="str">
        <f t="shared" si="196"/>
        <v>3</v>
      </c>
      <c r="C520" s="8">
        <f t="shared" si="187"/>
        <v>2</v>
      </c>
      <c r="D520" s="8" t="str">
        <f t="shared" si="193"/>
        <v>1,3</v>
      </c>
      <c r="E520" s="8"/>
      <c r="F520" s="9">
        <f t="shared" si="198"/>
        <v>43953.791666666679</v>
      </c>
      <c r="G520" s="8">
        <f t="shared" si="197"/>
        <v>120</v>
      </c>
      <c r="H520" s="8" t="s">
        <v>8</v>
      </c>
      <c r="I520" s="8" t="s">
        <v>8</v>
      </c>
      <c r="J520" s="8">
        <f t="shared" si="195"/>
        <v>7</v>
      </c>
      <c r="K520" s="4">
        <f>HOUR(F520)</f>
        <v>19</v>
      </c>
    </row>
    <row r="521" spans="1:11" ht="15.75" thickBot="1" x14ac:dyDescent="0.3">
      <c r="A521" s="3">
        <f t="shared" si="194"/>
        <v>514</v>
      </c>
      <c r="B521" s="4" t="str">
        <f t="shared" si="196"/>
        <v>2</v>
      </c>
      <c r="C521" s="4">
        <f t="shared" si="187"/>
        <v>6</v>
      </c>
      <c r="D521" s="4"/>
      <c r="E521" s="4"/>
      <c r="F521" s="5">
        <f>F509</f>
        <v>43953.375</v>
      </c>
      <c r="G521" s="4">
        <f t="shared" si="197"/>
        <v>60</v>
      </c>
      <c r="H521" s="4" t="s">
        <v>9</v>
      </c>
      <c r="I521" s="4" t="s">
        <v>13</v>
      </c>
      <c r="J521" s="4">
        <f t="shared" si="195"/>
        <v>7</v>
      </c>
      <c r="K521" s="4">
        <f>HOUR(F521)</f>
        <v>9</v>
      </c>
    </row>
    <row r="522" spans="1:11" ht="15.75" thickBot="1" x14ac:dyDescent="0.3">
      <c r="A522" s="7">
        <f t="shared" si="194"/>
        <v>515</v>
      </c>
      <c r="B522" s="8" t="str">
        <f t="shared" si="196"/>
        <v>2</v>
      </c>
      <c r="C522" s="8">
        <f t="shared" si="187"/>
        <v>4</v>
      </c>
      <c r="D522" s="8" t="str">
        <f t="shared" si="193"/>
        <v>5,6</v>
      </c>
      <c r="E522" s="8"/>
      <c r="F522" s="9">
        <f>F521+G521/60/24</f>
        <v>43953.416666666664</v>
      </c>
      <c r="G522" s="8">
        <f t="shared" si="197"/>
        <v>105</v>
      </c>
      <c r="H522" s="8" t="s">
        <v>9</v>
      </c>
      <c r="I522" s="8" t="s">
        <v>12</v>
      </c>
      <c r="J522" s="8">
        <f t="shared" si="195"/>
        <v>7</v>
      </c>
      <c r="K522" s="4">
        <f>HOUR(F522)</f>
        <v>10</v>
      </c>
    </row>
    <row r="523" spans="1:11" ht="15.75" thickBot="1" x14ac:dyDescent="0.3">
      <c r="A523" s="7">
        <f t="shared" si="194"/>
        <v>516</v>
      </c>
      <c r="B523" s="8" t="str">
        <f t="shared" si="196"/>
        <v>2</v>
      </c>
      <c r="C523" s="8">
        <f t="shared" si="187"/>
        <v>4</v>
      </c>
      <c r="D523" s="8" t="str">
        <f t="shared" si="193"/>
        <v>5,6</v>
      </c>
      <c r="E523" s="8"/>
      <c r="F523" s="9">
        <f t="shared" ref="F523:F527" si="199">F522+G522/60/24</f>
        <v>43953.489583333328</v>
      </c>
      <c r="G523" s="8">
        <f t="shared" si="197"/>
        <v>105</v>
      </c>
      <c r="H523" s="8" t="s">
        <v>9</v>
      </c>
      <c r="I523" s="8" t="s">
        <v>12</v>
      </c>
      <c r="J523" s="8">
        <f t="shared" si="195"/>
        <v>7</v>
      </c>
      <c r="K523" s="4">
        <f>HOUR(F523)</f>
        <v>11</v>
      </c>
    </row>
    <row r="524" spans="1:11" ht="15.75" thickBot="1" x14ac:dyDescent="0.3">
      <c r="A524" s="7">
        <f t="shared" si="194"/>
        <v>517</v>
      </c>
      <c r="B524" s="8" t="str">
        <f t="shared" si="196"/>
        <v>2</v>
      </c>
      <c r="C524" s="8">
        <f t="shared" si="187"/>
        <v>4</v>
      </c>
      <c r="D524" s="8" t="str">
        <f t="shared" si="193"/>
        <v>5,6</v>
      </c>
      <c r="E524" s="8"/>
      <c r="F524" s="9">
        <f t="shared" si="199"/>
        <v>43953.562499999993</v>
      </c>
      <c r="G524" s="8">
        <f t="shared" si="197"/>
        <v>105</v>
      </c>
      <c r="H524" s="8" t="s">
        <v>9</v>
      </c>
      <c r="I524" s="8" t="s">
        <v>12</v>
      </c>
      <c r="J524" s="8">
        <f t="shared" si="195"/>
        <v>7</v>
      </c>
      <c r="K524" s="4">
        <f>HOUR(F524)</f>
        <v>13</v>
      </c>
    </row>
    <row r="525" spans="1:11" ht="15.75" thickBot="1" x14ac:dyDescent="0.3">
      <c r="A525" s="7">
        <f t="shared" si="194"/>
        <v>518</v>
      </c>
      <c r="B525" s="8" t="str">
        <f t="shared" si="196"/>
        <v>2</v>
      </c>
      <c r="C525" s="8">
        <f t="shared" si="187"/>
        <v>4</v>
      </c>
      <c r="D525" s="8" t="str">
        <f t="shared" si="193"/>
        <v>5,6</v>
      </c>
      <c r="E525" s="8"/>
      <c r="F525" s="9">
        <f t="shared" si="199"/>
        <v>43953.635416666657</v>
      </c>
      <c r="G525" s="8">
        <f t="shared" si="197"/>
        <v>105</v>
      </c>
      <c r="H525" s="8" t="s">
        <v>9</v>
      </c>
      <c r="I525" s="8" t="s">
        <v>12</v>
      </c>
      <c r="J525" s="8">
        <f t="shared" si="195"/>
        <v>7</v>
      </c>
      <c r="K525" s="4">
        <f>HOUR(F525)</f>
        <v>15</v>
      </c>
    </row>
    <row r="526" spans="1:11" ht="15.75" thickBot="1" x14ac:dyDescent="0.3">
      <c r="A526" s="7">
        <f t="shared" si="194"/>
        <v>519</v>
      </c>
      <c r="B526" s="8" t="str">
        <f t="shared" si="196"/>
        <v>2</v>
      </c>
      <c r="C526" s="8">
        <f t="shared" si="187"/>
        <v>4</v>
      </c>
      <c r="D526" s="8" t="str">
        <f t="shared" si="193"/>
        <v>5,6</v>
      </c>
      <c r="E526" s="8"/>
      <c r="F526" s="9">
        <f t="shared" si="199"/>
        <v>43953.708333333321</v>
      </c>
      <c r="G526" s="8">
        <f t="shared" si="197"/>
        <v>105</v>
      </c>
      <c r="H526" s="8" t="s">
        <v>9</v>
      </c>
      <c r="I526" s="8" t="s">
        <v>12</v>
      </c>
      <c r="J526" s="8">
        <f t="shared" si="195"/>
        <v>7</v>
      </c>
      <c r="K526" s="4">
        <f>HOUR(F526)</f>
        <v>17</v>
      </c>
    </row>
    <row r="527" spans="1:11" ht="15.75" thickBot="1" x14ac:dyDescent="0.3">
      <c r="A527" s="7">
        <f t="shared" si="194"/>
        <v>520</v>
      </c>
      <c r="B527" s="8" t="str">
        <f t="shared" si="196"/>
        <v>2</v>
      </c>
      <c r="C527" s="8">
        <f t="shared" si="187"/>
        <v>4</v>
      </c>
      <c r="D527" s="8"/>
      <c r="E527" s="8"/>
      <c r="F527" s="9">
        <f t="shared" si="199"/>
        <v>43953.781249999985</v>
      </c>
      <c r="G527" s="8">
        <f t="shared" si="197"/>
        <v>105</v>
      </c>
      <c r="H527" s="8" t="s">
        <v>9</v>
      </c>
      <c r="I527" s="8" t="s">
        <v>12</v>
      </c>
      <c r="J527" s="8">
        <f t="shared" si="195"/>
        <v>7</v>
      </c>
      <c r="K527" s="4">
        <f>HOUR(F527)</f>
        <v>18</v>
      </c>
    </row>
    <row r="528" spans="1:11" ht="15.75" thickBot="1" x14ac:dyDescent="0.3">
      <c r="A528" s="3">
        <f t="shared" si="194"/>
        <v>521</v>
      </c>
      <c r="B528" s="4" t="str">
        <f t="shared" si="196"/>
        <v>1</v>
      </c>
      <c r="C528" s="4">
        <v>6</v>
      </c>
      <c r="D528" s="4"/>
      <c r="E528" s="4"/>
      <c r="F528" s="5">
        <f>F509</f>
        <v>43953.375</v>
      </c>
      <c r="G528" s="4">
        <f t="shared" si="197"/>
        <v>60</v>
      </c>
      <c r="H528" s="4" t="s">
        <v>15</v>
      </c>
      <c r="I528" s="4" t="s">
        <v>14</v>
      </c>
      <c r="J528" s="4">
        <f>WEEKDAY(F528)</f>
        <v>7</v>
      </c>
      <c r="K528" s="4">
        <f>HOUR(F528)</f>
        <v>9</v>
      </c>
    </row>
    <row r="529" spans="1:11" ht="15.75" thickBot="1" x14ac:dyDescent="0.3">
      <c r="A529" s="7">
        <f t="shared" si="194"/>
        <v>522</v>
      </c>
      <c r="B529" s="8" t="str">
        <f t="shared" si="196"/>
        <v>1</v>
      </c>
      <c r="C529" s="8">
        <f t="shared" si="187"/>
        <v>6</v>
      </c>
      <c r="D529" s="8"/>
      <c r="E529" s="8"/>
      <c r="F529" s="9">
        <f>F528+G528/60/24</f>
        <v>43953.416666666664</v>
      </c>
      <c r="G529" s="8">
        <f t="shared" si="197"/>
        <v>60</v>
      </c>
      <c r="H529" s="8" t="s">
        <v>15</v>
      </c>
      <c r="I529" s="8" t="s">
        <v>13</v>
      </c>
      <c r="J529" s="8">
        <f>WEEKDAY(F529)</f>
        <v>7</v>
      </c>
      <c r="K529" s="4">
        <f>HOUR(F529)</f>
        <v>10</v>
      </c>
    </row>
    <row r="530" spans="1:11" ht="15.75" thickBot="1" x14ac:dyDescent="0.3">
      <c r="A530" s="7">
        <f t="shared" si="194"/>
        <v>523</v>
      </c>
      <c r="B530" s="8" t="str">
        <f t="shared" si="196"/>
        <v>1</v>
      </c>
      <c r="C530" s="8">
        <f t="shared" si="187"/>
        <v>5</v>
      </c>
      <c r="D530" s="8"/>
      <c r="E530" s="8"/>
      <c r="F530" s="9">
        <f t="shared" ref="F530:F534" si="200">F529+G529/60/24</f>
        <v>43953.458333333328</v>
      </c>
      <c r="G530" s="8">
        <f t="shared" si="197"/>
        <v>90</v>
      </c>
      <c r="H530" s="8" t="s">
        <v>15</v>
      </c>
      <c r="I530" s="8" t="s">
        <v>10</v>
      </c>
      <c r="J530" s="8">
        <f>WEEKDAY(F530)</f>
        <v>7</v>
      </c>
      <c r="K530" s="4">
        <f>HOUR(F530)</f>
        <v>11</v>
      </c>
    </row>
    <row r="531" spans="1:11" ht="15.75" thickBot="1" x14ac:dyDescent="0.3">
      <c r="A531" s="7">
        <f t="shared" si="194"/>
        <v>524</v>
      </c>
      <c r="B531" s="8" t="str">
        <f t="shared" si="196"/>
        <v>1</v>
      </c>
      <c r="C531" s="8">
        <f t="shared" si="187"/>
        <v>5</v>
      </c>
      <c r="D531" s="8"/>
      <c r="E531" s="8"/>
      <c r="F531" s="9">
        <f t="shared" si="200"/>
        <v>43953.520833333328</v>
      </c>
      <c r="G531" s="8">
        <f t="shared" si="197"/>
        <v>90</v>
      </c>
      <c r="H531" s="8" t="s">
        <v>15</v>
      </c>
      <c r="I531" s="8" t="s">
        <v>10</v>
      </c>
      <c r="J531" s="8">
        <f>WEEKDAY(F531)</f>
        <v>7</v>
      </c>
      <c r="K531" s="4">
        <f>HOUR(F531)</f>
        <v>12</v>
      </c>
    </row>
    <row r="532" spans="1:11" ht="15.75" thickBot="1" x14ac:dyDescent="0.3">
      <c r="A532" s="7">
        <f t="shared" si="194"/>
        <v>525</v>
      </c>
      <c r="B532" s="8" t="str">
        <f t="shared" si="196"/>
        <v>1</v>
      </c>
      <c r="C532" s="8">
        <f t="shared" si="187"/>
        <v>5</v>
      </c>
      <c r="D532" s="8"/>
      <c r="E532" s="8"/>
      <c r="F532" s="9">
        <f t="shared" si="200"/>
        <v>43953.583333333328</v>
      </c>
      <c r="G532" s="8">
        <f t="shared" si="197"/>
        <v>90</v>
      </c>
      <c r="H532" s="8" t="s">
        <v>15</v>
      </c>
      <c r="I532" s="8" t="s">
        <v>10</v>
      </c>
      <c r="J532" s="8">
        <f t="shared" ref="J532:J534" si="201">WEEKDAY(F532)</f>
        <v>7</v>
      </c>
      <c r="K532" s="4">
        <f>HOUR(F532)</f>
        <v>14</v>
      </c>
    </row>
    <row r="533" spans="1:11" ht="15.75" thickBot="1" x14ac:dyDescent="0.3">
      <c r="A533" s="7">
        <f t="shared" si="194"/>
        <v>526</v>
      </c>
      <c r="B533" s="8" t="str">
        <f t="shared" si="196"/>
        <v>1</v>
      </c>
      <c r="C533" s="8">
        <f t="shared" si="187"/>
        <v>5</v>
      </c>
      <c r="D533" s="8"/>
      <c r="E533" s="8"/>
      <c r="F533" s="9">
        <f t="shared" si="200"/>
        <v>43953.645833333328</v>
      </c>
      <c r="G533" s="8">
        <f t="shared" si="197"/>
        <v>90</v>
      </c>
      <c r="H533" s="8" t="s">
        <v>15</v>
      </c>
      <c r="I533" s="8" t="s">
        <v>10</v>
      </c>
      <c r="J533" s="8">
        <f t="shared" si="201"/>
        <v>7</v>
      </c>
      <c r="K533" s="4">
        <f>HOUR(F533)</f>
        <v>15</v>
      </c>
    </row>
    <row r="534" spans="1:11" ht="15.75" thickBot="1" x14ac:dyDescent="0.3">
      <c r="A534" s="10">
        <f t="shared" si="194"/>
        <v>527</v>
      </c>
      <c r="B534" s="11" t="str">
        <f t="shared" si="196"/>
        <v>1</v>
      </c>
      <c r="C534" s="11">
        <f t="shared" si="187"/>
        <v>5</v>
      </c>
      <c r="D534" s="11"/>
      <c r="E534" s="11"/>
      <c r="F534" s="9">
        <f t="shared" si="200"/>
        <v>43953.708333333328</v>
      </c>
      <c r="G534" s="11">
        <f t="shared" si="197"/>
        <v>90</v>
      </c>
      <c r="H534" s="11" t="s">
        <v>15</v>
      </c>
      <c r="I534" s="11" t="s">
        <v>10</v>
      </c>
      <c r="J534" s="11">
        <f t="shared" si="201"/>
        <v>7</v>
      </c>
      <c r="K534" s="4">
        <f>HOUR(F534)</f>
        <v>17</v>
      </c>
    </row>
    <row r="535" spans="1:11" ht="15.75" thickBot="1" x14ac:dyDescent="0.3">
      <c r="A535" s="3">
        <f t="shared" si="194"/>
        <v>528</v>
      </c>
      <c r="B535" s="4" t="str">
        <f t="shared" si="196"/>
        <v>5</v>
      </c>
      <c r="C535" s="4">
        <f t="shared" si="187"/>
        <v>6</v>
      </c>
      <c r="D535" s="4"/>
      <c r="E535" s="4"/>
      <c r="F535" s="5">
        <f>F509</f>
        <v>43953.375</v>
      </c>
      <c r="G535" s="4">
        <f t="shared" si="197"/>
        <v>60</v>
      </c>
      <c r="H535" s="4" t="s">
        <v>16</v>
      </c>
      <c r="I535" s="4" t="s">
        <v>13</v>
      </c>
      <c r="J535" s="4">
        <f>WEEKDAY(F535)</f>
        <v>7</v>
      </c>
      <c r="K535" s="4">
        <f>HOUR(F535)</f>
        <v>9</v>
      </c>
    </row>
    <row r="536" spans="1:11" ht="15.75" thickBot="1" x14ac:dyDescent="0.3">
      <c r="A536" s="7">
        <f t="shared" si="194"/>
        <v>529</v>
      </c>
      <c r="B536" s="8" t="str">
        <f t="shared" si="196"/>
        <v>5</v>
      </c>
      <c r="C536" s="8">
        <f t="shared" si="187"/>
        <v>5</v>
      </c>
      <c r="D536" s="8">
        <v>6</v>
      </c>
      <c r="E536" s="8"/>
      <c r="F536" s="9">
        <f>F535+G535/60/24</f>
        <v>43953.416666666664</v>
      </c>
      <c r="G536" s="8">
        <f t="shared" si="197"/>
        <v>90</v>
      </c>
      <c r="H536" s="8" t="s">
        <v>16</v>
      </c>
      <c r="I536" s="8" t="s">
        <v>10</v>
      </c>
      <c r="J536" s="8">
        <f>WEEKDAY(F536)</f>
        <v>7</v>
      </c>
      <c r="K536" s="4">
        <f>HOUR(F536)</f>
        <v>10</v>
      </c>
    </row>
    <row r="537" spans="1:11" ht="15.75" thickBot="1" x14ac:dyDescent="0.3">
      <c r="A537" s="7">
        <f t="shared" si="194"/>
        <v>530</v>
      </c>
      <c r="B537" s="8" t="str">
        <f t="shared" si="196"/>
        <v>5</v>
      </c>
      <c r="C537" s="8">
        <f t="shared" si="187"/>
        <v>4</v>
      </c>
      <c r="D537" s="8">
        <f t="shared" ref="D537:D540" si="202">VLOOKUP(H537,slot_compat,3,FALSE)</f>
        <v>5</v>
      </c>
      <c r="E537" s="8"/>
      <c r="F537" s="9">
        <f t="shared" ref="F537:F541" si="203">F536+G536/60/24</f>
        <v>43953.479166666664</v>
      </c>
      <c r="G537" s="8">
        <f t="shared" si="197"/>
        <v>105</v>
      </c>
      <c r="H537" s="8" t="s">
        <v>16</v>
      </c>
      <c r="I537" s="8" t="s">
        <v>12</v>
      </c>
      <c r="J537" s="8">
        <f>WEEKDAY(F537)</f>
        <v>7</v>
      </c>
      <c r="K537" s="4">
        <f>HOUR(F537)</f>
        <v>11</v>
      </c>
    </row>
    <row r="538" spans="1:11" ht="15.75" thickBot="1" x14ac:dyDescent="0.3">
      <c r="A538" s="7">
        <f t="shared" si="194"/>
        <v>531</v>
      </c>
      <c r="B538" s="8" t="str">
        <f t="shared" si="196"/>
        <v>5</v>
      </c>
      <c r="C538" s="8">
        <f t="shared" si="187"/>
        <v>4</v>
      </c>
      <c r="D538" s="8">
        <f t="shared" si="202"/>
        <v>5</v>
      </c>
      <c r="E538" s="8"/>
      <c r="F538" s="9">
        <f t="shared" si="203"/>
        <v>43953.552083333328</v>
      </c>
      <c r="G538" s="8">
        <f t="shared" si="197"/>
        <v>105</v>
      </c>
      <c r="H538" s="8" t="s">
        <v>16</v>
      </c>
      <c r="I538" s="8" t="s">
        <v>12</v>
      </c>
      <c r="J538" s="8">
        <f>WEEKDAY(F538)</f>
        <v>7</v>
      </c>
      <c r="K538" s="4">
        <f>HOUR(F538)</f>
        <v>13</v>
      </c>
    </row>
    <row r="539" spans="1:11" ht="15.75" thickBot="1" x14ac:dyDescent="0.3">
      <c r="A539" s="7">
        <f t="shared" si="194"/>
        <v>532</v>
      </c>
      <c r="B539" s="8" t="str">
        <f t="shared" si="196"/>
        <v>5</v>
      </c>
      <c r="C539" s="8">
        <f t="shared" si="187"/>
        <v>4</v>
      </c>
      <c r="D539" s="8">
        <f t="shared" si="202"/>
        <v>5</v>
      </c>
      <c r="E539" s="8"/>
      <c r="F539" s="9">
        <f t="shared" si="203"/>
        <v>43953.624999999993</v>
      </c>
      <c r="G539" s="8">
        <f t="shared" si="197"/>
        <v>105</v>
      </c>
      <c r="H539" s="8" t="s">
        <v>16</v>
      </c>
      <c r="I539" s="8" t="s">
        <v>12</v>
      </c>
      <c r="J539" s="8">
        <f t="shared" ref="J539:J602" si="204">WEEKDAY(F539)</f>
        <v>7</v>
      </c>
      <c r="K539" s="4">
        <f>HOUR(F539)</f>
        <v>15</v>
      </c>
    </row>
    <row r="540" spans="1:11" ht="15.75" thickBot="1" x14ac:dyDescent="0.3">
      <c r="A540" s="7">
        <f t="shared" si="194"/>
        <v>533</v>
      </c>
      <c r="B540" s="8" t="str">
        <f t="shared" si="196"/>
        <v>5</v>
      </c>
      <c r="C540" s="8">
        <f t="shared" si="187"/>
        <v>4</v>
      </c>
      <c r="D540" s="8">
        <f t="shared" si="202"/>
        <v>5</v>
      </c>
      <c r="E540" s="8"/>
      <c r="F540" s="9">
        <f t="shared" si="203"/>
        <v>43953.697916666657</v>
      </c>
      <c r="G540" s="8">
        <f t="shared" si="197"/>
        <v>105</v>
      </c>
      <c r="H540" s="8" t="s">
        <v>16</v>
      </c>
      <c r="I540" s="8" t="s">
        <v>12</v>
      </c>
      <c r="J540" s="8">
        <f t="shared" si="204"/>
        <v>7</v>
      </c>
      <c r="K540" s="4">
        <f>HOUR(F540)</f>
        <v>16</v>
      </c>
    </row>
    <row r="541" spans="1:11" ht="15.75" thickBot="1" x14ac:dyDescent="0.3">
      <c r="A541" s="7">
        <f t="shared" si="194"/>
        <v>534</v>
      </c>
      <c r="B541" s="8" t="str">
        <f t="shared" si="196"/>
        <v>5</v>
      </c>
      <c r="C541" s="8">
        <f t="shared" si="187"/>
        <v>4</v>
      </c>
      <c r="D541" s="8"/>
      <c r="E541" s="8"/>
      <c r="F541" s="9">
        <f t="shared" si="203"/>
        <v>43953.770833333321</v>
      </c>
      <c r="G541" s="8">
        <f t="shared" si="197"/>
        <v>105</v>
      </c>
      <c r="H541" s="8" t="s">
        <v>16</v>
      </c>
      <c r="I541" s="8" t="s">
        <v>12</v>
      </c>
      <c r="J541" s="8">
        <f t="shared" si="204"/>
        <v>7</v>
      </c>
      <c r="K541" s="4">
        <f>HOUR(F541)</f>
        <v>18</v>
      </c>
    </row>
    <row r="542" spans="1:11" ht="15.75" thickBot="1" x14ac:dyDescent="0.3">
      <c r="A542" s="3">
        <f t="shared" si="194"/>
        <v>535</v>
      </c>
      <c r="B542" s="4" t="str">
        <f t="shared" si="196"/>
        <v>6</v>
      </c>
      <c r="C542" s="4">
        <f t="shared" si="187"/>
        <v>4</v>
      </c>
      <c r="D542" s="4">
        <v>5</v>
      </c>
      <c r="E542" s="4"/>
      <c r="F542" s="5">
        <f>F509</f>
        <v>43953.375</v>
      </c>
      <c r="G542" s="4">
        <f t="shared" si="197"/>
        <v>105</v>
      </c>
      <c r="H542" s="4" t="s">
        <v>17</v>
      </c>
      <c r="I542" s="4" t="s">
        <v>12</v>
      </c>
      <c r="J542" s="4">
        <f t="shared" si="204"/>
        <v>7</v>
      </c>
      <c r="K542" s="4">
        <f>HOUR(F542)</f>
        <v>9</v>
      </c>
    </row>
    <row r="543" spans="1:11" ht="15.75" thickBot="1" x14ac:dyDescent="0.3">
      <c r="A543" s="7">
        <f t="shared" si="194"/>
        <v>536</v>
      </c>
      <c r="B543" s="8" t="str">
        <f t="shared" si="196"/>
        <v>6</v>
      </c>
      <c r="C543" s="8">
        <f t="shared" si="187"/>
        <v>3</v>
      </c>
      <c r="D543" s="8" t="s">
        <v>55</v>
      </c>
      <c r="E543" s="8"/>
      <c r="F543" s="9">
        <f>F542+G542/60/24</f>
        <v>43953.447916666664</v>
      </c>
      <c r="G543" s="8">
        <f t="shared" si="197"/>
        <v>105</v>
      </c>
      <c r="H543" s="8" t="s">
        <v>17</v>
      </c>
      <c r="I543" s="8" t="s">
        <v>11</v>
      </c>
      <c r="J543" s="8">
        <f t="shared" si="204"/>
        <v>7</v>
      </c>
      <c r="K543" s="4">
        <f>HOUR(F543)</f>
        <v>10</v>
      </c>
    </row>
    <row r="544" spans="1:11" ht="15.75" thickBot="1" x14ac:dyDescent="0.3">
      <c r="A544" s="7">
        <f t="shared" si="194"/>
        <v>537</v>
      </c>
      <c r="B544" s="8" t="str">
        <f t="shared" si="196"/>
        <v>6</v>
      </c>
      <c r="C544" s="8">
        <f t="shared" si="187"/>
        <v>3</v>
      </c>
      <c r="D544" s="8" t="s">
        <v>55</v>
      </c>
      <c r="E544" s="8"/>
      <c r="F544" s="9">
        <f t="shared" ref="F544:F547" si="205">F543+G543/60/24</f>
        <v>43953.520833333328</v>
      </c>
      <c r="G544" s="8">
        <f t="shared" si="197"/>
        <v>105</v>
      </c>
      <c r="H544" s="8" t="s">
        <v>17</v>
      </c>
      <c r="I544" s="8" t="s">
        <v>11</v>
      </c>
      <c r="J544" s="8">
        <f t="shared" si="204"/>
        <v>7</v>
      </c>
      <c r="K544" s="4">
        <f>HOUR(F544)</f>
        <v>12</v>
      </c>
    </row>
    <row r="545" spans="1:11" ht="15.75" thickBot="1" x14ac:dyDescent="0.3">
      <c r="A545" s="7">
        <f t="shared" si="194"/>
        <v>538</v>
      </c>
      <c r="B545" s="8" t="str">
        <f t="shared" si="196"/>
        <v>6</v>
      </c>
      <c r="C545" s="8">
        <f t="shared" si="187"/>
        <v>3</v>
      </c>
      <c r="D545" s="8" t="s">
        <v>55</v>
      </c>
      <c r="E545" s="8"/>
      <c r="F545" s="9">
        <f t="shared" si="205"/>
        <v>43953.593749999993</v>
      </c>
      <c r="G545" s="8">
        <f t="shared" si="197"/>
        <v>105</v>
      </c>
      <c r="H545" s="8" t="s">
        <v>17</v>
      </c>
      <c r="I545" s="8" t="s">
        <v>11</v>
      </c>
      <c r="J545" s="8">
        <f t="shared" si="204"/>
        <v>7</v>
      </c>
      <c r="K545" s="4">
        <f>HOUR(F545)</f>
        <v>14</v>
      </c>
    </row>
    <row r="546" spans="1:11" ht="15.75" thickBot="1" x14ac:dyDescent="0.3">
      <c r="A546" s="7">
        <f t="shared" si="194"/>
        <v>539</v>
      </c>
      <c r="B546" s="8" t="str">
        <f t="shared" si="196"/>
        <v>6</v>
      </c>
      <c r="C546" s="8">
        <f t="shared" si="187"/>
        <v>3</v>
      </c>
      <c r="D546" s="8" t="s">
        <v>55</v>
      </c>
      <c r="E546" s="8"/>
      <c r="F546" s="9">
        <f t="shared" si="205"/>
        <v>43953.666666666657</v>
      </c>
      <c r="G546" s="8">
        <f t="shared" si="197"/>
        <v>105</v>
      </c>
      <c r="H546" s="8" t="s">
        <v>17</v>
      </c>
      <c r="I546" s="8" t="s">
        <v>11</v>
      </c>
      <c r="J546" s="8">
        <f t="shared" si="204"/>
        <v>7</v>
      </c>
      <c r="K546" s="4">
        <f>HOUR(F546)</f>
        <v>16</v>
      </c>
    </row>
    <row r="547" spans="1:11" ht="15.75" thickBot="1" x14ac:dyDescent="0.3">
      <c r="A547" s="7">
        <f t="shared" si="194"/>
        <v>540</v>
      </c>
      <c r="B547" s="8" t="str">
        <f t="shared" si="196"/>
        <v>6</v>
      </c>
      <c r="C547" s="8">
        <v>2</v>
      </c>
      <c r="D547" s="14" t="s">
        <v>61</v>
      </c>
      <c r="E547" s="8"/>
      <c r="F547" s="9">
        <f t="shared" si="205"/>
        <v>43953.739583333321</v>
      </c>
      <c r="G547" s="8">
        <f t="shared" si="197"/>
        <v>105</v>
      </c>
      <c r="H547" s="8" t="s">
        <v>17</v>
      </c>
      <c r="I547" s="8" t="s">
        <v>11</v>
      </c>
      <c r="J547" s="8">
        <f t="shared" si="204"/>
        <v>7</v>
      </c>
      <c r="K547" s="4">
        <f>HOUR(F547)</f>
        <v>17</v>
      </c>
    </row>
    <row r="548" spans="1:11" ht="15.75" thickBot="1" x14ac:dyDescent="0.3">
      <c r="A548" s="3">
        <f t="shared" si="194"/>
        <v>541</v>
      </c>
      <c r="B548" s="4" t="str">
        <f t="shared" si="196"/>
        <v>7</v>
      </c>
      <c r="C548" s="4">
        <f t="shared" si="187"/>
        <v>6</v>
      </c>
      <c r="D548" s="4"/>
      <c r="E548" s="4"/>
      <c r="F548" s="5">
        <f>F509</f>
        <v>43953.375</v>
      </c>
      <c r="G548" s="4">
        <f t="shared" si="197"/>
        <v>60</v>
      </c>
      <c r="H548" s="4" t="s">
        <v>18</v>
      </c>
      <c r="I548" s="4" t="s">
        <v>13</v>
      </c>
      <c r="J548" s="4">
        <f t="shared" si="204"/>
        <v>7</v>
      </c>
      <c r="K548" s="4">
        <f>HOUR(F548)</f>
        <v>9</v>
      </c>
    </row>
    <row r="549" spans="1:11" ht="15.75" thickBot="1" x14ac:dyDescent="0.3">
      <c r="A549" s="7">
        <f t="shared" si="194"/>
        <v>542</v>
      </c>
      <c r="B549" s="8" t="str">
        <f t="shared" si="196"/>
        <v>7</v>
      </c>
      <c r="C549" s="8">
        <f t="shared" si="187"/>
        <v>3</v>
      </c>
      <c r="D549" s="8" t="s">
        <v>55</v>
      </c>
      <c r="E549" s="8"/>
      <c r="F549" s="9">
        <f>F548+G548/60/24</f>
        <v>43953.416666666664</v>
      </c>
      <c r="G549" s="8">
        <f t="shared" si="197"/>
        <v>105</v>
      </c>
      <c r="H549" s="8" t="s">
        <v>18</v>
      </c>
      <c r="I549" s="8" t="s">
        <v>11</v>
      </c>
      <c r="J549" s="8">
        <f t="shared" si="204"/>
        <v>7</v>
      </c>
      <c r="K549" s="4">
        <f>HOUR(F549)</f>
        <v>10</v>
      </c>
    </row>
    <row r="550" spans="1:11" ht="15.75" thickBot="1" x14ac:dyDescent="0.3">
      <c r="A550" s="7">
        <f t="shared" si="194"/>
        <v>543</v>
      </c>
      <c r="B550" s="8" t="str">
        <f t="shared" si="196"/>
        <v>7</v>
      </c>
      <c r="C550" s="8">
        <f t="shared" si="187"/>
        <v>3</v>
      </c>
      <c r="D550" s="8" t="s">
        <v>55</v>
      </c>
      <c r="E550" s="8"/>
      <c r="F550" s="9">
        <f t="shared" ref="F550:F553" si="206">F549+G549/60/24</f>
        <v>43953.489583333328</v>
      </c>
      <c r="G550" s="8">
        <f t="shared" si="197"/>
        <v>105</v>
      </c>
      <c r="H550" s="8" t="s">
        <v>18</v>
      </c>
      <c r="I550" s="8" t="s">
        <v>11</v>
      </c>
      <c r="J550" s="8">
        <f t="shared" si="204"/>
        <v>7</v>
      </c>
      <c r="K550" s="4">
        <f>HOUR(F550)</f>
        <v>11</v>
      </c>
    </row>
    <row r="551" spans="1:11" ht="15.75" thickBot="1" x14ac:dyDescent="0.3">
      <c r="A551" s="7">
        <f t="shared" si="194"/>
        <v>544</v>
      </c>
      <c r="B551" s="8" t="str">
        <f t="shared" si="196"/>
        <v>7</v>
      </c>
      <c r="C551" s="8">
        <f t="shared" si="187"/>
        <v>2</v>
      </c>
      <c r="D551" s="8" t="s">
        <v>56</v>
      </c>
      <c r="E551" s="8"/>
      <c r="F551" s="9">
        <f t="shared" si="206"/>
        <v>43953.562499999993</v>
      </c>
      <c r="G551" s="8">
        <f t="shared" si="197"/>
        <v>120</v>
      </c>
      <c r="H551" s="8" t="s">
        <v>18</v>
      </c>
      <c r="I551" s="8" t="s">
        <v>8</v>
      </c>
      <c r="J551" s="8">
        <f t="shared" si="204"/>
        <v>7</v>
      </c>
      <c r="K551" s="4">
        <f>HOUR(F551)</f>
        <v>13</v>
      </c>
    </row>
    <row r="552" spans="1:11" ht="15.75" thickBot="1" x14ac:dyDescent="0.3">
      <c r="A552" s="7">
        <f t="shared" si="194"/>
        <v>545</v>
      </c>
      <c r="B552" s="8" t="str">
        <f t="shared" si="196"/>
        <v>7</v>
      </c>
      <c r="C552" s="8">
        <f t="shared" ref="C552:C559" si="207">VLOOKUP(I552,league_id,2,FALSE)</f>
        <v>2</v>
      </c>
      <c r="D552" s="8" t="s">
        <v>56</v>
      </c>
      <c r="E552" s="8"/>
      <c r="F552" s="9">
        <f t="shared" si="206"/>
        <v>43953.645833333328</v>
      </c>
      <c r="G552" s="8">
        <f t="shared" si="197"/>
        <v>120</v>
      </c>
      <c r="H552" s="8" t="s">
        <v>18</v>
      </c>
      <c r="I552" s="8" t="s">
        <v>8</v>
      </c>
      <c r="J552" s="8">
        <f t="shared" si="204"/>
        <v>7</v>
      </c>
      <c r="K552" s="4">
        <f>HOUR(F552)</f>
        <v>15</v>
      </c>
    </row>
    <row r="553" spans="1:11" ht="15.75" thickBot="1" x14ac:dyDescent="0.3">
      <c r="A553" s="7">
        <f t="shared" si="194"/>
        <v>546</v>
      </c>
      <c r="B553" s="8" t="str">
        <f t="shared" si="196"/>
        <v>7</v>
      </c>
      <c r="C553" s="8">
        <f t="shared" si="207"/>
        <v>2</v>
      </c>
      <c r="D553" s="8" t="s">
        <v>61</v>
      </c>
      <c r="E553" s="8"/>
      <c r="F553" s="9">
        <f t="shared" si="206"/>
        <v>43953.729166666664</v>
      </c>
      <c r="G553" s="8">
        <f t="shared" si="197"/>
        <v>120</v>
      </c>
      <c r="H553" s="8" t="s">
        <v>18</v>
      </c>
      <c r="I553" s="8" t="s">
        <v>8</v>
      </c>
      <c r="J553" s="8">
        <f t="shared" si="204"/>
        <v>7</v>
      </c>
      <c r="K553" s="4">
        <f>HOUR(F553)</f>
        <v>17</v>
      </c>
    </row>
    <row r="554" spans="1:11" ht="15.75" thickBot="1" x14ac:dyDescent="0.3">
      <c r="A554" s="3">
        <f t="shared" si="194"/>
        <v>547</v>
      </c>
      <c r="B554" s="4" t="str">
        <f t="shared" si="196"/>
        <v>8</v>
      </c>
      <c r="C554" s="4">
        <f t="shared" si="207"/>
        <v>5</v>
      </c>
      <c r="D554" s="4"/>
      <c r="E554" s="4"/>
      <c r="F554" s="5">
        <f>F509</f>
        <v>43953.375</v>
      </c>
      <c r="G554" s="4">
        <f t="shared" si="197"/>
        <v>90</v>
      </c>
      <c r="H554" s="4" t="s">
        <v>19</v>
      </c>
      <c r="I554" s="4" t="s">
        <v>10</v>
      </c>
      <c r="J554" s="4">
        <f t="shared" si="204"/>
        <v>7</v>
      </c>
      <c r="K554" s="4">
        <f>HOUR(F554)</f>
        <v>9</v>
      </c>
    </row>
    <row r="555" spans="1:11" ht="15.75" thickBot="1" x14ac:dyDescent="0.3">
      <c r="A555" s="7">
        <f t="shared" si="194"/>
        <v>548</v>
      </c>
      <c r="B555" s="8" t="str">
        <f t="shared" si="196"/>
        <v>8</v>
      </c>
      <c r="C555" s="8">
        <f t="shared" si="207"/>
        <v>5</v>
      </c>
      <c r="D555" s="8"/>
      <c r="E555" s="8"/>
      <c r="F555" s="9">
        <f>F554+G554/60/24</f>
        <v>43953.4375</v>
      </c>
      <c r="G555" s="8">
        <f t="shared" si="197"/>
        <v>90</v>
      </c>
      <c r="H555" s="8" t="s">
        <v>19</v>
      </c>
      <c r="I555" s="8" t="s">
        <v>10</v>
      </c>
      <c r="J555" s="8">
        <f t="shared" si="204"/>
        <v>7</v>
      </c>
      <c r="K555" s="4">
        <f>HOUR(F555)</f>
        <v>10</v>
      </c>
    </row>
    <row r="556" spans="1:11" ht="15.75" thickBot="1" x14ac:dyDescent="0.3">
      <c r="A556" s="7">
        <f t="shared" si="194"/>
        <v>549</v>
      </c>
      <c r="B556" s="8" t="str">
        <f t="shared" si="196"/>
        <v>8</v>
      </c>
      <c r="C556" s="8">
        <f t="shared" si="207"/>
        <v>3</v>
      </c>
      <c r="D556" s="8" t="s">
        <v>55</v>
      </c>
      <c r="E556" s="8"/>
      <c r="F556" s="9">
        <f t="shared" ref="F556:F559" si="208">F555+G555/60/24</f>
        <v>43953.5</v>
      </c>
      <c r="G556" s="8">
        <f t="shared" si="197"/>
        <v>105</v>
      </c>
      <c r="H556" s="8" t="s">
        <v>19</v>
      </c>
      <c r="I556" s="8" t="s">
        <v>11</v>
      </c>
      <c r="J556" s="8">
        <f t="shared" si="204"/>
        <v>7</v>
      </c>
      <c r="K556" s="4">
        <f>HOUR(F556)</f>
        <v>12</v>
      </c>
    </row>
    <row r="557" spans="1:11" ht="15.75" thickBot="1" x14ac:dyDescent="0.3">
      <c r="A557" s="7">
        <f t="shared" si="194"/>
        <v>550</v>
      </c>
      <c r="B557" s="8" t="str">
        <f t="shared" si="196"/>
        <v>8</v>
      </c>
      <c r="C557" s="8">
        <f t="shared" si="207"/>
        <v>2</v>
      </c>
      <c r="D557" s="8" t="s">
        <v>56</v>
      </c>
      <c r="E557" s="8"/>
      <c r="F557" s="9">
        <f t="shared" si="208"/>
        <v>43953.572916666664</v>
      </c>
      <c r="G557" s="8">
        <f t="shared" si="197"/>
        <v>120</v>
      </c>
      <c r="H557" s="8" t="s">
        <v>19</v>
      </c>
      <c r="I557" s="8" t="s">
        <v>8</v>
      </c>
      <c r="J557" s="8">
        <f t="shared" si="204"/>
        <v>7</v>
      </c>
      <c r="K557" s="4">
        <f>HOUR(F557)</f>
        <v>13</v>
      </c>
    </row>
    <row r="558" spans="1:11" ht="15.75" thickBot="1" x14ac:dyDescent="0.3">
      <c r="A558" s="7">
        <f t="shared" si="194"/>
        <v>551</v>
      </c>
      <c r="B558" s="8" t="str">
        <f t="shared" si="196"/>
        <v>8</v>
      </c>
      <c r="C558" s="8">
        <f t="shared" si="207"/>
        <v>2</v>
      </c>
      <c r="D558" s="8" t="s">
        <v>56</v>
      </c>
      <c r="E558" s="8"/>
      <c r="F558" s="9">
        <f t="shared" si="208"/>
        <v>43953.65625</v>
      </c>
      <c r="G558" s="8">
        <f t="shared" si="197"/>
        <v>120</v>
      </c>
      <c r="H558" s="8" t="s">
        <v>19</v>
      </c>
      <c r="I558" s="8" t="s">
        <v>8</v>
      </c>
      <c r="J558" s="8">
        <f t="shared" si="204"/>
        <v>7</v>
      </c>
      <c r="K558" s="4">
        <f>HOUR(F558)</f>
        <v>15</v>
      </c>
    </row>
    <row r="559" spans="1:11" ht="15.75" thickBot="1" x14ac:dyDescent="0.3">
      <c r="A559" s="7">
        <f t="shared" si="194"/>
        <v>552</v>
      </c>
      <c r="B559" s="8" t="str">
        <f t="shared" si="196"/>
        <v>8</v>
      </c>
      <c r="C559" s="8">
        <f t="shared" si="207"/>
        <v>2</v>
      </c>
      <c r="D559" s="8" t="s">
        <v>61</v>
      </c>
      <c r="E559" s="8"/>
      <c r="F559" s="9">
        <f t="shared" si="208"/>
        <v>43953.739583333336</v>
      </c>
      <c r="G559" s="8">
        <f t="shared" si="197"/>
        <v>120</v>
      </c>
      <c r="H559" s="8" t="s">
        <v>19</v>
      </c>
      <c r="I559" s="8" t="s">
        <v>8</v>
      </c>
      <c r="J559" s="8">
        <f t="shared" si="204"/>
        <v>7</v>
      </c>
      <c r="K559" s="4">
        <f>HOUR(F559)</f>
        <v>17</v>
      </c>
    </row>
    <row r="560" spans="1:11" ht="15.75" thickBot="1" x14ac:dyDescent="0.3">
      <c r="A560" s="3">
        <f>A559+1</f>
        <v>553</v>
      </c>
      <c r="B560" s="4" t="str">
        <f t="shared" si="196"/>
        <v>4</v>
      </c>
      <c r="C560" s="4">
        <f>VLOOKUP(I560,league_id,2,FALSE)</f>
        <v>1</v>
      </c>
      <c r="D560" s="4">
        <f t="shared" ref="D560:D561" si="209">VLOOKUP(H560,slot_compat,3,FALSE)</f>
        <v>2</v>
      </c>
      <c r="E560" s="4"/>
      <c r="F560" s="5">
        <v>43955.75</v>
      </c>
      <c r="G560" s="4">
        <f t="shared" si="197"/>
        <v>120</v>
      </c>
      <c r="H560" s="4" t="s">
        <v>7</v>
      </c>
      <c r="I560" s="4" t="s">
        <v>7</v>
      </c>
      <c r="J560" s="4">
        <f t="shared" si="204"/>
        <v>2</v>
      </c>
      <c r="K560" s="4">
        <f>HOUR(F560)</f>
        <v>18</v>
      </c>
    </row>
    <row r="561" spans="1:11" ht="15.75" thickBot="1" x14ac:dyDescent="0.3">
      <c r="A561" s="3">
        <f>A560+1</f>
        <v>554</v>
      </c>
      <c r="B561" s="4" t="str">
        <f t="shared" si="196"/>
        <v>3</v>
      </c>
      <c r="C561" s="4">
        <f t="shared" ref="C561:C565" si="210">VLOOKUP(I561,league_id,2,FALSE)</f>
        <v>2</v>
      </c>
      <c r="D561" s="4" t="str">
        <f t="shared" si="209"/>
        <v>1,3</v>
      </c>
      <c r="E561" s="4"/>
      <c r="F561" s="5">
        <f>F560</f>
        <v>43955.75</v>
      </c>
      <c r="G561" s="4">
        <f t="shared" si="197"/>
        <v>120</v>
      </c>
      <c r="H561" s="4" t="s">
        <v>8</v>
      </c>
      <c r="I561" s="4" t="s">
        <v>8</v>
      </c>
      <c r="J561" s="4">
        <f t="shared" si="204"/>
        <v>2</v>
      </c>
      <c r="K561" s="4">
        <f>HOUR(F561)</f>
        <v>18</v>
      </c>
    </row>
    <row r="562" spans="1:11" ht="15.75" thickBot="1" x14ac:dyDescent="0.3">
      <c r="A562" s="3">
        <f t="shared" ref="A562:A565" si="211">A561+1</f>
        <v>555</v>
      </c>
      <c r="B562" s="4" t="str">
        <f t="shared" si="196"/>
        <v>2</v>
      </c>
      <c r="C562" s="4">
        <f t="shared" si="210"/>
        <v>4</v>
      </c>
      <c r="D562" s="4">
        <v>5</v>
      </c>
      <c r="E562" s="4"/>
      <c r="F562" s="5">
        <f>F560</f>
        <v>43955.75</v>
      </c>
      <c r="G562" s="4">
        <f t="shared" si="197"/>
        <v>105</v>
      </c>
      <c r="H562" s="4" t="s">
        <v>9</v>
      </c>
      <c r="I562" s="4" t="s">
        <v>12</v>
      </c>
      <c r="J562" s="4">
        <f t="shared" si="204"/>
        <v>2</v>
      </c>
      <c r="K562" s="4">
        <f>HOUR(F562)</f>
        <v>18</v>
      </c>
    </row>
    <row r="563" spans="1:11" ht="15.75" thickBot="1" x14ac:dyDescent="0.3">
      <c r="A563" s="3">
        <f t="shared" si="211"/>
        <v>556</v>
      </c>
      <c r="B563" s="4" t="str">
        <f t="shared" si="196"/>
        <v>1</v>
      </c>
      <c r="C563" s="4">
        <f t="shared" si="210"/>
        <v>5</v>
      </c>
      <c r="D563" s="4"/>
      <c r="E563" s="4"/>
      <c r="F563" s="5">
        <f>F560</f>
        <v>43955.75</v>
      </c>
      <c r="G563" s="4">
        <f t="shared" si="197"/>
        <v>90</v>
      </c>
      <c r="H563" s="4" t="s">
        <v>15</v>
      </c>
      <c r="I563" s="4" t="s">
        <v>10</v>
      </c>
      <c r="J563" s="4">
        <f t="shared" si="204"/>
        <v>2</v>
      </c>
      <c r="K563" s="4">
        <f>HOUR(F563)</f>
        <v>18</v>
      </c>
    </row>
    <row r="564" spans="1:11" ht="15.75" thickBot="1" x14ac:dyDescent="0.3">
      <c r="A564" s="3">
        <f t="shared" si="211"/>
        <v>557</v>
      </c>
      <c r="B564" s="4" t="str">
        <f t="shared" si="196"/>
        <v>5</v>
      </c>
      <c r="C564" s="4">
        <f t="shared" si="210"/>
        <v>5</v>
      </c>
      <c r="D564" s="4"/>
      <c r="E564" s="4"/>
      <c r="F564" s="5">
        <f>F560</f>
        <v>43955.75</v>
      </c>
      <c r="G564" s="4">
        <f t="shared" si="197"/>
        <v>90</v>
      </c>
      <c r="H564" s="4" t="s">
        <v>16</v>
      </c>
      <c r="I564" s="4" t="s">
        <v>10</v>
      </c>
      <c r="J564" s="4">
        <f t="shared" si="204"/>
        <v>2</v>
      </c>
      <c r="K564" s="4">
        <f>HOUR(F564)</f>
        <v>18</v>
      </c>
    </row>
    <row r="565" spans="1:11" ht="15.75" thickBot="1" x14ac:dyDescent="0.3">
      <c r="A565" s="3">
        <f t="shared" si="211"/>
        <v>558</v>
      </c>
      <c r="B565" s="4" t="str">
        <f t="shared" si="196"/>
        <v>6</v>
      </c>
      <c r="C565" s="4">
        <f t="shared" si="210"/>
        <v>3</v>
      </c>
      <c r="D565" s="4" t="s">
        <v>55</v>
      </c>
      <c r="E565" s="4"/>
      <c r="F565" s="5">
        <f>F560</f>
        <v>43955.75</v>
      </c>
      <c r="G565" s="4">
        <f t="shared" si="197"/>
        <v>105</v>
      </c>
      <c r="H565" s="4" t="s">
        <v>17</v>
      </c>
      <c r="I565" s="4" t="s">
        <v>11</v>
      </c>
      <c r="J565" s="4">
        <f t="shared" si="204"/>
        <v>2</v>
      </c>
      <c r="K565" s="4">
        <f>HOUR(F565)</f>
        <v>18</v>
      </c>
    </row>
    <row r="566" spans="1:11" ht="15.75" thickBot="1" x14ac:dyDescent="0.3">
      <c r="A566" s="3">
        <f>A565+1</f>
        <v>559</v>
      </c>
      <c r="B566" s="4" t="str">
        <f t="shared" si="196"/>
        <v>4</v>
      </c>
      <c r="C566" s="4">
        <f>VLOOKUP(I566,league_id,2,FALSE)</f>
        <v>1</v>
      </c>
      <c r="D566" s="4">
        <f t="shared" ref="D566:D567" si="212">VLOOKUP(H566,slot_compat,3,FALSE)</f>
        <v>2</v>
      </c>
      <c r="E566" s="4"/>
      <c r="F566" s="5">
        <v>43956.75</v>
      </c>
      <c r="G566" s="4">
        <f t="shared" si="197"/>
        <v>120</v>
      </c>
      <c r="H566" s="4" t="s">
        <v>7</v>
      </c>
      <c r="I566" s="4" t="s">
        <v>7</v>
      </c>
      <c r="J566" s="4">
        <f t="shared" si="204"/>
        <v>3</v>
      </c>
      <c r="K566" s="4">
        <f>HOUR(F566)</f>
        <v>18</v>
      </c>
    </row>
    <row r="567" spans="1:11" ht="15.75" thickBot="1" x14ac:dyDescent="0.3">
      <c r="A567" s="3">
        <f>A566+1</f>
        <v>560</v>
      </c>
      <c r="B567" s="4" t="str">
        <f t="shared" si="196"/>
        <v>3</v>
      </c>
      <c r="C567" s="4">
        <f t="shared" ref="C567:C571" si="213">VLOOKUP(I567,league_id,2,FALSE)</f>
        <v>2</v>
      </c>
      <c r="D567" s="4" t="str">
        <f t="shared" si="212"/>
        <v>1,3</v>
      </c>
      <c r="E567" s="4"/>
      <c r="F567" s="5">
        <f>F566</f>
        <v>43956.75</v>
      </c>
      <c r="G567" s="4">
        <f t="shared" si="197"/>
        <v>120</v>
      </c>
      <c r="H567" s="4" t="s">
        <v>8</v>
      </c>
      <c r="I567" s="4" t="s">
        <v>8</v>
      </c>
      <c r="J567" s="4">
        <f t="shared" si="204"/>
        <v>3</v>
      </c>
      <c r="K567" s="4">
        <f>HOUR(F567)</f>
        <v>18</v>
      </c>
    </row>
    <row r="568" spans="1:11" ht="15.75" thickBot="1" x14ac:dyDescent="0.3">
      <c r="A568" s="3">
        <f t="shared" ref="A568:A571" si="214">A567+1</f>
        <v>561</v>
      </c>
      <c r="B568" s="4" t="str">
        <f t="shared" si="196"/>
        <v>2</v>
      </c>
      <c r="C568" s="4">
        <f t="shared" si="213"/>
        <v>4</v>
      </c>
      <c r="D568" s="4">
        <v>5</v>
      </c>
      <c r="E568" s="4"/>
      <c r="F568" s="5">
        <f>F566</f>
        <v>43956.75</v>
      </c>
      <c r="G568" s="4">
        <f t="shared" si="197"/>
        <v>105</v>
      </c>
      <c r="H568" s="4" t="s">
        <v>9</v>
      </c>
      <c r="I568" s="4" t="s">
        <v>12</v>
      </c>
      <c r="J568" s="4">
        <f t="shared" si="204"/>
        <v>3</v>
      </c>
      <c r="K568" s="4">
        <f>HOUR(F568)</f>
        <v>18</v>
      </c>
    </row>
    <row r="569" spans="1:11" ht="15.75" thickBot="1" x14ac:dyDescent="0.3">
      <c r="A569" s="3">
        <f t="shared" si="214"/>
        <v>562</v>
      </c>
      <c r="B569" s="4" t="str">
        <f t="shared" si="196"/>
        <v>1</v>
      </c>
      <c r="C569" s="4">
        <f t="shared" si="213"/>
        <v>5</v>
      </c>
      <c r="D569" s="4"/>
      <c r="E569" s="4"/>
      <c r="F569" s="5">
        <f>F566</f>
        <v>43956.75</v>
      </c>
      <c r="G569" s="4">
        <f t="shared" si="197"/>
        <v>90</v>
      </c>
      <c r="H569" s="4" t="s">
        <v>15</v>
      </c>
      <c r="I569" s="4" t="s">
        <v>10</v>
      </c>
      <c r="J569" s="4">
        <f t="shared" si="204"/>
        <v>3</v>
      </c>
      <c r="K569" s="4">
        <f>HOUR(F569)</f>
        <v>18</v>
      </c>
    </row>
    <row r="570" spans="1:11" ht="15.75" thickBot="1" x14ac:dyDescent="0.3">
      <c r="A570" s="3">
        <f t="shared" si="214"/>
        <v>563</v>
      </c>
      <c r="B570" s="4" t="str">
        <f t="shared" si="196"/>
        <v>5</v>
      </c>
      <c r="C570" s="4">
        <f t="shared" si="213"/>
        <v>5</v>
      </c>
      <c r="D570" s="4"/>
      <c r="E570" s="4"/>
      <c r="F570" s="5">
        <f>F566</f>
        <v>43956.75</v>
      </c>
      <c r="G570" s="4">
        <f t="shared" si="197"/>
        <v>90</v>
      </c>
      <c r="H570" s="4" t="s">
        <v>16</v>
      </c>
      <c r="I570" s="4" t="s">
        <v>10</v>
      </c>
      <c r="J570" s="4">
        <f t="shared" si="204"/>
        <v>3</v>
      </c>
      <c r="K570" s="4">
        <f>HOUR(F570)</f>
        <v>18</v>
      </c>
    </row>
    <row r="571" spans="1:11" ht="15.75" thickBot="1" x14ac:dyDescent="0.3">
      <c r="A571" s="3">
        <f t="shared" si="214"/>
        <v>564</v>
      </c>
      <c r="B571" s="4" t="str">
        <f t="shared" si="196"/>
        <v>6</v>
      </c>
      <c r="C571" s="4">
        <f t="shared" si="213"/>
        <v>3</v>
      </c>
      <c r="D571" s="4" t="s">
        <v>55</v>
      </c>
      <c r="E571" s="4"/>
      <c r="F571" s="5">
        <f>F566</f>
        <v>43956.75</v>
      </c>
      <c r="G571" s="4">
        <f t="shared" si="197"/>
        <v>105</v>
      </c>
      <c r="H571" s="4" t="s">
        <v>17</v>
      </c>
      <c r="I571" s="4" t="s">
        <v>11</v>
      </c>
      <c r="J571" s="4">
        <f t="shared" si="204"/>
        <v>3</v>
      </c>
      <c r="K571" s="4">
        <f>HOUR(F571)</f>
        <v>18</v>
      </c>
    </row>
    <row r="572" spans="1:11" ht="15.75" thickBot="1" x14ac:dyDescent="0.3">
      <c r="A572" s="3">
        <f>A571+1</f>
        <v>565</v>
      </c>
      <c r="B572" s="4" t="str">
        <f t="shared" si="196"/>
        <v>4</v>
      </c>
      <c r="C572" s="4">
        <f>VLOOKUP(I572,league_id,2,FALSE)</f>
        <v>1</v>
      </c>
      <c r="D572" s="4">
        <f t="shared" ref="D572:D573" si="215">VLOOKUP(H572,slot_compat,3,FALSE)</f>
        <v>2</v>
      </c>
      <c r="E572" s="4"/>
      <c r="F572" s="5">
        <v>43957.75</v>
      </c>
      <c r="G572" s="4">
        <f t="shared" si="197"/>
        <v>120</v>
      </c>
      <c r="H572" s="4" t="s">
        <v>7</v>
      </c>
      <c r="I572" s="4" t="s">
        <v>7</v>
      </c>
      <c r="J572" s="4">
        <f t="shared" si="204"/>
        <v>4</v>
      </c>
      <c r="K572" s="4">
        <f>HOUR(F572)</f>
        <v>18</v>
      </c>
    </row>
    <row r="573" spans="1:11" ht="15.75" thickBot="1" x14ac:dyDescent="0.3">
      <c r="A573" s="3">
        <f>A572+1</f>
        <v>566</v>
      </c>
      <c r="B573" s="4" t="str">
        <f t="shared" si="196"/>
        <v>3</v>
      </c>
      <c r="C573" s="4">
        <f t="shared" ref="C573:C577" si="216">VLOOKUP(I573,league_id,2,FALSE)</f>
        <v>2</v>
      </c>
      <c r="D573" s="4" t="str">
        <f t="shared" si="215"/>
        <v>1,3</v>
      </c>
      <c r="E573" s="4"/>
      <c r="F573" s="5">
        <f>F572</f>
        <v>43957.75</v>
      </c>
      <c r="G573" s="4">
        <f t="shared" si="197"/>
        <v>120</v>
      </c>
      <c r="H573" s="4" t="s">
        <v>8</v>
      </c>
      <c r="I573" s="4" t="s">
        <v>8</v>
      </c>
      <c r="J573" s="4">
        <f t="shared" si="204"/>
        <v>4</v>
      </c>
      <c r="K573" s="4">
        <f>HOUR(F573)</f>
        <v>18</v>
      </c>
    </row>
    <row r="574" spans="1:11" ht="15.75" thickBot="1" x14ac:dyDescent="0.3">
      <c r="A574" s="3">
        <f t="shared" ref="A574:A577" si="217">A573+1</f>
        <v>567</v>
      </c>
      <c r="B574" s="4" t="str">
        <f t="shared" si="196"/>
        <v>2</v>
      </c>
      <c r="C574" s="4">
        <f t="shared" si="216"/>
        <v>4</v>
      </c>
      <c r="D574" s="4">
        <v>5</v>
      </c>
      <c r="E574" s="4"/>
      <c r="F574" s="5">
        <f>F572</f>
        <v>43957.75</v>
      </c>
      <c r="G574" s="4">
        <f t="shared" si="197"/>
        <v>105</v>
      </c>
      <c r="H574" s="4" t="s">
        <v>9</v>
      </c>
      <c r="I574" s="4" t="s">
        <v>12</v>
      </c>
      <c r="J574" s="4">
        <f t="shared" si="204"/>
        <v>4</v>
      </c>
      <c r="K574" s="4">
        <f>HOUR(F574)</f>
        <v>18</v>
      </c>
    </row>
    <row r="575" spans="1:11" ht="15.75" thickBot="1" x14ac:dyDescent="0.3">
      <c r="A575" s="3">
        <f t="shared" si="217"/>
        <v>568</v>
      </c>
      <c r="B575" s="4" t="str">
        <f t="shared" si="196"/>
        <v>1</v>
      </c>
      <c r="C575" s="4">
        <f t="shared" si="216"/>
        <v>5</v>
      </c>
      <c r="D575" s="4"/>
      <c r="E575" s="4"/>
      <c r="F575" s="5">
        <f>F572</f>
        <v>43957.75</v>
      </c>
      <c r="G575" s="4">
        <f t="shared" si="197"/>
        <v>90</v>
      </c>
      <c r="H575" s="4" t="s">
        <v>15</v>
      </c>
      <c r="I575" s="4" t="s">
        <v>10</v>
      </c>
      <c r="J575" s="4">
        <f t="shared" si="204"/>
        <v>4</v>
      </c>
      <c r="K575" s="4">
        <f>HOUR(F575)</f>
        <v>18</v>
      </c>
    </row>
    <row r="576" spans="1:11" ht="15.75" thickBot="1" x14ac:dyDescent="0.3">
      <c r="A576" s="3">
        <f t="shared" si="217"/>
        <v>569</v>
      </c>
      <c r="B576" s="4" t="str">
        <f t="shared" si="196"/>
        <v>5</v>
      </c>
      <c r="C576" s="4">
        <f t="shared" si="216"/>
        <v>5</v>
      </c>
      <c r="D576" s="4"/>
      <c r="E576" s="4"/>
      <c r="F576" s="5">
        <f>F572</f>
        <v>43957.75</v>
      </c>
      <c r="G576" s="4">
        <f t="shared" si="197"/>
        <v>90</v>
      </c>
      <c r="H576" s="4" t="s">
        <v>16</v>
      </c>
      <c r="I576" s="4" t="s">
        <v>10</v>
      </c>
      <c r="J576" s="4">
        <f t="shared" si="204"/>
        <v>4</v>
      </c>
      <c r="K576" s="4">
        <f>HOUR(F576)</f>
        <v>18</v>
      </c>
    </row>
    <row r="577" spans="1:11" ht="15.75" thickBot="1" x14ac:dyDescent="0.3">
      <c r="A577" s="3">
        <f t="shared" si="217"/>
        <v>570</v>
      </c>
      <c r="B577" s="4" t="str">
        <f t="shared" si="196"/>
        <v>6</v>
      </c>
      <c r="C577" s="4">
        <f t="shared" si="216"/>
        <v>3</v>
      </c>
      <c r="D577" s="4" t="s">
        <v>55</v>
      </c>
      <c r="E577" s="4"/>
      <c r="F577" s="5">
        <f>F572</f>
        <v>43957.75</v>
      </c>
      <c r="G577" s="4">
        <f t="shared" si="197"/>
        <v>105</v>
      </c>
      <c r="H577" s="4" t="s">
        <v>17</v>
      </c>
      <c r="I577" s="4" t="s">
        <v>11</v>
      </c>
      <c r="J577" s="4">
        <f t="shared" si="204"/>
        <v>4</v>
      </c>
      <c r="K577" s="4">
        <f>HOUR(F577)</f>
        <v>18</v>
      </c>
    </row>
    <row r="578" spans="1:11" ht="15.75" thickBot="1" x14ac:dyDescent="0.3">
      <c r="A578" s="3">
        <f>A577+1</f>
        <v>571</v>
      </c>
      <c r="B578" s="4" t="str">
        <f t="shared" ref="B578:B641" si="218">VLOOKUP(H578,field_id,2,FALSE)</f>
        <v>4</v>
      </c>
      <c r="C578" s="4">
        <f>VLOOKUP(I578,league_id,2,FALSE)</f>
        <v>1</v>
      </c>
      <c r="D578" s="4">
        <f t="shared" ref="D578:D579" si="219">VLOOKUP(H578,slot_compat,3,FALSE)</f>
        <v>2</v>
      </c>
      <c r="E578" s="4"/>
      <c r="F578" s="5">
        <v>43958.75</v>
      </c>
      <c r="G578" s="4">
        <f t="shared" ref="G578:G641" si="220">VLOOKUP(I578,GameDuration,2,FALSE)</f>
        <v>120</v>
      </c>
      <c r="H578" s="4" t="s">
        <v>7</v>
      </c>
      <c r="I578" s="4" t="s">
        <v>7</v>
      </c>
      <c r="J578" s="4">
        <f t="shared" si="204"/>
        <v>5</v>
      </c>
      <c r="K578" s="4">
        <f>HOUR(F578)</f>
        <v>18</v>
      </c>
    </row>
    <row r="579" spans="1:11" ht="15.75" thickBot="1" x14ac:dyDescent="0.3">
      <c r="A579" s="3">
        <f>A578+1</f>
        <v>572</v>
      </c>
      <c r="B579" s="4" t="str">
        <f t="shared" si="218"/>
        <v>3</v>
      </c>
      <c r="C579" s="4">
        <f t="shared" ref="C579:C642" si="221">VLOOKUP(I579,league_id,2,FALSE)</f>
        <v>2</v>
      </c>
      <c r="D579" s="4" t="str">
        <f t="shared" si="219"/>
        <v>1,3</v>
      </c>
      <c r="E579" s="4"/>
      <c r="F579" s="5">
        <f>F578</f>
        <v>43958.75</v>
      </c>
      <c r="G579" s="4">
        <f t="shared" si="220"/>
        <v>120</v>
      </c>
      <c r="H579" s="4" t="s">
        <v>8</v>
      </c>
      <c r="I579" s="4" t="s">
        <v>8</v>
      </c>
      <c r="J579" s="4">
        <f t="shared" si="204"/>
        <v>5</v>
      </c>
      <c r="K579" s="4">
        <f>HOUR(F579)</f>
        <v>18</v>
      </c>
    </row>
    <row r="580" spans="1:11" ht="15.75" thickBot="1" x14ac:dyDescent="0.3">
      <c r="A580" s="3">
        <f t="shared" ref="A580:A583" si="222">A579+1</f>
        <v>573</v>
      </c>
      <c r="B580" s="4" t="str">
        <f t="shared" si="218"/>
        <v>2</v>
      </c>
      <c r="C580" s="4">
        <f t="shared" si="221"/>
        <v>4</v>
      </c>
      <c r="D580" s="4">
        <v>5</v>
      </c>
      <c r="E580" s="4"/>
      <c r="F580" s="5">
        <f>F578</f>
        <v>43958.75</v>
      </c>
      <c r="G580" s="4">
        <f t="shared" si="220"/>
        <v>105</v>
      </c>
      <c r="H580" s="4" t="s">
        <v>9</v>
      </c>
      <c r="I580" s="4" t="s">
        <v>12</v>
      </c>
      <c r="J580" s="4">
        <f t="shared" si="204"/>
        <v>5</v>
      </c>
      <c r="K580" s="4">
        <f>HOUR(F580)</f>
        <v>18</v>
      </c>
    </row>
    <row r="581" spans="1:11" ht="15.75" thickBot="1" x14ac:dyDescent="0.3">
      <c r="A581" s="3">
        <f t="shared" si="222"/>
        <v>574</v>
      </c>
      <c r="B581" s="4" t="str">
        <f t="shared" si="218"/>
        <v>1</v>
      </c>
      <c r="C581" s="4">
        <f t="shared" si="221"/>
        <v>5</v>
      </c>
      <c r="D581" s="4"/>
      <c r="E581" s="4"/>
      <c r="F581" s="5">
        <f>F578</f>
        <v>43958.75</v>
      </c>
      <c r="G581" s="4">
        <f t="shared" si="220"/>
        <v>90</v>
      </c>
      <c r="H581" s="4" t="s">
        <v>15</v>
      </c>
      <c r="I581" s="4" t="s">
        <v>10</v>
      </c>
      <c r="J581" s="4">
        <f t="shared" si="204"/>
        <v>5</v>
      </c>
      <c r="K581" s="4">
        <f>HOUR(F581)</f>
        <v>18</v>
      </c>
    </row>
    <row r="582" spans="1:11" ht="15.75" thickBot="1" x14ac:dyDescent="0.3">
      <c r="A582" s="3">
        <f t="shared" si="222"/>
        <v>575</v>
      </c>
      <c r="B582" s="4" t="str">
        <f t="shared" si="218"/>
        <v>5</v>
      </c>
      <c r="C582" s="4">
        <f t="shared" si="221"/>
        <v>5</v>
      </c>
      <c r="D582" s="4"/>
      <c r="E582" s="4"/>
      <c r="F582" s="5">
        <f>F578</f>
        <v>43958.75</v>
      </c>
      <c r="G582" s="4">
        <f t="shared" si="220"/>
        <v>90</v>
      </c>
      <c r="H582" s="4" t="s">
        <v>16</v>
      </c>
      <c r="I582" s="4" t="s">
        <v>10</v>
      </c>
      <c r="J582" s="4">
        <f t="shared" si="204"/>
        <v>5</v>
      </c>
      <c r="K582" s="4">
        <f>HOUR(F582)</f>
        <v>18</v>
      </c>
    </row>
    <row r="583" spans="1:11" ht="15.75" thickBot="1" x14ac:dyDescent="0.3">
      <c r="A583" s="3">
        <f t="shared" si="222"/>
        <v>576</v>
      </c>
      <c r="B583" s="4" t="str">
        <f t="shared" si="218"/>
        <v>6</v>
      </c>
      <c r="C583" s="4">
        <f t="shared" si="221"/>
        <v>3</v>
      </c>
      <c r="D583" s="4" t="s">
        <v>55</v>
      </c>
      <c r="E583" s="4"/>
      <c r="F583" s="5">
        <f>F578</f>
        <v>43958.75</v>
      </c>
      <c r="G583" s="4">
        <f t="shared" si="220"/>
        <v>105</v>
      </c>
      <c r="H583" s="4" t="s">
        <v>17</v>
      </c>
      <c r="I583" s="4" t="s">
        <v>11</v>
      </c>
      <c r="J583" s="4">
        <f t="shared" si="204"/>
        <v>5</v>
      </c>
      <c r="K583" s="4">
        <f>HOUR(F583)</f>
        <v>18</v>
      </c>
    </row>
    <row r="584" spans="1:11" ht="15.75" thickBot="1" x14ac:dyDescent="0.3">
      <c r="A584" s="3">
        <f>A583+1</f>
        <v>577</v>
      </c>
      <c r="B584" s="4" t="str">
        <f t="shared" si="218"/>
        <v>4</v>
      </c>
      <c r="C584" s="4">
        <f t="shared" si="221"/>
        <v>1</v>
      </c>
      <c r="D584" s="4">
        <f t="shared" ref="D584:D593" si="223">VLOOKUP(H584,slot_compat,3,FALSE)</f>
        <v>2</v>
      </c>
      <c r="E584" s="4"/>
      <c r="F584" s="5">
        <v>43959.75</v>
      </c>
      <c r="G584" s="4">
        <f t="shared" si="220"/>
        <v>120</v>
      </c>
      <c r="H584" s="4" t="s">
        <v>7</v>
      </c>
      <c r="I584" s="4" t="s">
        <v>7</v>
      </c>
      <c r="J584" s="4">
        <f t="shared" si="204"/>
        <v>6</v>
      </c>
      <c r="K584" s="4">
        <f>HOUR(F584)</f>
        <v>18</v>
      </c>
    </row>
    <row r="585" spans="1:11" ht="15.75" thickBot="1" x14ac:dyDescent="0.3">
      <c r="A585" s="7">
        <f>A584+1</f>
        <v>578</v>
      </c>
      <c r="B585" s="8" t="str">
        <f t="shared" si="218"/>
        <v>4</v>
      </c>
      <c r="C585" s="8">
        <f t="shared" si="221"/>
        <v>1</v>
      </c>
      <c r="D585" s="8">
        <f t="shared" si="223"/>
        <v>2</v>
      </c>
      <c r="E585" s="8"/>
      <c r="F585" s="9">
        <f>F584+G584/60/24</f>
        <v>43959.833333333336</v>
      </c>
      <c r="G585" s="8">
        <f t="shared" si="220"/>
        <v>120</v>
      </c>
      <c r="H585" s="8" t="s">
        <v>7</v>
      </c>
      <c r="I585" s="8" t="s">
        <v>7</v>
      </c>
      <c r="J585" s="8">
        <f t="shared" si="204"/>
        <v>6</v>
      </c>
      <c r="K585" s="4">
        <f>HOUR(F585)</f>
        <v>20</v>
      </c>
    </row>
    <row r="586" spans="1:11" ht="15.75" thickBot="1" x14ac:dyDescent="0.3">
      <c r="A586" s="3">
        <f>A585+1</f>
        <v>579</v>
      </c>
      <c r="B586" s="4" t="str">
        <f t="shared" si="218"/>
        <v>3</v>
      </c>
      <c r="C586" s="4">
        <f t="shared" si="221"/>
        <v>2</v>
      </c>
      <c r="D586" s="4" t="str">
        <f t="shared" si="223"/>
        <v>1,3</v>
      </c>
      <c r="E586" s="4"/>
      <c r="F586" s="5">
        <f>F584</f>
        <v>43959.75</v>
      </c>
      <c r="G586" s="4">
        <f t="shared" si="220"/>
        <v>120</v>
      </c>
      <c r="H586" s="4" t="s">
        <v>8</v>
      </c>
      <c r="I586" s="4" t="s">
        <v>8</v>
      </c>
      <c r="J586" s="4">
        <f t="shared" si="204"/>
        <v>6</v>
      </c>
      <c r="K586" s="4">
        <f>HOUR(F586)</f>
        <v>18</v>
      </c>
    </row>
    <row r="587" spans="1:11" ht="15.75" thickBot="1" x14ac:dyDescent="0.3">
      <c r="A587" s="7">
        <f t="shared" ref="A587:A595" si="224">A586+1</f>
        <v>580</v>
      </c>
      <c r="B587" s="8" t="str">
        <f t="shared" si="218"/>
        <v>3</v>
      </c>
      <c r="C587" s="8">
        <f t="shared" si="221"/>
        <v>2</v>
      </c>
      <c r="D587" s="8" t="str">
        <f t="shared" si="223"/>
        <v>1,3</v>
      </c>
      <c r="E587" s="8"/>
      <c r="F587" s="9">
        <f>F586+G586/60/24</f>
        <v>43959.833333333336</v>
      </c>
      <c r="G587" s="8">
        <f t="shared" si="220"/>
        <v>120</v>
      </c>
      <c r="H587" s="8" t="s">
        <v>8</v>
      </c>
      <c r="I587" s="8" t="s">
        <v>8</v>
      </c>
      <c r="J587" s="8">
        <f t="shared" si="204"/>
        <v>6</v>
      </c>
      <c r="K587" s="4">
        <f>HOUR(F587)</f>
        <v>20</v>
      </c>
    </row>
    <row r="588" spans="1:11" ht="15.75" thickBot="1" x14ac:dyDescent="0.3">
      <c r="A588" s="3">
        <f>A587+1</f>
        <v>581</v>
      </c>
      <c r="B588" s="4" t="str">
        <f t="shared" si="218"/>
        <v>2</v>
      </c>
      <c r="C588" s="4">
        <f t="shared" si="221"/>
        <v>4</v>
      </c>
      <c r="D588" s="4">
        <v>5</v>
      </c>
      <c r="E588" s="4"/>
      <c r="F588" s="5">
        <f>F584</f>
        <v>43959.75</v>
      </c>
      <c r="G588" s="4">
        <f t="shared" si="220"/>
        <v>105</v>
      </c>
      <c r="H588" s="4" t="s">
        <v>9</v>
      </c>
      <c r="I588" s="4" t="s">
        <v>12</v>
      </c>
      <c r="J588" s="4">
        <f t="shared" si="204"/>
        <v>6</v>
      </c>
      <c r="K588" s="4">
        <f>HOUR(F588)</f>
        <v>18</v>
      </c>
    </row>
    <row r="589" spans="1:11" ht="15.75" thickBot="1" x14ac:dyDescent="0.3">
      <c r="A589" s="7">
        <f t="shared" si="224"/>
        <v>582</v>
      </c>
      <c r="B589" s="8" t="str">
        <f t="shared" si="218"/>
        <v>2</v>
      </c>
      <c r="C589" s="8">
        <f t="shared" si="221"/>
        <v>4</v>
      </c>
      <c r="D589" s="8">
        <v>5</v>
      </c>
      <c r="E589" s="8"/>
      <c r="F589" s="9">
        <f>F588+G588/60/24</f>
        <v>43959.822916666664</v>
      </c>
      <c r="G589" s="8">
        <f t="shared" si="220"/>
        <v>105</v>
      </c>
      <c r="H589" s="8" t="s">
        <v>9</v>
      </c>
      <c r="I589" s="8" t="s">
        <v>12</v>
      </c>
      <c r="J589" s="8">
        <f t="shared" si="204"/>
        <v>6</v>
      </c>
      <c r="K589" s="4">
        <f>HOUR(F589)</f>
        <v>19</v>
      </c>
    </row>
    <row r="590" spans="1:11" ht="15.75" thickBot="1" x14ac:dyDescent="0.3">
      <c r="A590" s="3">
        <f>A589+1</f>
        <v>583</v>
      </c>
      <c r="B590" s="4" t="str">
        <f t="shared" si="218"/>
        <v>1</v>
      </c>
      <c r="C590" s="4">
        <f t="shared" si="221"/>
        <v>5</v>
      </c>
      <c r="D590" s="4"/>
      <c r="E590" s="4"/>
      <c r="F590" s="5">
        <f>F584</f>
        <v>43959.75</v>
      </c>
      <c r="G590" s="4">
        <f t="shared" si="220"/>
        <v>90</v>
      </c>
      <c r="H590" s="4" t="s">
        <v>15</v>
      </c>
      <c r="I590" s="4" t="s">
        <v>10</v>
      </c>
      <c r="J590" s="4">
        <f t="shared" si="204"/>
        <v>6</v>
      </c>
      <c r="K590" s="4">
        <f>HOUR(F590)</f>
        <v>18</v>
      </c>
    </row>
    <row r="591" spans="1:11" ht="15.75" thickBot="1" x14ac:dyDescent="0.3">
      <c r="A591" s="7">
        <f t="shared" si="224"/>
        <v>584</v>
      </c>
      <c r="B591" s="8" t="str">
        <f t="shared" si="218"/>
        <v>1</v>
      </c>
      <c r="C591" s="8">
        <f t="shared" si="221"/>
        <v>5</v>
      </c>
      <c r="D591" s="8"/>
      <c r="E591" s="8"/>
      <c r="F591" s="9">
        <f>F590+G590/60/24</f>
        <v>43959.8125</v>
      </c>
      <c r="G591" s="8">
        <f t="shared" si="220"/>
        <v>90</v>
      </c>
      <c r="H591" s="8" t="s">
        <v>15</v>
      </c>
      <c r="I591" s="8" t="s">
        <v>10</v>
      </c>
      <c r="J591" s="8">
        <f t="shared" si="204"/>
        <v>6</v>
      </c>
      <c r="K591" s="4">
        <f>HOUR(F591)</f>
        <v>19</v>
      </c>
    </row>
    <row r="592" spans="1:11" ht="15.75" thickBot="1" x14ac:dyDescent="0.3">
      <c r="A592" s="3">
        <f>A591+1</f>
        <v>585</v>
      </c>
      <c r="B592" s="4" t="str">
        <f t="shared" si="218"/>
        <v>5</v>
      </c>
      <c r="C592" s="4">
        <f t="shared" si="221"/>
        <v>5</v>
      </c>
      <c r="D592" s="4"/>
      <c r="E592" s="4"/>
      <c r="F592" s="5">
        <f>F584</f>
        <v>43959.75</v>
      </c>
      <c r="G592" s="4">
        <f t="shared" si="220"/>
        <v>90</v>
      </c>
      <c r="H592" s="4" t="s">
        <v>16</v>
      </c>
      <c r="I592" s="4" t="s">
        <v>10</v>
      </c>
      <c r="J592" s="4">
        <f t="shared" si="204"/>
        <v>6</v>
      </c>
      <c r="K592" s="4">
        <f>HOUR(F592)</f>
        <v>18</v>
      </c>
    </row>
    <row r="593" spans="1:11" ht="15.75" thickBot="1" x14ac:dyDescent="0.3">
      <c r="A593" s="7">
        <f t="shared" si="224"/>
        <v>586</v>
      </c>
      <c r="B593" s="8" t="str">
        <f t="shared" si="218"/>
        <v>5</v>
      </c>
      <c r="C593" s="8">
        <f t="shared" si="221"/>
        <v>4</v>
      </c>
      <c r="D593" s="8">
        <f t="shared" si="223"/>
        <v>5</v>
      </c>
      <c r="E593" s="8"/>
      <c r="F593" s="9">
        <f>F592+G592/60/24</f>
        <v>43959.8125</v>
      </c>
      <c r="G593" s="8">
        <f t="shared" si="220"/>
        <v>105</v>
      </c>
      <c r="H593" s="8" t="s">
        <v>16</v>
      </c>
      <c r="I593" s="8" t="s">
        <v>12</v>
      </c>
      <c r="J593" s="8">
        <f t="shared" si="204"/>
        <v>6</v>
      </c>
      <c r="K593" s="4">
        <f>HOUR(F593)</f>
        <v>19</v>
      </c>
    </row>
    <row r="594" spans="1:11" ht="15.75" thickBot="1" x14ac:dyDescent="0.3">
      <c r="A594" s="3">
        <f>A593+1</f>
        <v>587</v>
      </c>
      <c r="B594" s="4" t="str">
        <f t="shared" si="218"/>
        <v>6</v>
      </c>
      <c r="C594" s="4">
        <f t="shared" si="221"/>
        <v>3</v>
      </c>
      <c r="D594" s="4" t="s">
        <v>55</v>
      </c>
      <c r="E594" s="4"/>
      <c r="F594" s="5">
        <f>F584</f>
        <v>43959.75</v>
      </c>
      <c r="G594" s="4">
        <f t="shared" si="220"/>
        <v>105</v>
      </c>
      <c r="H594" s="4" t="s">
        <v>17</v>
      </c>
      <c r="I594" s="4" t="s">
        <v>11</v>
      </c>
      <c r="J594" s="4">
        <f t="shared" si="204"/>
        <v>6</v>
      </c>
      <c r="K594" s="4">
        <f>HOUR(F594)</f>
        <v>18</v>
      </c>
    </row>
    <row r="595" spans="1:11" ht="15.75" thickBot="1" x14ac:dyDescent="0.3">
      <c r="A595" s="10">
        <f t="shared" si="224"/>
        <v>588</v>
      </c>
      <c r="B595" s="11" t="str">
        <f t="shared" si="218"/>
        <v>6</v>
      </c>
      <c r="C595" s="11">
        <f t="shared" si="221"/>
        <v>3</v>
      </c>
      <c r="D595" s="11" t="s">
        <v>55</v>
      </c>
      <c r="E595" s="11"/>
      <c r="F595" s="12">
        <f>F594+G594/60/24</f>
        <v>43959.822916666664</v>
      </c>
      <c r="G595" s="11">
        <f t="shared" si="220"/>
        <v>105</v>
      </c>
      <c r="H595" s="11" t="s">
        <v>17</v>
      </c>
      <c r="I595" s="11" t="s">
        <v>11</v>
      </c>
      <c r="J595" s="11">
        <f t="shared" si="204"/>
        <v>6</v>
      </c>
      <c r="K595" s="4">
        <f>HOUR(F595)</f>
        <v>19</v>
      </c>
    </row>
    <row r="596" spans="1:11" ht="15.75" thickBot="1" x14ac:dyDescent="0.3">
      <c r="A596" s="3">
        <f>A595+1</f>
        <v>589</v>
      </c>
      <c r="B596" s="4" t="str">
        <f t="shared" si="218"/>
        <v>7</v>
      </c>
      <c r="C596" s="4">
        <f t="shared" si="221"/>
        <v>5</v>
      </c>
      <c r="D596" s="4">
        <v>6</v>
      </c>
      <c r="E596" s="4"/>
      <c r="F596" s="5">
        <f>F584</f>
        <v>43959.75</v>
      </c>
      <c r="G596" s="4">
        <f t="shared" si="220"/>
        <v>90</v>
      </c>
      <c r="H596" s="4" t="s">
        <v>18</v>
      </c>
      <c r="I596" s="4" t="s">
        <v>10</v>
      </c>
      <c r="J596" s="4">
        <f t="shared" si="204"/>
        <v>6</v>
      </c>
      <c r="K596" s="4">
        <f>HOUR(F596)</f>
        <v>18</v>
      </c>
    </row>
    <row r="597" spans="1:11" ht="15.75" thickBot="1" x14ac:dyDescent="0.3">
      <c r="A597" s="7">
        <f t="shared" ref="A597" si="225">A596+1</f>
        <v>590</v>
      </c>
      <c r="B597" s="8" t="str">
        <f t="shared" si="218"/>
        <v>7</v>
      </c>
      <c r="C597" s="8">
        <f t="shared" si="221"/>
        <v>2</v>
      </c>
      <c r="D597" s="8" t="s">
        <v>55</v>
      </c>
      <c r="E597" s="8"/>
      <c r="F597" s="9">
        <f>F596+G596/60/24</f>
        <v>43959.8125</v>
      </c>
      <c r="G597" s="8">
        <f t="shared" si="220"/>
        <v>120</v>
      </c>
      <c r="H597" s="8" t="s">
        <v>18</v>
      </c>
      <c r="I597" s="8" t="s">
        <v>8</v>
      </c>
      <c r="J597" s="8">
        <f t="shared" si="204"/>
        <v>6</v>
      </c>
      <c r="K597" s="4">
        <f>HOUR(F597)</f>
        <v>19</v>
      </c>
    </row>
    <row r="598" spans="1:11" ht="15.75" thickBot="1" x14ac:dyDescent="0.3">
      <c r="A598" s="3">
        <f>A597+1</f>
        <v>591</v>
      </c>
      <c r="B598" s="4" t="str">
        <f t="shared" si="218"/>
        <v>8</v>
      </c>
      <c r="C598" s="4">
        <f t="shared" si="221"/>
        <v>5</v>
      </c>
      <c r="D598" s="4"/>
      <c r="E598" s="4"/>
      <c r="F598" s="5">
        <f>F584</f>
        <v>43959.75</v>
      </c>
      <c r="G598" s="4">
        <f t="shared" si="220"/>
        <v>90</v>
      </c>
      <c r="H598" s="4" t="s">
        <v>19</v>
      </c>
      <c r="I598" s="4" t="s">
        <v>10</v>
      </c>
      <c r="J598" s="4">
        <f t="shared" si="204"/>
        <v>6</v>
      </c>
      <c r="K598" s="4">
        <f>HOUR(F598)</f>
        <v>18</v>
      </c>
    </row>
    <row r="599" spans="1:11" ht="15.75" thickBot="1" x14ac:dyDescent="0.3">
      <c r="A599" s="10">
        <f t="shared" ref="A599" si="226">A598+1</f>
        <v>592</v>
      </c>
      <c r="B599" s="11" t="str">
        <f t="shared" si="218"/>
        <v>8</v>
      </c>
      <c r="C599" s="11">
        <f t="shared" si="221"/>
        <v>2</v>
      </c>
      <c r="D599" s="11" t="s">
        <v>56</v>
      </c>
      <c r="E599" s="11"/>
      <c r="F599" s="12">
        <f>F598+G598/60/24</f>
        <v>43959.8125</v>
      </c>
      <c r="G599" s="11">
        <f t="shared" si="220"/>
        <v>120</v>
      </c>
      <c r="H599" s="11" t="s">
        <v>19</v>
      </c>
      <c r="I599" s="11" t="s">
        <v>8</v>
      </c>
      <c r="J599" s="11">
        <f t="shared" si="204"/>
        <v>6</v>
      </c>
      <c r="K599" s="4">
        <f>HOUR(F599)</f>
        <v>19</v>
      </c>
    </row>
    <row r="600" spans="1:11" ht="15.75" thickBot="1" x14ac:dyDescent="0.3">
      <c r="A600" s="3">
        <f>A599+1</f>
        <v>593</v>
      </c>
      <c r="B600" s="4" t="str">
        <f t="shared" si="218"/>
        <v>4</v>
      </c>
      <c r="C600" s="4">
        <f t="shared" si="221"/>
        <v>1</v>
      </c>
      <c r="D600" s="4">
        <f t="shared" ref="D600:D617" si="227">VLOOKUP(H600,slot_compat,3,FALSE)</f>
        <v>2</v>
      </c>
      <c r="E600" s="4"/>
      <c r="F600" s="5">
        <v>43960.375</v>
      </c>
      <c r="G600" s="4">
        <f t="shared" si="220"/>
        <v>120</v>
      </c>
      <c r="H600" s="4" t="s">
        <v>7</v>
      </c>
      <c r="I600" s="4" t="s">
        <v>7</v>
      </c>
      <c r="J600" s="4">
        <f t="shared" si="204"/>
        <v>7</v>
      </c>
      <c r="K600" s="4">
        <f>HOUR(F600)</f>
        <v>9</v>
      </c>
    </row>
    <row r="601" spans="1:11" ht="15.75" thickBot="1" x14ac:dyDescent="0.3">
      <c r="A601" s="7">
        <f>A600+1</f>
        <v>594</v>
      </c>
      <c r="B601" s="8" t="str">
        <f t="shared" si="218"/>
        <v>4</v>
      </c>
      <c r="C601" s="8">
        <f t="shared" si="221"/>
        <v>1</v>
      </c>
      <c r="D601" s="8">
        <f t="shared" si="227"/>
        <v>2</v>
      </c>
      <c r="E601" s="8"/>
      <c r="F601" s="9">
        <f>F600+G600/60/24</f>
        <v>43960.458333333336</v>
      </c>
      <c r="G601" s="8">
        <f t="shared" si="220"/>
        <v>120</v>
      </c>
      <c r="H601" s="8" t="s">
        <v>7</v>
      </c>
      <c r="I601" s="8" t="s">
        <v>7</v>
      </c>
      <c r="J601" s="8">
        <f t="shared" si="204"/>
        <v>7</v>
      </c>
      <c r="K601" s="4">
        <f>HOUR(F601)</f>
        <v>11</v>
      </c>
    </row>
    <row r="602" spans="1:11" ht="15.75" thickBot="1" x14ac:dyDescent="0.3">
      <c r="A602" s="7">
        <f t="shared" ref="A602:A650" si="228">A601+1</f>
        <v>595</v>
      </c>
      <c r="B602" s="8" t="str">
        <f t="shared" si="218"/>
        <v>4</v>
      </c>
      <c r="C602" s="8">
        <f t="shared" si="221"/>
        <v>1</v>
      </c>
      <c r="D602" s="8">
        <f t="shared" si="227"/>
        <v>2</v>
      </c>
      <c r="E602" s="8"/>
      <c r="F602" s="9">
        <f>F601+G601/60/24</f>
        <v>43960.541666666672</v>
      </c>
      <c r="G602" s="8">
        <f t="shared" si="220"/>
        <v>120</v>
      </c>
      <c r="H602" s="8" t="s">
        <v>7</v>
      </c>
      <c r="I602" s="8" t="s">
        <v>7</v>
      </c>
      <c r="J602" s="8">
        <f t="shared" si="204"/>
        <v>7</v>
      </c>
      <c r="K602" s="4">
        <f>HOUR(F602)</f>
        <v>13</v>
      </c>
    </row>
    <row r="603" spans="1:11" ht="15.75" thickBot="1" x14ac:dyDescent="0.3">
      <c r="A603" s="7">
        <f t="shared" si="228"/>
        <v>596</v>
      </c>
      <c r="B603" s="8" t="str">
        <f t="shared" si="218"/>
        <v>4</v>
      </c>
      <c r="C603" s="8">
        <f t="shared" si="221"/>
        <v>1</v>
      </c>
      <c r="D603" s="8">
        <f t="shared" si="227"/>
        <v>2</v>
      </c>
      <c r="E603" s="8"/>
      <c r="F603" s="9">
        <f>F602+G602/60/24</f>
        <v>43960.625000000007</v>
      </c>
      <c r="G603" s="8">
        <f t="shared" si="220"/>
        <v>120</v>
      </c>
      <c r="H603" s="8" t="s">
        <v>7</v>
      </c>
      <c r="I603" s="8" t="s">
        <v>7</v>
      </c>
      <c r="J603" s="8">
        <f t="shared" ref="J603:J618" si="229">WEEKDAY(F603)</f>
        <v>7</v>
      </c>
      <c r="K603" s="4">
        <f>HOUR(F603)</f>
        <v>15</v>
      </c>
    </row>
    <row r="604" spans="1:11" ht="15.75" thickBot="1" x14ac:dyDescent="0.3">
      <c r="A604" s="7">
        <f>A602+1</f>
        <v>596</v>
      </c>
      <c r="B604" s="8" t="str">
        <f t="shared" si="218"/>
        <v>4</v>
      </c>
      <c r="C604" s="8">
        <f t="shared" si="221"/>
        <v>1</v>
      </c>
      <c r="D604" s="8">
        <f t="shared" si="227"/>
        <v>2</v>
      </c>
      <c r="E604" s="8"/>
      <c r="F604" s="9">
        <f>F603+G603/60/24</f>
        <v>43960.708333333343</v>
      </c>
      <c r="G604" s="8">
        <f t="shared" si="220"/>
        <v>120</v>
      </c>
      <c r="H604" s="8" t="s">
        <v>7</v>
      </c>
      <c r="I604" s="8" t="s">
        <v>7</v>
      </c>
      <c r="J604" s="8">
        <f t="shared" si="229"/>
        <v>7</v>
      </c>
      <c r="K604" s="4">
        <f>HOUR(F604)</f>
        <v>17</v>
      </c>
    </row>
    <row r="605" spans="1:11" ht="15.75" thickBot="1" x14ac:dyDescent="0.3">
      <c r="A605" s="10">
        <f>A603+1</f>
        <v>597</v>
      </c>
      <c r="B605" s="11" t="str">
        <f t="shared" si="218"/>
        <v>4</v>
      </c>
      <c r="C605" s="11">
        <f t="shared" si="221"/>
        <v>1</v>
      </c>
      <c r="D605" s="11">
        <f t="shared" si="227"/>
        <v>2</v>
      </c>
      <c r="E605" s="11"/>
      <c r="F605" s="9">
        <f>F604+G604/60/24</f>
        <v>43960.791666666679</v>
      </c>
      <c r="G605" s="11">
        <f t="shared" si="220"/>
        <v>120</v>
      </c>
      <c r="H605" s="11" t="s">
        <v>7</v>
      </c>
      <c r="I605" s="11" t="s">
        <v>7</v>
      </c>
      <c r="J605" s="11">
        <f t="shared" si="229"/>
        <v>7</v>
      </c>
      <c r="K605" s="4">
        <f>HOUR(F605)</f>
        <v>19</v>
      </c>
    </row>
    <row r="606" spans="1:11" ht="15.75" thickBot="1" x14ac:dyDescent="0.3">
      <c r="A606" s="3">
        <f t="shared" si="228"/>
        <v>598</v>
      </c>
      <c r="B606" s="4" t="str">
        <f t="shared" si="218"/>
        <v>3</v>
      </c>
      <c r="C606" s="8">
        <f t="shared" si="221"/>
        <v>2</v>
      </c>
      <c r="D606" s="8" t="str">
        <f t="shared" si="227"/>
        <v>1,3</v>
      </c>
      <c r="E606" s="4"/>
      <c r="F606" s="5">
        <f>F600</f>
        <v>43960.375</v>
      </c>
      <c r="G606" s="4">
        <f t="shared" si="220"/>
        <v>120</v>
      </c>
      <c r="H606" s="4" t="s">
        <v>8</v>
      </c>
      <c r="I606" s="4" t="s">
        <v>8</v>
      </c>
      <c r="J606" s="4">
        <f t="shared" si="229"/>
        <v>7</v>
      </c>
      <c r="K606" s="4">
        <f>HOUR(F606)</f>
        <v>9</v>
      </c>
    </row>
    <row r="607" spans="1:11" ht="15.75" thickBot="1" x14ac:dyDescent="0.3">
      <c r="A607" s="7">
        <f t="shared" si="228"/>
        <v>599</v>
      </c>
      <c r="B607" s="8" t="str">
        <f t="shared" si="218"/>
        <v>3</v>
      </c>
      <c r="C607" s="8">
        <f t="shared" si="221"/>
        <v>2</v>
      </c>
      <c r="D607" s="8" t="str">
        <f t="shared" si="227"/>
        <v>1,3</v>
      </c>
      <c r="E607" s="8"/>
      <c r="F607" s="9">
        <f>F606+G606/60/24</f>
        <v>43960.458333333336</v>
      </c>
      <c r="G607" s="8">
        <f t="shared" si="220"/>
        <v>120</v>
      </c>
      <c r="H607" s="8" t="s">
        <v>8</v>
      </c>
      <c r="I607" s="8" t="s">
        <v>8</v>
      </c>
      <c r="J607" s="8">
        <f t="shared" si="229"/>
        <v>7</v>
      </c>
      <c r="K607" s="4">
        <f>HOUR(F607)</f>
        <v>11</v>
      </c>
    </row>
    <row r="608" spans="1:11" ht="15.75" thickBot="1" x14ac:dyDescent="0.3">
      <c r="A608" s="7">
        <f t="shared" si="228"/>
        <v>600</v>
      </c>
      <c r="B608" s="8" t="str">
        <f t="shared" si="218"/>
        <v>3</v>
      </c>
      <c r="C608" s="8">
        <f t="shared" si="221"/>
        <v>2</v>
      </c>
      <c r="D608" s="8" t="str">
        <f t="shared" si="227"/>
        <v>1,3</v>
      </c>
      <c r="E608" s="8"/>
      <c r="F608" s="9">
        <f t="shared" ref="F608:F611" si="230">F607+G607/60/24</f>
        <v>43960.541666666672</v>
      </c>
      <c r="G608" s="8">
        <f t="shared" si="220"/>
        <v>120</v>
      </c>
      <c r="H608" s="8" t="s">
        <v>8</v>
      </c>
      <c r="I608" s="8" t="s">
        <v>8</v>
      </c>
      <c r="J608" s="8">
        <f t="shared" si="229"/>
        <v>7</v>
      </c>
      <c r="K608" s="4">
        <f>HOUR(F608)</f>
        <v>13</v>
      </c>
    </row>
    <row r="609" spans="1:11" ht="15.75" thickBot="1" x14ac:dyDescent="0.3">
      <c r="A609" s="7">
        <f t="shared" si="228"/>
        <v>601</v>
      </c>
      <c r="B609" s="8" t="str">
        <f t="shared" si="218"/>
        <v>3</v>
      </c>
      <c r="C609" s="8">
        <f t="shared" si="221"/>
        <v>2</v>
      </c>
      <c r="D609" s="8" t="str">
        <f t="shared" si="227"/>
        <v>1,3</v>
      </c>
      <c r="E609" s="8"/>
      <c r="F609" s="9">
        <f t="shared" si="230"/>
        <v>43960.625000000007</v>
      </c>
      <c r="G609" s="8">
        <f t="shared" si="220"/>
        <v>120</v>
      </c>
      <c r="H609" s="8" t="s">
        <v>8</v>
      </c>
      <c r="I609" s="8" t="s">
        <v>8</v>
      </c>
      <c r="J609" s="8">
        <f t="shared" si="229"/>
        <v>7</v>
      </c>
      <c r="K609" s="4">
        <f>HOUR(F609)</f>
        <v>15</v>
      </c>
    </row>
    <row r="610" spans="1:11" ht="15.75" thickBot="1" x14ac:dyDescent="0.3">
      <c r="A610" s="7">
        <f t="shared" si="228"/>
        <v>602</v>
      </c>
      <c r="B610" s="8" t="str">
        <f t="shared" si="218"/>
        <v>3</v>
      </c>
      <c r="C610" s="8">
        <f t="shared" si="221"/>
        <v>2</v>
      </c>
      <c r="D610" s="8" t="str">
        <f t="shared" si="227"/>
        <v>1,3</v>
      </c>
      <c r="E610" s="8"/>
      <c r="F610" s="9">
        <f t="shared" si="230"/>
        <v>43960.708333333343</v>
      </c>
      <c r="G610" s="8">
        <f t="shared" si="220"/>
        <v>120</v>
      </c>
      <c r="H610" s="8" t="s">
        <v>8</v>
      </c>
      <c r="I610" s="8" t="s">
        <v>8</v>
      </c>
      <c r="J610" s="8">
        <f t="shared" si="229"/>
        <v>7</v>
      </c>
      <c r="K610" s="4">
        <f>HOUR(F610)</f>
        <v>17</v>
      </c>
    </row>
    <row r="611" spans="1:11" ht="15.75" thickBot="1" x14ac:dyDescent="0.3">
      <c r="A611" s="7">
        <f t="shared" si="228"/>
        <v>603</v>
      </c>
      <c r="B611" s="8" t="str">
        <f t="shared" si="218"/>
        <v>3</v>
      </c>
      <c r="C611" s="8">
        <f t="shared" si="221"/>
        <v>2</v>
      </c>
      <c r="D611" s="8" t="str">
        <f t="shared" si="227"/>
        <v>1,3</v>
      </c>
      <c r="E611" s="8"/>
      <c r="F611" s="9">
        <f t="shared" si="230"/>
        <v>43960.791666666679</v>
      </c>
      <c r="G611" s="8">
        <f t="shared" si="220"/>
        <v>120</v>
      </c>
      <c r="H611" s="8" t="s">
        <v>8</v>
      </c>
      <c r="I611" s="8" t="s">
        <v>8</v>
      </c>
      <c r="J611" s="8">
        <f t="shared" si="229"/>
        <v>7</v>
      </c>
      <c r="K611" s="4">
        <f>HOUR(F611)</f>
        <v>19</v>
      </c>
    </row>
    <row r="612" spans="1:11" ht="15.75" thickBot="1" x14ac:dyDescent="0.3">
      <c r="A612" s="3">
        <f t="shared" si="228"/>
        <v>604</v>
      </c>
      <c r="B612" s="4" t="str">
        <f t="shared" si="218"/>
        <v>2</v>
      </c>
      <c r="C612" s="4">
        <f t="shared" si="221"/>
        <v>6</v>
      </c>
      <c r="D612" s="4"/>
      <c r="E612" s="4"/>
      <c r="F612" s="5">
        <f>F600</f>
        <v>43960.375</v>
      </c>
      <c r="G612" s="4">
        <f t="shared" si="220"/>
        <v>60</v>
      </c>
      <c r="H612" s="4" t="s">
        <v>9</v>
      </c>
      <c r="I612" s="4" t="s">
        <v>13</v>
      </c>
      <c r="J612" s="4">
        <f t="shared" si="229"/>
        <v>7</v>
      </c>
      <c r="K612" s="4">
        <f>HOUR(F612)</f>
        <v>9</v>
      </c>
    </row>
    <row r="613" spans="1:11" ht="15.75" thickBot="1" x14ac:dyDescent="0.3">
      <c r="A613" s="7">
        <f t="shared" si="228"/>
        <v>605</v>
      </c>
      <c r="B613" s="8" t="str">
        <f t="shared" si="218"/>
        <v>2</v>
      </c>
      <c r="C613" s="8">
        <f t="shared" si="221"/>
        <v>4</v>
      </c>
      <c r="D613" s="8" t="str">
        <f t="shared" si="227"/>
        <v>5,6</v>
      </c>
      <c r="E613" s="8"/>
      <c r="F613" s="9">
        <f>F612+G612/60/24</f>
        <v>43960.416666666664</v>
      </c>
      <c r="G613" s="8">
        <f t="shared" si="220"/>
        <v>105</v>
      </c>
      <c r="H613" s="8" t="s">
        <v>9</v>
      </c>
      <c r="I613" s="8" t="s">
        <v>12</v>
      </c>
      <c r="J613" s="8">
        <f t="shared" si="229"/>
        <v>7</v>
      </c>
      <c r="K613" s="4">
        <f>HOUR(F613)</f>
        <v>10</v>
      </c>
    </row>
    <row r="614" spans="1:11" ht="15.75" thickBot="1" x14ac:dyDescent="0.3">
      <c r="A614" s="7">
        <f t="shared" si="228"/>
        <v>606</v>
      </c>
      <c r="B614" s="8" t="str">
        <f t="shared" si="218"/>
        <v>2</v>
      </c>
      <c r="C614" s="8">
        <f t="shared" si="221"/>
        <v>4</v>
      </c>
      <c r="D614" s="8" t="str">
        <f t="shared" si="227"/>
        <v>5,6</v>
      </c>
      <c r="E614" s="8"/>
      <c r="F614" s="9">
        <f t="shared" ref="F614:F618" si="231">F613+G613/60/24</f>
        <v>43960.489583333328</v>
      </c>
      <c r="G614" s="8">
        <f t="shared" si="220"/>
        <v>105</v>
      </c>
      <c r="H614" s="8" t="s">
        <v>9</v>
      </c>
      <c r="I614" s="8" t="s">
        <v>12</v>
      </c>
      <c r="J614" s="8">
        <f t="shared" si="229"/>
        <v>7</v>
      </c>
      <c r="K614" s="4">
        <f>HOUR(F614)</f>
        <v>11</v>
      </c>
    </row>
    <row r="615" spans="1:11" ht="15.75" thickBot="1" x14ac:dyDescent="0.3">
      <c r="A615" s="7">
        <f t="shared" si="228"/>
        <v>607</v>
      </c>
      <c r="B615" s="8" t="str">
        <f t="shared" si="218"/>
        <v>2</v>
      </c>
      <c r="C615" s="8">
        <f t="shared" si="221"/>
        <v>4</v>
      </c>
      <c r="D615" s="8" t="str">
        <f t="shared" si="227"/>
        <v>5,6</v>
      </c>
      <c r="E615" s="8"/>
      <c r="F615" s="9">
        <f t="shared" si="231"/>
        <v>43960.562499999993</v>
      </c>
      <c r="G615" s="8">
        <f t="shared" si="220"/>
        <v>105</v>
      </c>
      <c r="H615" s="8" t="s">
        <v>9</v>
      </c>
      <c r="I615" s="8" t="s">
        <v>12</v>
      </c>
      <c r="J615" s="8">
        <f t="shared" si="229"/>
        <v>7</v>
      </c>
      <c r="K615" s="4">
        <f>HOUR(F615)</f>
        <v>13</v>
      </c>
    </row>
    <row r="616" spans="1:11" ht="15.75" thickBot="1" x14ac:dyDescent="0.3">
      <c r="A616" s="7">
        <f t="shared" si="228"/>
        <v>608</v>
      </c>
      <c r="B616" s="8" t="str">
        <f t="shared" si="218"/>
        <v>2</v>
      </c>
      <c r="C616" s="8">
        <f t="shared" si="221"/>
        <v>4</v>
      </c>
      <c r="D616" s="8" t="str">
        <f t="shared" si="227"/>
        <v>5,6</v>
      </c>
      <c r="E616" s="8"/>
      <c r="F616" s="9">
        <f t="shared" si="231"/>
        <v>43960.635416666657</v>
      </c>
      <c r="G616" s="8">
        <f t="shared" si="220"/>
        <v>105</v>
      </c>
      <c r="H616" s="8" t="s">
        <v>9</v>
      </c>
      <c r="I616" s="8" t="s">
        <v>12</v>
      </c>
      <c r="J616" s="8">
        <f t="shared" si="229"/>
        <v>7</v>
      </c>
      <c r="K616" s="4">
        <f>HOUR(F616)</f>
        <v>15</v>
      </c>
    </row>
    <row r="617" spans="1:11" ht="15.75" thickBot="1" x14ac:dyDescent="0.3">
      <c r="A617" s="7">
        <f t="shared" si="228"/>
        <v>609</v>
      </c>
      <c r="B617" s="8" t="str">
        <f t="shared" si="218"/>
        <v>2</v>
      </c>
      <c r="C617" s="8">
        <f t="shared" si="221"/>
        <v>4</v>
      </c>
      <c r="D617" s="8" t="str">
        <f t="shared" si="227"/>
        <v>5,6</v>
      </c>
      <c r="E617" s="8"/>
      <c r="F617" s="9">
        <f t="shared" si="231"/>
        <v>43960.708333333321</v>
      </c>
      <c r="G617" s="8">
        <f t="shared" si="220"/>
        <v>105</v>
      </c>
      <c r="H617" s="8" t="s">
        <v>9</v>
      </c>
      <c r="I617" s="8" t="s">
        <v>12</v>
      </c>
      <c r="J617" s="8">
        <f t="shared" si="229"/>
        <v>7</v>
      </c>
      <c r="K617" s="4">
        <f>HOUR(F617)</f>
        <v>17</v>
      </c>
    </row>
    <row r="618" spans="1:11" ht="15.75" thickBot="1" x14ac:dyDescent="0.3">
      <c r="A618" s="7">
        <f t="shared" si="228"/>
        <v>610</v>
      </c>
      <c r="B618" s="8" t="str">
        <f t="shared" si="218"/>
        <v>2</v>
      </c>
      <c r="C618" s="8">
        <f t="shared" si="221"/>
        <v>4</v>
      </c>
      <c r="D618" s="8"/>
      <c r="E618" s="8"/>
      <c r="F618" s="9">
        <f t="shared" si="231"/>
        <v>43960.781249999985</v>
      </c>
      <c r="G618" s="8">
        <f t="shared" si="220"/>
        <v>105</v>
      </c>
      <c r="H618" s="8" t="s">
        <v>9</v>
      </c>
      <c r="I618" s="8" t="s">
        <v>12</v>
      </c>
      <c r="J618" s="8">
        <f t="shared" si="229"/>
        <v>7</v>
      </c>
      <c r="K618" s="4">
        <f>HOUR(F618)</f>
        <v>18</v>
      </c>
    </row>
    <row r="619" spans="1:11" ht="15.75" thickBot="1" x14ac:dyDescent="0.3">
      <c r="A619" s="3">
        <f t="shared" si="228"/>
        <v>611</v>
      </c>
      <c r="B619" s="4" t="str">
        <f t="shared" si="218"/>
        <v>1</v>
      </c>
      <c r="C619" s="4">
        <v>6</v>
      </c>
      <c r="D619" s="4"/>
      <c r="E619" s="4"/>
      <c r="F619" s="5">
        <f>F600</f>
        <v>43960.375</v>
      </c>
      <c r="G619" s="4">
        <f t="shared" si="220"/>
        <v>60</v>
      </c>
      <c r="H619" s="4" t="s">
        <v>15</v>
      </c>
      <c r="I619" s="4" t="s">
        <v>14</v>
      </c>
      <c r="J619" s="4">
        <f>WEEKDAY(F619)</f>
        <v>7</v>
      </c>
      <c r="K619" s="4">
        <f>HOUR(F619)</f>
        <v>9</v>
      </c>
    </row>
    <row r="620" spans="1:11" ht="15.75" thickBot="1" x14ac:dyDescent="0.3">
      <c r="A620" s="7">
        <f t="shared" si="228"/>
        <v>612</v>
      </c>
      <c r="B620" s="8" t="str">
        <f t="shared" si="218"/>
        <v>1</v>
      </c>
      <c r="C620" s="8">
        <f t="shared" si="221"/>
        <v>6</v>
      </c>
      <c r="D620" s="8"/>
      <c r="E620" s="8"/>
      <c r="F620" s="9">
        <f>F619+G619/60/24</f>
        <v>43960.416666666664</v>
      </c>
      <c r="G620" s="8">
        <f t="shared" si="220"/>
        <v>60</v>
      </c>
      <c r="H620" s="8" t="s">
        <v>15</v>
      </c>
      <c r="I620" s="8" t="s">
        <v>13</v>
      </c>
      <c r="J620" s="8">
        <f>WEEKDAY(F620)</f>
        <v>7</v>
      </c>
      <c r="K620" s="4">
        <f>HOUR(F620)</f>
        <v>10</v>
      </c>
    </row>
    <row r="621" spans="1:11" ht="15.75" thickBot="1" x14ac:dyDescent="0.3">
      <c r="A621" s="7">
        <f t="shared" si="228"/>
        <v>613</v>
      </c>
      <c r="B621" s="8" t="str">
        <f t="shared" si="218"/>
        <v>1</v>
      </c>
      <c r="C621" s="8">
        <f t="shared" si="221"/>
        <v>5</v>
      </c>
      <c r="D621" s="8"/>
      <c r="E621" s="8"/>
      <c r="F621" s="9">
        <f t="shared" ref="F621:F625" si="232">F620+G620/60/24</f>
        <v>43960.458333333328</v>
      </c>
      <c r="G621" s="8">
        <f t="shared" si="220"/>
        <v>90</v>
      </c>
      <c r="H621" s="8" t="s">
        <v>15</v>
      </c>
      <c r="I621" s="8" t="s">
        <v>10</v>
      </c>
      <c r="J621" s="8">
        <f>WEEKDAY(F621)</f>
        <v>7</v>
      </c>
      <c r="K621" s="4">
        <f>HOUR(F621)</f>
        <v>11</v>
      </c>
    </row>
    <row r="622" spans="1:11" ht="15.75" thickBot="1" x14ac:dyDescent="0.3">
      <c r="A622" s="7">
        <f t="shared" si="228"/>
        <v>614</v>
      </c>
      <c r="B622" s="8" t="str">
        <f t="shared" si="218"/>
        <v>1</v>
      </c>
      <c r="C622" s="8">
        <f t="shared" si="221"/>
        <v>5</v>
      </c>
      <c r="D622" s="8"/>
      <c r="E622" s="8"/>
      <c r="F622" s="9">
        <f t="shared" si="232"/>
        <v>43960.520833333328</v>
      </c>
      <c r="G622" s="8">
        <f t="shared" si="220"/>
        <v>90</v>
      </c>
      <c r="H622" s="8" t="s">
        <v>15</v>
      </c>
      <c r="I622" s="8" t="s">
        <v>10</v>
      </c>
      <c r="J622" s="8">
        <f>WEEKDAY(F622)</f>
        <v>7</v>
      </c>
      <c r="K622" s="4">
        <f>HOUR(F622)</f>
        <v>12</v>
      </c>
    </row>
    <row r="623" spans="1:11" ht="15.75" thickBot="1" x14ac:dyDescent="0.3">
      <c r="A623" s="7">
        <f t="shared" si="228"/>
        <v>615</v>
      </c>
      <c r="B623" s="8" t="str">
        <f t="shared" si="218"/>
        <v>1</v>
      </c>
      <c r="C623" s="8">
        <f t="shared" si="221"/>
        <v>5</v>
      </c>
      <c r="D623" s="8"/>
      <c r="E623" s="8"/>
      <c r="F623" s="9">
        <f t="shared" si="232"/>
        <v>43960.583333333328</v>
      </c>
      <c r="G623" s="8">
        <f t="shared" si="220"/>
        <v>90</v>
      </c>
      <c r="H623" s="8" t="s">
        <v>15</v>
      </c>
      <c r="I623" s="8" t="s">
        <v>10</v>
      </c>
      <c r="J623" s="8">
        <f t="shared" ref="J623:J625" si="233">WEEKDAY(F623)</f>
        <v>7</v>
      </c>
      <c r="K623" s="4">
        <f>HOUR(F623)</f>
        <v>14</v>
      </c>
    </row>
    <row r="624" spans="1:11" ht="15.75" thickBot="1" x14ac:dyDescent="0.3">
      <c r="A624" s="7">
        <f t="shared" si="228"/>
        <v>616</v>
      </c>
      <c r="B624" s="8" t="str">
        <f t="shared" si="218"/>
        <v>1</v>
      </c>
      <c r="C624" s="8">
        <f t="shared" si="221"/>
        <v>5</v>
      </c>
      <c r="D624" s="8"/>
      <c r="E624" s="8"/>
      <c r="F624" s="9">
        <f t="shared" si="232"/>
        <v>43960.645833333328</v>
      </c>
      <c r="G624" s="8">
        <f t="shared" si="220"/>
        <v>90</v>
      </c>
      <c r="H624" s="8" t="s">
        <v>15</v>
      </c>
      <c r="I624" s="8" t="s">
        <v>10</v>
      </c>
      <c r="J624" s="8">
        <f t="shared" si="233"/>
        <v>7</v>
      </c>
      <c r="K624" s="4">
        <f>HOUR(F624)</f>
        <v>15</v>
      </c>
    </row>
    <row r="625" spans="1:11" ht="15.75" thickBot="1" x14ac:dyDescent="0.3">
      <c r="A625" s="10">
        <f t="shared" si="228"/>
        <v>617</v>
      </c>
      <c r="B625" s="11" t="str">
        <f t="shared" si="218"/>
        <v>1</v>
      </c>
      <c r="C625" s="11">
        <f t="shared" si="221"/>
        <v>5</v>
      </c>
      <c r="D625" s="11"/>
      <c r="E625" s="11"/>
      <c r="F625" s="9">
        <f t="shared" si="232"/>
        <v>43960.708333333328</v>
      </c>
      <c r="G625" s="11">
        <f t="shared" si="220"/>
        <v>90</v>
      </c>
      <c r="H625" s="11" t="s">
        <v>15</v>
      </c>
      <c r="I625" s="11" t="s">
        <v>10</v>
      </c>
      <c r="J625" s="11">
        <f t="shared" si="233"/>
        <v>7</v>
      </c>
      <c r="K625" s="4">
        <f>HOUR(F625)</f>
        <v>17</v>
      </c>
    </row>
    <row r="626" spans="1:11" ht="15.75" thickBot="1" x14ac:dyDescent="0.3">
      <c r="A626" s="3">
        <f t="shared" si="228"/>
        <v>618</v>
      </c>
      <c r="B626" s="4" t="str">
        <f t="shared" si="218"/>
        <v>5</v>
      </c>
      <c r="C626" s="4">
        <f t="shared" si="221"/>
        <v>6</v>
      </c>
      <c r="D626" s="4"/>
      <c r="E626" s="4"/>
      <c r="F626" s="5">
        <f>F600</f>
        <v>43960.375</v>
      </c>
      <c r="G626" s="4">
        <f t="shared" si="220"/>
        <v>60</v>
      </c>
      <c r="H626" s="4" t="s">
        <v>16</v>
      </c>
      <c r="I626" s="4" t="s">
        <v>13</v>
      </c>
      <c r="J626" s="4">
        <f>WEEKDAY(F626)</f>
        <v>7</v>
      </c>
      <c r="K626" s="4">
        <f>HOUR(F626)</f>
        <v>9</v>
      </c>
    </row>
    <row r="627" spans="1:11" ht="15.75" thickBot="1" x14ac:dyDescent="0.3">
      <c r="A627" s="7">
        <f t="shared" si="228"/>
        <v>619</v>
      </c>
      <c r="B627" s="8" t="str">
        <f t="shared" si="218"/>
        <v>5</v>
      </c>
      <c r="C627" s="8">
        <f t="shared" si="221"/>
        <v>5</v>
      </c>
      <c r="D627" s="8">
        <v>6</v>
      </c>
      <c r="E627" s="8"/>
      <c r="F627" s="9">
        <f>F626+G626/60/24</f>
        <v>43960.416666666664</v>
      </c>
      <c r="G627" s="8">
        <f t="shared" si="220"/>
        <v>90</v>
      </c>
      <c r="H627" s="8" t="s">
        <v>16</v>
      </c>
      <c r="I627" s="8" t="s">
        <v>10</v>
      </c>
      <c r="J627" s="8">
        <f>WEEKDAY(F627)</f>
        <v>7</v>
      </c>
      <c r="K627" s="4">
        <f>HOUR(F627)</f>
        <v>10</v>
      </c>
    </row>
    <row r="628" spans="1:11" ht="15.75" thickBot="1" x14ac:dyDescent="0.3">
      <c r="A628" s="7">
        <f t="shared" si="228"/>
        <v>620</v>
      </c>
      <c r="B628" s="8" t="str">
        <f t="shared" si="218"/>
        <v>5</v>
      </c>
      <c r="C628" s="8">
        <f t="shared" si="221"/>
        <v>4</v>
      </c>
      <c r="D628" s="8">
        <f t="shared" ref="D628:D631" si="234">VLOOKUP(H628,slot_compat,3,FALSE)</f>
        <v>5</v>
      </c>
      <c r="E628" s="8"/>
      <c r="F628" s="9">
        <f t="shared" ref="F628:F632" si="235">F627+G627/60/24</f>
        <v>43960.479166666664</v>
      </c>
      <c r="G628" s="8">
        <f t="shared" si="220"/>
        <v>105</v>
      </c>
      <c r="H628" s="8" t="s">
        <v>16</v>
      </c>
      <c r="I628" s="8" t="s">
        <v>12</v>
      </c>
      <c r="J628" s="8">
        <f>WEEKDAY(F628)</f>
        <v>7</v>
      </c>
      <c r="K628" s="4">
        <f>HOUR(F628)</f>
        <v>11</v>
      </c>
    </row>
    <row r="629" spans="1:11" ht="15.75" thickBot="1" x14ac:dyDescent="0.3">
      <c r="A629" s="7">
        <f t="shared" si="228"/>
        <v>621</v>
      </c>
      <c r="B629" s="8" t="str">
        <f t="shared" si="218"/>
        <v>5</v>
      </c>
      <c r="C629" s="8">
        <f t="shared" si="221"/>
        <v>4</v>
      </c>
      <c r="D629" s="8">
        <f t="shared" si="234"/>
        <v>5</v>
      </c>
      <c r="E629" s="8"/>
      <c r="F629" s="9">
        <f t="shared" si="235"/>
        <v>43960.552083333328</v>
      </c>
      <c r="G629" s="8">
        <f t="shared" si="220"/>
        <v>105</v>
      </c>
      <c r="H629" s="8" t="s">
        <v>16</v>
      </c>
      <c r="I629" s="8" t="s">
        <v>12</v>
      </c>
      <c r="J629" s="8">
        <f>WEEKDAY(F629)</f>
        <v>7</v>
      </c>
      <c r="K629" s="4">
        <f>HOUR(F629)</f>
        <v>13</v>
      </c>
    </row>
    <row r="630" spans="1:11" ht="15.75" thickBot="1" x14ac:dyDescent="0.3">
      <c r="A630" s="7">
        <f t="shared" si="228"/>
        <v>622</v>
      </c>
      <c r="B630" s="8" t="str">
        <f t="shared" si="218"/>
        <v>5</v>
      </c>
      <c r="C630" s="8">
        <f t="shared" si="221"/>
        <v>4</v>
      </c>
      <c r="D630" s="8">
        <f t="shared" si="234"/>
        <v>5</v>
      </c>
      <c r="E630" s="8"/>
      <c r="F630" s="9">
        <f t="shared" si="235"/>
        <v>43960.624999999993</v>
      </c>
      <c r="G630" s="8">
        <f t="shared" si="220"/>
        <v>105</v>
      </c>
      <c r="H630" s="8" t="s">
        <v>16</v>
      </c>
      <c r="I630" s="8" t="s">
        <v>12</v>
      </c>
      <c r="J630" s="8">
        <f t="shared" ref="J630:J669" si="236">WEEKDAY(F630)</f>
        <v>7</v>
      </c>
      <c r="K630" s="4">
        <f>HOUR(F630)</f>
        <v>15</v>
      </c>
    </row>
    <row r="631" spans="1:11" ht="15.75" thickBot="1" x14ac:dyDescent="0.3">
      <c r="A631" s="7">
        <f t="shared" si="228"/>
        <v>623</v>
      </c>
      <c r="B631" s="8" t="str">
        <f t="shared" si="218"/>
        <v>5</v>
      </c>
      <c r="C631" s="8">
        <f t="shared" si="221"/>
        <v>4</v>
      </c>
      <c r="D631" s="8">
        <f t="shared" si="234"/>
        <v>5</v>
      </c>
      <c r="E631" s="8"/>
      <c r="F631" s="9">
        <f t="shared" si="235"/>
        <v>43960.697916666657</v>
      </c>
      <c r="G631" s="8">
        <f t="shared" si="220"/>
        <v>105</v>
      </c>
      <c r="H631" s="8" t="s">
        <v>16</v>
      </c>
      <c r="I631" s="8" t="s">
        <v>12</v>
      </c>
      <c r="J631" s="8">
        <f t="shared" si="236"/>
        <v>7</v>
      </c>
      <c r="K631" s="4">
        <f>HOUR(F631)</f>
        <v>16</v>
      </c>
    </row>
    <row r="632" spans="1:11" ht="15.75" thickBot="1" x14ac:dyDescent="0.3">
      <c r="A632" s="7">
        <f t="shared" si="228"/>
        <v>624</v>
      </c>
      <c r="B632" s="8" t="str">
        <f t="shared" si="218"/>
        <v>5</v>
      </c>
      <c r="C632" s="8">
        <f t="shared" si="221"/>
        <v>4</v>
      </c>
      <c r="D632" s="8"/>
      <c r="E632" s="8"/>
      <c r="F632" s="9">
        <f t="shared" si="235"/>
        <v>43960.770833333321</v>
      </c>
      <c r="G632" s="8">
        <f t="shared" si="220"/>
        <v>105</v>
      </c>
      <c r="H632" s="8" t="s">
        <v>16</v>
      </c>
      <c r="I632" s="8" t="s">
        <v>12</v>
      </c>
      <c r="J632" s="8">
        <f t="shared" si="236"/>
        <v>7</v>
      </c>
      <c r="K632" s="4">
        <f>HOUR(F632)</f>
        <v>18</v>
      </c>
    </row>
    <row r="633" spans="1:11" ht="15.75" thickBot="1" x14ac:dyDescent="0.3">
      <c r="A633" s="3">
        <f t="shared" si="228"/>
        <v>625</v>
      </c>
      <c r="B633" s="4" t="str">
        <f t="shared" si="218"/>
        <v>6</v>
      </c>
      <c r="C633" s="4">
        <f t="shared" si="221"/>
        <v>4</v>
      </c>
      <c r="D633" s="4">
        <v>5</v>
      </c>
      <c r="E633" s="4"/>
      <c r="F633" s="5">
        <f>F600</f>
        <v>43960.375</v>
      </c>
      <c r="G633" s="4">
        <f t="shared" si="220"/>
        <v>105</v>
      </c>
      <c r="H633" s="4" t="s">
        <v>17</v>
      </c>
      <c r="I633" s="4" t="s">
        <v>12</v>
      </c>
      <c r="J633" s="4">
        <f t="shared" si="236"/>
        <v>7</v>
      </c>
      <c r="K633" s="4">
        <f>HOUR(F633)</f>
        <v>9</v>
      </c>
    </row>
    <row r="634" spans="1:11" ht="15.75" thickBot="1" x14ac:dyDescent="0.3">
      <c r="A634" s="7">
        <f t="shared" si="228"/>
        <v>626</v>
      </c>
      <c r="B634" s="8" t="str">
        <f t="shared" si="218"/>
        <v>6</v>
      </c>
      <c r="C634" s="8">
        <f t="shared" si="221"/>
        <v>3</v>
      </c>
      <c r="D634" s="8" t="s">
        <v>55</v>
      </c>
      <c r="E634" s="8"/>
      <c r="F634" s="9">
        <f>F633+G633/60/24</f>
        <v>43960.447916666664</v>
      </c>
      <c r="G634" s="8">
        <f t="shared" si="220"/>
        <v>105</v>
      </c>
      <c r="H634" s="8" t="s">
        <v>17</v>
      </c>
      <c r="I634" s="8" t="s">
        <v>11</v>
      </c>
      <c r="J634" s="8">
        <f t="shared" si="236"/>
        <v>7</v>
      </c>
      <c r="K634" s="4">
        <f>HOUR(F634)</f>
        <v>10</v>
      </c>
    </row>
    <row r="635" spans="1:11" ht="15.75" thickBot="1" x14ac:dyDescent="0.3">
      <c r="A635" s="7">
        <f t="shared" si="228"/>
        <v>627</v>
      </c>
      <c r="B635" s="8" t="str">
        <f t="shared" si="218"/>
        <v>6</v>
      </c>
      <c r="C635" s="8">
        <f t="shared" si="221"/>
        <v>3</v>
      </c>
      <c r="D635" s="8" t="s">
        <v>55</v>
      </c>
      <c r="E635" s="8"/>
      <c r="F635" s="9">
        <f t="shared" ref="F635:F638" si="237">F634+G634/60/24</f>
        <v>43960.520833333328</v>
      </c>
      <c r="G635" s="8">
        <f t="shared" si="220"/>
        <v>105</v>
      </c>
      <c r="H635" s="8" t="s">
        <v>17</v>
      </c>
      <c r="I635" s="8" t="s">
        <v>11</v>
      </c>
      <c r="J635" s="8">
        <f t="shared" si="236"/>
        <v>7</v>
      </c>
      <c r="K635" s="4">
        <f>HOUR(F635)</f>
        <v>12</v>
      </c>
    </row>
    <row r="636" spans="1:11" ht="15.75" thickBot="1" x14ac:dyDescent="0.3">
      <c r="A636" s="7">
        <f t="shared" si="228"/>
        <v>628</v>
      </c>
      <c r="B636" s="8" t="str">
        <f t="shared" si="218"/>
        <v>6</v>
      </c>
      <c r="C636" s="8">
        <f t="shared" si="221"/>
        <v>3</v>
      </c>
      <c r="D636" s="8" t="s">
        <v>55</v>
      </c>
      <c r="E636" s="8"/>
      <c r="F636" s="9">
        <f t="shared" si="237"/>
        <v>43960.593749999993</v>
      </c>
      <c r="G636" s="8">
        <f t="shared" si="220"/>
        <v>105</v>
      </c>
      <c r="H636" s="8" t="s">
        <v>17</v>
      </c>
      <c r="I636" s="8" t="s">
        <v>11</v>
      </c>
      <c r="J636" s="8">
        <f t="shared" si="236"/>
        <v>7</v>
      </c>
      <c r="K636" s="4">
        <f>HOUR(F636)</f>
        <v>14</v>
      </c>
    </row>
    <row r="637" spans="1:11" ht="15.75" thickBot="1" x14ac:dyDescent="0.3">
      <c r="A637" s="7">
        <f t="shared" si="228"/>
        <v>629</v>
      </c>
      <c r="B637" s="8" t="str">
        <f t="shared" si="218"/>
        <v>6</v>
      </c>
      <c r="C637" s="8">
        <f t="shared" si="221"/>
        <v>3</v>
      </c>
      <c r="D637" s="8" t="s">
        <v>55</v>
      </c>
      <c r="E637" s="8"/>
      <c r="F637" s="9">
        <f t="shared" si="237"/>
        <v>43960.666666666657</v>
      </c>
      <c r="G637" s="8">
        <f t="shared" si="220"/>
        <v>105</v>
      </c>
      <c r="H637" s="8" t="s">
        <v>17</v>
      </c>
      <c r="I637" s="8" t="s">
        <v>11</v>
      </c>
      <c r="J637" s="8">
        <f t="shared" si="236"/>
        <v>7</v>
      </c>
      <c r="K637" s="4">
        <f>HOUR(F637)</f>
        <v>16</v>
      </c>
    </row>
    <row r="638" spans="1:11" ht="15.75" thickBot="1" x14ac:dyDescent="0.3">
      <c r="A638" s="7">
        <f t="shared" si="228"/>
        <v>630</v>
      </c>
      <c r="B638" s="8" t="str">
        <f t="shared" si="218"/>
        <v>6</v>
      </c>
      <c r="C638" s="8">
        <v>2</v>
      </c>
      <c r="D638" s="14" t="s">
        <v>61</v>
      </c>
      <c r="E638" s="8"/>
      <c r="F638" s="9">
        <f t="shared" si="237"/>
        <v>43960.739583333321</v>
      </c>
      <c r="G638" s="8">
        <f t="shared" si="220"/>
        <v>105</v>
      </c>
      <c r="H638" s="8" t="s">
        <v>17</v>
      </c>
      <c r="I638" s="8" t="s">
        <v>11</v>
      </c>
      <c r="J638" s="8">
        <f t="shared" si="236"/>
        <v>7</v>
      </c>
      <c r="K638" s="4">
        <f>HOUR(F638)</f>
        <v>17</v>
      </c>
    </row>
    <row r="639" spans="1:11" ht="15.75" thickBot="1" x14ac:dyDescent="0.3">
      <c r="A639" s="3">
        <f t="shared" si="228"/>
        <v>631</v>
      </c>
      <c r="B639" s="4" t="str">
        <f t="shared" si="218"/>
        <v>7</v>
      </c>
      <c r="C639" s="4">
        <f t="shared" si="221"/>
        <v>6</v>
      </c>
      <c r="D639" s="4"/>
      <c r="E639" s="4"/>
      <c r="F639" s="5">
        <f>F600</f>
        <v>43960.375</v>
      </c>
      <c r="G639" s="4">
        <f t="shared" si="220"/>
        <v>60</v>
      </c>
      <c r="H639" s="4" t="s">
        <v>18</v>
      </c>
      <c r="I639" s="4" t="s">
        <v>13</v>
      </c>
      <c r="J639" s="4">
        <f t="shared" si="236"/>
        <v>7</v>
      </c>
      <c r="K639" s="4">
        <f>HOUR(F639)</f>
        <v>9</v>
      </c>
    </row>
    <row r="640" spans="1:11" ht="15.75" thickBot="1" x14ac:dyDescent="0.3">
      <c r="A640" s="7">
        <f t="shared" si="228"/>
        <v>632</v>
      </c>
      <c r="B640" s="8" t="str">
        <f t="shared" si="218"/>
        <v>7</v>
      </c>
      <c r="C640" s="8">
        <f t="shared" si="221"/>
        <v>3</v>
      </c>
      <c r="D640" s="8" t="s">
        <v>55</v>
      </c>
      <c r="E640" s="8"/>
      <c r="F640" s="9">
        <f>F639+G639/60/24</f>
        <v>43960.416666666664</v>
      </c>
      <c r="G640" s="8">
        <f t="shared" si="220"/>
        <v>105</v>
      </c>
      <c r="H640" s="8" t="s">
        <v>18</v>
      </c>
      <c r="I640" s="8" t="s">
        <v>11</v>
      </c>
      <c r="J640" s="8">
        <f t="shared" si="236"/>
        <v>7</v>
      </c>
      <c r="K640" s="4">
        <f>HOUR(F640)</f>
        <v>10</v>
      </c>
    </row>
    <row r="641" spans="1:11" ht="15.75" thickBot="1" x14ac:dyDescent="0.3">
      <c r="A641" s="7">
        <f t="shared" si="228"/>
        <v>633</v>
      </c>
      <c r="B641" s="8" t="str">
        <f t="shared" si="218"/>
        <v>7</v>
      </c>
      <c r="C641" s="8">
        <f t="shared" si="221"/>
        <v>3</v>
      </c>
      <c r="D641" s="8" t="s">
        <v>55</v>
      </c>
      <c r="E641" s="8"/>
      <c r="F641" s="9">
        <f t="shared" ref="F641:F644" si="238">F640+G640/60/24</f>
        <v>43960.489583333328</v>
      </c>
      <c r="G641" s="8">
        <f t="shared" si="220"/>
        <v>105</v>
      </c>
      <c r="H641" s="8" t="s">
        <v>18</v>
      </c>
      <c r="I641" s="8" t="s">
        <v>11</v>
      </c>
      <c r="J641" s="8">
        <f t="shared" si="236"/>
        <v>7</v>
      </c>
      <c r="K641" s="4">
        <f>HOUR(F641)</f>
        <v>11</v>
      </c>
    </row>
    <row r="642" spans="1:11" ht="15.75" thickBot="1" x14ac:dyDescent="0.3">
      <c r="A642" s="7">
        <f t="shared" si="228"/>
        <v>634</v>
      </c>
      <c r="B642" s="8" t="str">
        <f t="shared" ref="B642:B701" si="239">VLOOKUP(H642,field_id,2,FALSE)</f>
        <v>7</v>
      </c>
      <c r="C642" s="8">
        <f t="shared" si="221"/>
        <v>2</v>
      </c>
      <c r="D642" s="8" t="s">
        <v>56</v>
      </c>
      <c r="E642" s="8"/>
      <c r="F642" s="9">
        <f t="shared" si="238"/>
        <v>43960.562499999993</v>
      </c>
      <c r="G642" s="8">
        <f t="shared" ref="G642:G701" si="240">VLOOKUP(I642,GameDuration,2,FALSE)</f>
        <v>120</v>
      </c>
      <c r="H642" s="8" t="s">
        <v>18</v>
      </c>
      <c r="I642" s="8" t="s">
        <v>8</v>
      </c>
      <c r="J642" s="8">
        <f t="shared" si="236"/>
        <v>7</v>
      </c>
      <c r="K642" s="4">
        <f>HOUR(F642)</f>
        <v>13</v>
      </c>
    </row>
    <row r="643" spans="1:11" ht="15.75" thickBot="1" x14ac:dyDescent="0.3">
      <c r="A643" s="7">
        <f t="shared" si="228"/>
        <v>635</v>
      </c>
      <c r="B643" s="8" t="str">
        <f t="shared" si="239"/>
        <v>7</v>
      </c>
      <c r="C643" s="8">
        <f t="shared" ref="C643:C701" si="241">VLOOKUP(I643,league_id,2,FALSE)</f>
        <v>2</v>
      </c>
      <c r="D643" s="8" t="s">
        <v>56</v>
      </c>
      <c r="E643" s="8"/>
      <c r="F643" s="9">
        <f t="shared" si="238"/>
        <v>43960.645833333328</v>
      </c>
      <c r="G643" s="8">
        <f t="shared" si="240"/>
        <v>120</v>
      </c>
      <c r="H643" s="8" t="s">
        <v>18</v>
      </c>
      <c r="I643" s="8" t="s">
        <v>8</v>
      </c>
      <c r="J643" s="8">
        <f t="shared" si="236"/>
        <v>7</v>
      </c>
      <c r="K643" s="4">
        <f>HOUR(F643)</f>
        <v>15</v>
      </c>
    </row>
    <row r="644" spans="1:11" ht="15.75" thickBot="1" x14ac:dyDescent="0.3">
      <c r="A644" s="7">
        <f t="shared" si="228"/>
        <v>636</v>
      </c>
      <c r="B644" s="8" t="str">
        <f t="shared" si="239"/>
        <v>7</v>
      </c>
      <c r="C644" s="8">
        <f t="shared" si="241"/>
        <v>2</v>
      </c>
      <c r="D644" s="8" t="s">
        <v>61</v>
      </c>
      <c r="E644" s="8"/>
      <c r="F644" s="9">
        <f t="shared" si="238"/>
        <v>43960.729166666664</v>
      </c>
      <c r="G644" s="8">
        <f t="shared" si="240"/>
        <v>120</v>
      </c>
      <c r="H644" s="8" t="s">
        <v>18</v>
      </c>
      <c r="I644" s="8" t="s">
        <v>8</v>
      </c>
      <c r="J644" s="8">
        <f t="shared" si="236"/>
        <v>7</v>
      </c>
      <c r="K644" s="4">
        <f>HOUR(F644)</f>
        <v>17</v>
      </c>
    </row>
    <row r="645" spans="1:11" ht="15.75" thickBot="1" x14ac:dyDescent="0.3">
      <c r="A645" s="3">
        <f t="shared" si="228"/>
        <v>637</v>
      </c>
      <c r="B645" s="4" t="str">
        <f t="shared" si="239"/>
        <v>8</v>
      </c>
      <c r="C645" s="4">
        <f t="shared" si="241"/>
        <v>5</v>
      </c>
      <c r="D645" s="4"/>
      <c r="E645" s="4"/>
      <c r="F645" s="5">
        <f>F600</f>
        <v>43960.375</v>
      </c>
      <c r="G645" s="4">
        <f t="shared" si="240"/>
        <v>90</v>
      </c>
      <c r="H645" s="4" t="s">
        <v>19</v>
      </c>
      <c r="I645" s="4" t="s">
        <v>10</v>
      </c>
      <c r="J645" s="4">
        <f t="shared" si="236"/>
        <v>7</v>
      </c>
      <c r="K645" s="4">
        <f>HOUR(F645)</f>
        <v>9</v>
      </c>
    </row>
    <row r="646" spans="1:11" ht="15.75" thickBot="1" x14ac:dyDescent="0.3">
      <c r="A646" s="7">
        <f t="shared" si="228"/>
        <v>638</v>
      </c>
      <c r="B646" s="8" t="str">
        <f t="shared" si="239"/>
        <v>8</v>
      </c>
      <c r="C646" s="8">
        <f t="shared" si="241"/>
        <v>5</v>
      </c>
      <c r="D646" s="8"/>
      <c r="E646" s="8"/>
      <c r="F646" s="9">
        <f>F645+G645/60/24</f>
        <v>43960.4375</v>
      </c>
      <c r="G646" s="8">
        <f t="shared" si="240"/>
        <v>90</v>
      </c>
      <c r="H646" s="8" t="s">
        <v>19</v>
      </c>
      <c r="I646" s="8" t="s">
        <v>10</v>
      </c>
      <c r="J646" s="8">
        <f t="shared" si="236"/>
        <v>7</v>
      </c>
      <c r="K646" s="4">
        <f>HOUR(F646)</f>
        <v>10</v>
      </c>
    </row>
    <row r="647" spans="1:11" ht="15.75" thickBot="1" x14ac:dyDescent="0.3">
      <c r="A647" s="7">
        <f t="shared" si="228"/>
        <v>639</v>
      </c>
      <c r="B647" s="8" t="str">
        <f t="shared" si="239"/>
        <v>8</v>
      </c>
      <c r="C647" s="8">
        <f t="shared" si="241"/>
        <v>3</v>
      </c>
      <c r="D647" s="8" t="s">
        <v>55</v>
      </c>
      <c r="E647" s="8"/>
      <c r="F647" s="9">
        <f t="shared" ref="F647:F650" si="242">F646+G646/60/24</f>
        <v>43960.5</v>
      </c>
      <c r="G647" s="8">
        <f t="shared" si="240"/>
        <v>105</v>
      </c>
      <c r="H647" s="8" t="s">
        <v>19</v>
      </c>
      <c r="I647" s="8" t="s">
        <v>11</v>
      </c>
      <c r="J647" s="8">
        <f t="shared" si="236"/>
        <v>7</v>
      </c>
      <c r="K647" s="4">
        <f>HOUR(F647)</f>
        <v>12</v>
      </c>
    </row>
    <row r="648" spans="1:11" ht="15.75" thickBot="1" x14ac:dyDescent="0.3">
      <c r="A648" s="7">
        <f t="shared" si="228"/>
        <v>640</v>
      </c>
      <c r="B648" s="8" t="str">
        <f t="shared" si="239"/>
        <v>8</v>
      </c>
      <c r="C648" s="8">
        <f t="shared" si="241"/>
        <v>2</v>
      </c>
      <c r="D648" s="8" t="s">
        <v>56</v>
      </c>
      <c r="E648" s="8"/>
      <c r="F648" s="9">
        <f t="shared" si="242"/>
        <v>43960.572916666664</v>
      </c>
      <c r="G648" s="8">
        <f t="shared" si="240"/>
        <v>120</v>
      </c>
      <c r="H648" s="8" t="s">
        <v>19</v>
      </c>
      <c r="I648" s="8" t="s">
        <v>8</v>
      </c>
      <c r="J648" s="8">
        <f t="shared" si="236"/>
        <v>7</v>
      </c>
      <c r="K648" s="4">
        <f>HOUR(F648)</f>
        <v>13</v>
      </c>
    </row>
    <row r="649" spans="1:11" ht="15.75" thickBot="1" x14ac:dyDescent="0.3">
      <c r="A649" s="7">
        <f t="shared" si="228"/>
        <v>641</v>
      </c>
      <c r="B649" s="8" t="str">
        <f t="shared" si="239"/>
        <v>8</v>
      </c>
      <c r="C649" s="8">
        <f t="shared" si="241"/>
        <v>2</v>
      </c>
      <c r="D649" s="8" t="s">
        <v>56</v>
      </c>
      <c r="E649" s="8"/>
      <c r="F649" s="9">
        <f t="shared" si="242"/>
        <v>43960.65625</v>
      </c>
      <c r="G649" s="8">
        <f t="shared" si="240"/>
        <v>120</v>
      </c>
      <c r="H649" s="8" t="s">
        <v>19</v>
      </c>
      <c r="I649" s="8" t="s">
        <v>8</v>
      </c>
      <c r="J649" s="8">
        <f t="shared" si="236"/>
        <v>7</v>
      </c>
      <c r="K649" s="4">
        <f>HOUR(F649)</f>
        <v>15</v>
      </c>
    </row>
    <row r="650" spans="1:11" ht="15.75" thickBot="1" x14ac:dyDescent="0.3">
      <c r="A650" s="7">
        <f t="shared" si="228"/>
        <v>642</v>
      </c>
      <c r="B650" s="8" t="str">
        <f t="shared" si="239"/>
        <v>8</v>
      </c>
      <c r="C650" s="8">
        <f t="shared" si="241"/>
        <v>2</v>
      </c>
      <c r="D650" s="8" t="s">
        <v>61</v>
      </c>
      <c r="E650" s="8"/>
      <c r="F650" s="9">
        <f t="shared" si="242"/>
        <v>43960.739583333336</v>
      </c>
      <c r="G650" s="8">
        <f t="shared" si="240"/>
        <v>120</v>
      </c>
      <c r="H650" s="8" t="s">
        <v>19</v>
      </c>
      <c r="I650" s="8" t="s">
        <v>8</v>
      </c>
      <c r="J650" s="8">
        <f t="shared" si="236"/>
        <v>7</v>
      </c>
      <c r="K650" s="4">
        <f>HOUR(F650)</f>
        <v>17</v>
      </c>
    </row>
    <row r="651" spans="1:11" ht="15.75" thickBot="1" x14ac:dyDescent="0.3">
      <c r="A651" s="3">
        <f>A650+1</f>
        <v>643</v>
      </c>
      <c r="B651" s="4" t="str">
        <f t="shared" si="239"/>
        <v>4</v>
      </c>
      <c r="C651" s="4">
        <f t="shared" si="241"/>
        <v>1</v>
      </c>
      <c r="D651" s="4">
        <f t="shared" ref="D651:D668" si="243">VLOOKUP(H651,slot_compat,3,FALSE)</f>
        <v>2</v>
      </c>
      <c r="E651" s="4"/>
      <c r="F651" s="5">
        <v>43967.375</v>
      </c>
      <c r="G651" s="4">
        <f t="shared" si="240"/>
        <v>120</v>
      </c>
      <c r="H651" s="4" t="s">
        <v>7</v>
      </c>
      <c r="I651" s="4" t="s">
        <v>7</v>
      </c>
      <c r="J651" s="4">
        <f t="shared" si="236"/>
        <v>7</v>
      </c>
      <c r="K651" s="4">
        <f>HOUR(F651)</f>
        <v>9</v>
      </c>
    </row>
    <row r="652" spans="1:11" ht="15.75" thickBot="1" x14ac:dyDescent="0.3">
      <c r="A652" s="7">
        <f>A651+1</f>
        <v>644</v>
      </c>
      <c r="B652" s="8" t="str">
        <f t="shared" si="239"/>
        <v>4</v>
      </c>
      <c r="C652" s="8">
        <f t="shared" si="241"/>
        <v>1</v>
      </c>
      <c r="D652" s="8">
        <f t="shared" si="243"/>
        <v>2</v>
      </c>
      <c r="E652" s="8"/>
      <c r="F652" s="9">
        <f>F651+G651/60/24</f>
        <v>43967.458333333336</v>
      </c>
      <c r="G652" s="8">
        <f t="shared" si="240"/>
        <v>120</v>
      </c>
      <c r="H652" s="8" t="s">
        <v>7</v>
      </c>
      <c r="I652" s="8" t="s">
        <v>7</v>
      </c>
      <c r="J652" s="8">
        <f t="shared" si="236"/>
        <v>7</v>
      </c>
      <c r="K652" s="4">
        <f>HOUR(F652)</f>
        <v>11</v>
      </c>
    </row>
    <row r="653" spans="1:11" ht="15.75" thickBot="1" x14ac:dyDescent="0.3">
      <c r="A653" s="7">
        <f t="shared" ref="A653:A701" si="244">A652+1</f>
        <v>645</v>
      </c>
      <c r="B653" s="8" t="str">
        <f t="shared" si="239"/>
        <v>4</v>
      </c>
      <c r="C653" s="8">
        <f t="shared" si="241"/>
        <v>1</v>
      </c>
      <c r="D653" s="8">
        <f t="shared" si="243"/>
        <v>2</v>
      </c>
      <c r="E653" s="8"/>
      <c r="F653" s="9">
        <f>F652+G652/60/24</f>
        <v>43967.541666666672</v>
      </c>
      <c r="G653" s="8">
        <f t="shared" si="240"/>
        <v>120</v>
      </c>
      <c r="H653" s="8" t="s">
        <v>7</v>
      </c>
      <c r="I653" s="8" t="s">
        <v>7</v>
      </c>
      <c r="J653" s="8">
        <f t="shared" si="236"/>
        <v>7</v>
      </c>
      <c r="K653" s="4">
        <f>HOUR(F653)</f>
        <v>13</v>
      </c>
    </row>
    <row r="654" spans="1:11" ht="15.75" thickBot="1" x14ac:dyDescent="0.3">
      <c r="A654" s="7">
        <f t="shared" si="244"/>
        <v>646</v>
      </c>
      <c r="B654" s="8" t="str">
        <f t="shared" si="239"/>
        <v>4</v>
      </c>
      <c r="C654" s="8">
        <f t="shared" si="241"/>
        <v>1</v>
      </c>
      <c r="D654" s="8">
        <f t="shared" si="243"/>
        <v>2</v>
      </c>
      <c r="E654" s="8"/>
      <c r="F654" s="9">
        <f>F653+G653/60/24</f>
        <v>43967.625000000007</v>
      </c>
      <c r="G654" s="8">
        <f t="shared" si="240"/>
        <v>120</v>
      </c>
      <c r="H654" s="8" t="s">
        <v>7</v>
      </c>
      <c r="I654" s="8" t="s">
        <v>7</v>
      </c>
      <c r="J654" s="8">
        <f t="shared" si="236"/>
        <v>7</v>
      </c>
      <c r="K654" s="4">
        <f>HOUR(F654)</f>
        <v>15</v>
      </c>
    </row>
    <row r="655" spans="1:11" ht="15.75" thickBot="1" x14ac:dyDescent="0.3">
      <c r="A655" s="7">
        <f>A653+1</f>
        <v>646</v>
      </c>
      <c r="B655" s="8" t="str">
        <f t="shared" si="239"/>
        <v>4</v>
      </c>
      <c r="C655" s="8">
        <f t="shared" si="241"/>
        <v>1</v>
      </c>
      <c r="D655" s="8">
        <f t="shared" si="243"/>
        <v>2</v>
      </c>
      <c r="E655" s="8"/>
      <c r="F655" s="9">
        <f>F654+G654/60/24</f>
        <v>43967.708333333343</v>
      </c>
      <c r="G655" s="8">
        <f t="shared" si="240"/>
        <v>120</v>
      </c>
      <c r="H655" s="8" t="s">
        <v>7</v>
      </c>
      <c r="I655" s="8" t="s">
        <v>7</v>
      </c>
      <c r="J655" s="8">
        <f t="shared" si="236"/>
        <v>7</v>
      </c>
      <c r="K655" s="4">
        <f>HOUR(F655)</f>
        <v>17</v>
      </c>
    </row>
    <row r="656" spans="1:11" ht="15.75" thickBot="1" x14ac:dyDescent="0.3">
      <c r="A656" s="10">
        <f>A654+1</f>
        <v>647</v>
      </c>
      <c r="B656" s="11" t="str">
        <f t="shared" si="239"/>
        <v>4</v>
      </c>
      <c r="C656" s="11">
        <f t="shared" si="241"/>
        <v>1</v>
      </c>
      <c r="D656" s="11">
        <f t="shared" si="243"/>
        <v>2</v>
      </c>
      <c r="E656" s="11"/>
      <c r="F656" s="9">
        <f>F655+G655/60/24</f>
        <v>43967.791666666679</v>
      </c>
      <c r="G656" s="11">
        <f t="shared" si="240"/>
        <v>120</v>
      </c>
      <c r="H656" s="11" t="s">
        <v>7</v>
      </c>
      <c r="I656" s="11" t="s">
        <v>7</v>
      </c>
      <c r="J656" s="11">
        <f t="shared" si="236"/>
        <v>7</v>
      </c>
      <c r="K656" s="4">
        <f>HOUR(F656)</f>
        <v>19</v>
      </c>
    </row>
    <row r="657" spans="1:11" ht="15.75" thickBot="1" x14ac:dyDescent="0.3">
      <c r="A657" s="3">
        <f t="shared" si="244"/>
        <v>648</v>
      </c>
      <c r="B657" s="4" t="str">
        <f t="shared" si="239"/>
        <v>3</v>
      </c>
      <c r="C657" s="8">
        <f t="shared" si="241"/>
        <v>2</v>
      </c>
      <c r="D657" s="8" t="str">
        <f t="shared" si="243"/>
        <v>1,3</v>
      </c>
      <c r="E657" s="4"/>
      <c r="F657" s="5">
        <f>F651</f>
        <v>43967.375</v>
      </c>
      <c r="G657" s="4">
        <f t="shared" si="240"/>
        <v>120</v>
      </c>
      <c r="H657" s="4" t="s">
        <v>8</v>
      </c>
      <c r="I657" s="4" t="s">
        <v>8</v>
      </c>
      <c r="J657" s="4">
        <f t="shared" si="236"/>
        <v>7</v>
      </c>
      <c r="K657" s="4">
        <f>HOUR(F657)</f>
        <v>9</v>
      </c>
    </row>
    <row r="658" spans="1:11" ht="15.75" thickBot="1" x14ac:dyDescent="0.3">
      <c r="A658" s="7">
        <f t="shared" si="244"/>
        <v>649</v>
      </c>
      <c r="B658" s="8" t="str">
        <f t="shared" si="239"/>
        <v>3</v>
      </c>
      <c r="C658" s="8">
        <f t="shared" si="241"/>
        <v>2</v>
      </c>
      <c r="D658" s="8" t="str">
        <f t="shared" si="243"/>
        <v>1,3</v>
      </c>
      <c r="E658" s="8"/>
      <c r="F658" s="9">
        <f>F657+G657/60/24</f>
        <v>43967.458333333336</v>
      </c>
      <c r="G658" s="8">
        <f t="shared" si="240"/>
        <v>120</v>
      </c>
      <c r="H658" s="8" t="s">
        <v>8</v>
      </c>
      <c r="I658" s="8" t="s">
        <v>8</v>
      </c>
      <c r="J658" s="8">
        <f t="shared" si="236"/>
        <v>7</v>
      </c>
      <c r="K658" s="4">
        <f>HOUR(F658)</f>
        <v>11</v>
      </c>
    </row>
    <row r="659" spans="1:11" ht="15.75" thickBot="1" x14ac:dyDescent="0.3">
      <c r="A659" s="7">
        <f t="shared" si="244"/>
        <v>650</v>
      </c>
      <c r="B659" s="8" t="str">
        <f t="shared" si="239"/>
        <v>3</v>
      </c>
      <c r="C659" s="8">
        <f t="shared" si="241"/>
        <v>2</v>
      </c>
      <c r="D659" s="8" t="str">
        <f t="shared" si="243"/>
        <v>1,3</v>
      </c>
      <c r="E659" s="8"/>
      <c r="F659" s="9">
        <f t="shared" ref="F659:F662" si="245">F658+G658/60/24</f>
        <v>43967.541666666672</v>
      </c>
      <c r="G659" s="8">
        <f t="shared" si="240"/>
        <v>120</v>
      </c>
      <c r="H659" s="8" t="s">
        <v>8</v>
      </c>
      <c r="I659" s="8" t="s">
        <v>8</v>
      </c>
      <c r="J659" s="8">
        <f t="shared" si="236"/>
        <v>7</v>
      </c>
      <c r="K659" s="4">
        <f>HOUR(F659)</f>
        <v>13</v>
      </c>
    </row>
    <row r="660" spans="1:11" ht="15.75" thickBot="1" x14ac:dyDescent="0.3">
      <c r="A660" s="7">
        <f t="shared" si="244"/>
        <v>651</v>
      </c>
      <c r="B660" s="8" t="str">
        <f t="shared" si="239"/>
        <v>3</v>
      </c>
      <c r="C660" s="8">
        <f t="shared" si="241"/>
        <v>2</v>
      </c>
      <c r="D660" s="8" t="str">
        <f t="shared" si="243"/>
        <v>1,3</v>
      </c>
      <c r="E660" s="8"/>
      <c r="F660" s="9">
        <f t="shared" si="245"/>
        <v>43967.625000000007</v>
      </c>
      <c r="G660" s="8">
        <f t="shared" si="240"/>
        <v>120</v>
      </c>
      <c r="H660" s="8" t="s">
        <v>8</v>
      </c>
      <c r="I660" s="8" t="s">
        <v>8</v>
      </c>
      <c r="J660" s="8">
        <f t="shared" si="236"/>
        <v>7</v>
      </c>
      <c r="K660" s="4">
        <f>HOUR(F660)</f>
        <v>15</v>
      </c>
    </row>
    <row r="661" spans="1:11" ht="15.75" thickBot="1" x14ac:dyDescent="0.3">
      <c r="A661" s="7">
        <f t="shared" si="244"/>
        <v>652</v>
      </c>
      <c r="B661" s="8" t="str">
        <f t="shared" si="239"/>
        <v>3</v>
      </c>
      <c r="C661" s="8">
        <f t="shared" si="241"/>
        <v>2</v>
      </c>
      <c r="D661" s="8" t="str">
        <f t="shared" si="243"/>
        <v>1,3</v>
      </c>
      <c r="E661" s="8"/>
      <c r="F661" s="9">
        <f t="shared" si="245"/>
        <v>43967.708333333343</v>
      </c>
      <c r="G661" s="8">
        <f t="shared" si="240"/>
        <v>120</v>
      </c>
      <c r="H661" s="8" t="s">
        <v>8</v>
      </c>
      <c r="I661" s="8" t="s">
        <v>8</v>
      </c>
      <c r="J661" s="8">
        <f t="shared" si="236"/>
        <v>7</v>
      </c>
      <c r="K661" s="4">
        <f>HOUR(F661)</f>
        <v>17</v>
      </c>
    </row>
    <row r="662" spans="1:11" ht="15.75" thickBot="1" x14ac:dyDescent="0.3">
      <c r="A662" s="7">
        <f t="shared" si="244"/>
        <v>653</v>
      </c>
      <c r="B662" s="8" t="str">
        <f t="shared" si="239"/>
        <v>3</v>
      </c>
      <c r="C662" s="8">
        <f t="shared" si="241"/>
        <v>2</v>
      </c>
      <c r="D662" s="8" t="str">
        <f t="shared" si="243"/>
        <v>1,3</v>
      </c>
      <c r="E662" s="8"/>
      <c r="F662" s="9">
        <f t="shared" si="245"/>
        <v>43967.791666666679</v>
      </c>
      <c r="G662" s="8">
        <f t="shared" si="240"/>
        <v>120</v>
      </c>
      <c r="H662" s="8" t="s">
        <v>8</v>
      </c>
      <c r="I662" s="8" t="s">
        <v>8</v>
      </c>
      <c r="J662" s="8">
        <f t="shared" si="236"/>
        <v>7</v>
      </c>
      <c r="K662" s="4">
        <f>HOUR(F662)</f>
        <v>19</v>
      </c>
    </row>
    <row r="663" spans="1:11" ht="15.75" thickBot="1" x14ac:dyDescent="0.3">
      <c r="A663" s="3">
        <f t="shared" si="244"/>
        <v>654</v>
      </c>
      <c r="B663" s="4" t="str">
        <f t="shared" si="239"/>
        <v>2</v>
      </c>
      <c r="C663" s="4">
        <f t="shared" si="241"/>
        <v>6</v>
      </c>
      <c r="D663" s="4"/>
      <c r="E663" s="4"/>
      <c r="F663" s="5">
        <f>F651</f>
        <v>43967.375</v>
      </c>
      <c r="G663" s="4">
        <f t="shared" si="240"/>
        <v>60</v>
      </c>
      <c r="H663" s="4" t="s">
        <v>9</v>
      </c>
      <c r="I663" s="4" t="s">
        <v>13</v>
      </c>
      <c r="J663" s="4">
        <f t="shared" si="236"/>
        <v>7</v>
      </c>
      <c r="K663" s="4">
        <f>HOUR(F663)</f>
        <v>9</v>
      </c>
    </row>
    <row r="664" spans="1:11" ht="15.75" thickBot="1" x14ac:dyDescent="0.3">
      <c r="A664" s="7">
        <f t="shared" si="244"/>
        <v>655</v>
      </c>
      <c r="B664" s="8" t="str">
        <f t="shared" si="239"/>
        <v>2</v>
      </c>
      <c r="C664" s="8">
        <f t="shared" si="241"/>
        <v>4</v>
      </c>
      <c r="D664" s="8" t="str">
        <f t="shared" si="243"/>
        <v>5,6</v>
      </c>
      <c r="E664" s="8"/>
      <c r="F664" s="9">
        <f>F663+G663/60/24</f>
        <v>43967.416666666664</v>
      </c>
      <c r="G664" s="8">
        <f t="shared" si="240"/>
        <v>105</v>
      </c>
      <c r="H664" s="8" t="s">
        <v>9</v>
      </c>
      <c r="I664" s="8" t="s">
        <v>12</v>
      </c>
      <c r="J664" s="8">
        <f t="shared" si="236"/>
        <v>7</v>
      </c>
      <c r="K664" s="4">
        <f>HOUR(F664)</f>
        <v>10</v>
      </c>
    </row>
    <row r="665" spans="1:11" ht="15.75" thickBot="1" x14ac:dyDescent="0.3">
      <c r="A665" s="7">
        <f t="shared" si="244"/>
        <v>656</v>
      </c>
      <c r="B665" s="8" t="str">
        <f t="shared" si="239"/>
        <v>2</v>
      </c>
      <c r="C665" s="8">
        <f t="shared" si="241"/>
        <v>4</v>
      </c>
      <c r="D665" s="8" t="str">
        <f t="shared" si="243"/>
        <v>5,6</v>
      </c>
      <c r="E665" s="8"/>
      <c r="F665" s="9">
        <f t="shared" ref="F665:F669" si="246">F664+G664/60/24</f>
        <v>43967.489583333328</v>
      </c>
      <c r="G665" s="8">
        <f t="shared" si="240"/>
        <v>105</v>
      </c>
      <c r="H665" s="8" t="s">
        <v>9</v>
      </c>
      <c r="I665" s="8" t="s">
        <v>12</v>
      </c>
      <c r="J665" s="8">
        <f t="shared" si="236"/>
        <v>7</v>
      </c>
      <c r="K665" s="4">
        <f>HOUR(F665)</f>
        <v>11</v>
      </c>
    </row>
    <row r="666" spans="1:11" ht="15.75" thickBot="1" x14ac:dyDescent="0.3">
      <c r="A666" s="7">
        <f t="shared" si="244"/>
        <v>657</v>
      </c>
      <c r="B666" s="8" t="str">
        <f t="shared" si="239"/>
        <v>2</v>
      </c>
      <c r="C666" s="8">
        <f t="shared" si="241"/>
        <v>4</v>
      </c>
      <c r="D666" s="8" t="str">
        <f t="shared" si="243"/>
        <v>5,6</v>
      </c>
      <c r="E666" s="8"/>
      <c r="F666" s="9">
        <f t="shared" si="246"/>
        <v>43967.562499999993</v>
      </c>
      <c r="G666" s="8">
        <f t="shared" si="240"/>
        <v>105</v>
      </c>
      <c r="H666" s="8" t="s">
        <v>9</v>
      </c>
      <c r="I666" s="8" t="s">
        <v>12</v>
      </c>
      <c r="J666" s="8">
        <f t="shared" si="236"/>
        <v>7</v>
      </c>
      <c r="K666" s="4">
        <f>HOUR(F666)</f>
        <v>13</v>
      </c>
    </row>
    <row r="667" spans="1:11" ht="15.75" thickBot="1" x14ac:dyDescent="0.3">
      <c r="A667" s="7">
        <f t="shared" si="244"/>
        <v>658</v>
      </c>
      <c r="B667" s="8" t="str">
        <f t="shared" si="239"/>
        <v>2</v>
      </c>
      <c r="C667" s="8">
        <f t="shared" si="241"/>
        <v>4</v>
      </c>
      <c r="D667" s="8" t="str">
        <f t="shared" si="243"/>
        <v>5,6</v>
      </c>
      <c r="E667" s="8"/>
      <c r="F667" s="9">
        <f t="shared" si="246"/>
        <v>43967.635416666657</v>
      </c>
      <c r="G667" s="8">
        <f t="shared" si="240"/>
        <v>105</v>
      </c>
      <c r="H667" s="8" t="s">
        <v>9</v>
      </c>
      <c r="I667" s="8" t="s">
        <v>12</v>
      </c>
      <c r="J667" s="8">
        <f t="shared" si="236"/>
        <v>7</v>
      </c>
      <c r="K667" s="4">
        <f>HOUR(F667)</f>
        <v>15</v>
      </c>
    </row>
    <row r="668" spans="1:11" ht="15.75" thickBot="1" x14ac:dyDescent="0.3">
      <c r="A668" s="7">
        <f t="shared" si="244"/>
        <v>659</v>
      </c>
      <c r="B668" s="8" t="str">
        <f t="shared" si="239"/>
        <v>2</v>
      </c>
      <c r="C668" s="8">
        <f t="shared" si="241"/>
        <v>4</v>
      </c>
      <c r="D668" s="8" t="str">
        <f t="shared" si="243"/>
        <v>5,6</v>
      </c>
      <c r="E668" s="8"/>
      <c r="F668" s="9">
        <f t="shared" si="246"/>
        <v>43967.708333333321</v>
      </c>
      <c r="G668" s="8">
        <f t="shared" si="240"/>
        <v>105</v>
      </c>
      <c r="H668" s="8" t="s">
        <v>9</v>
      </c>
      <c r="I668" s="8" t="s">
        <v>12</v>
      </c>
      <c r="J668" s="8">
        <f t="shared" si="236"/>
        <v>7</v>
      </c>
      <c r="K668" s="4">
        <f>HOUR(F668)</f>
        <v>17</v>
      </c>
    </row>
    <row r="669" spans="1:11" ht="15.75" thickBot="1" x14ac:dyDescent="0.3">
      <c r="A669" s="7">
        <f t="shared" si="244"/>
        <v>660</v>
      </c>
      <c r="B669" s="8" t="str">
        <f t="shared" si="239"/>
        <v>2</v>
      </c>
      <c r="C669" s="8">
        <f t="shared" si="241"/>
        <v>4</v>
      </c>
      <c r="D669" s="8"/>
      <c r="E669" s="8"/>
      <c r="F669" s="9">
        <f t="shared" si="246"/>
        <v>43967.781249999985</v>
      </c>
      <c r="G669" s="8">
        <f t="shared" si="240"/>
        <v>105</v>
      </c>
      <c r="H669" s="8" t="s">
        <v>9</v>
      </c>
      <c r="I669" s="8" t="s">
        <v>12</v>
      </c>
      <c r="J669" s="8">
        <f t="shared" si="236"/>
        <v>7</v>
      </c>
      <c r="K669" s="4">
        <f>HOUR(F669)</f>
        <v>18</v>
      </c>
    </row>
    <row r="670" spans="1:11" ht="15.75" thickBot="1" x14ac:dyDescent="0.3">
      <c r="A670" s="3">
        <f t="shared" si="244"/>
        <v>661</v>
      </c>
      <c r="B670" s="4" t="str">
        <f t="shared" si="239"/>
        <v>1</v>
      </c>
      <c r="C670" s="4">
        <v>6</v>
      </c>
      <c r="D670" s="4"/>
      <c r="E670" s="4"/>
      <c r="F670" s="5">
        <f>F651</f>
        <v>43967.375</v>
      </c>
      <c r="G670" s="4">
        <f t="shared" si="240"/>
        <v>60</v>
      </c>
      <c r="H670" s="4" t="s">
        <v>15</v>
      </c>
      <c r="I670" s="4" t="s">
        <v>14</v>
      </c>
      <c r="J670" s="4">
        <f>WEEKDAY(F670)</f>
        <v>7</v>
      </c>
      <c r="K670" s="4">
        <f>HOUR(F670)</f>
        <v>9</v>
      </c>
    </row>
    <row r="671" spans="1:11" ht="15.75" thickBot="1" x14ac:dyDescent="0.3">
      <c r="A671" s="7">
        <f t="shared" si="244"/>
        <v>662</v>
      </c>
      <c r="B671" s="8" t="str">
        <f t="shared" si="239"/>
        <v>1</v>
      </c>
      <c r="C671" s="8">
        <f t="shared" si="241"/>
        <v>6</v>
      </c>
      <c r="D671" s="8"/>
      <c r="E671" s="8"/>
      <c r="F671" s="9">
        <f>F670+G670/60/24</f>
        <v>43967.416666666664</v>
      </c>
      <c r="G671" s="8">
        <f t="shared" si="240"/>
        <v>60</v>
      </c>
      <c r="H671" s="8" t="s">
        <v>15</v>
      </c>
      <c r="I671" s="8" t="s">
        <v>13</v>
      </c>
      <c r="J671" s="8">
        <f>WEEKDAY(F671)</f>
        <v>7</v>
      </c>
      <c r="K671" s="4">
        <f>HOUR(F671)</f>
        <v>10</v>
      </c>
    </row>
    <row r="672" spans="1:11" ht="15.75" thickBot="1" x14ac:dyDescent="0.3">
      <c r="A672" s="7">
        <f t="shared" si="244"/>
        <v>663</v>
      </c>
      <c r="B672" s="8" t="str">
        <f t="shared" si="239"/>
        <v>1</v>
      </c>
      <c r="C672" s="8">
        <f t="shared" si="241"/>
        <v>5</v>
      </c>
      <c r="D672" s="8"/>
      <c r="E672" s="8"/>
      <c r="F672" s="9">
        <f t="shared" ref="F672:F676" si="247">F671+G671/60/24</f>
        <v>43967.458333333328</v>
      </c>
      <c r="G672" s="8">
        <f t="shared" si="240"/>
        <v>90</v>
      </c>
      <c r="H672" s="8" t="s">
        <v>15</v>
      </c>
      <c r="I672" s="8" t="s">
        <v>10</v>
      </c>
      <c r="J672" s="8">
        <f>WEEKDAY(F672)</f>
        <v>7</v>
      </c>
      <c r="K672" s="4">
        <f>HOUR(F672)</f>
        <v>11</v>
      </c>
    </row>
    <row r="673" spans="1:11" ht="15.75" thickBot="1" x14ac:dyDescent="0.3">
      <c r="A673" s="7">
        <f t="shared" si="244"/>
        <v>664</v>
      </c>
      <c r="B673" s="8" t="str">
        <f t="shared" si="239"/>
        <v>1</v>
      </c>
      <c r="C673" s="8">
        <f t="shared" si="241"/>
        <v>5</v>
      </c>
      <c r="D673" s="8"/>
      <c r="E673" s="8"/>
      <c r="F673" s="9">
        <f t="shared" si="247"/>
        <v>43967.520833333328</v>
      </c>
      <c r="G673" s="8">
        <f t="shared" si="240"/>
        <v>90</v>
      </c>
      <c r="H673" s="8" t="s">
        <v>15</v>
      </c>
      <c r="I673" s="8" t="s">
        <v>10</v>
      </c>
      <c r="J673" s="8">
        <f>WEEKDAY(F673)</f>
        <v>7</v>
      </c>
      <c r="K673" s="4">
        <f>HOUR(F673)</f>
        <v>12</v>
      </c>
    </row>
    <row r="674" spans="1:11" ht="15.75" thickBot="1" x14ac:dyDescent="0.3">
      <c r="A674" s="7">
        <f t="shared" si="244"/>
        <v>665</v>
      </c>
      <c r="B674" s="8" t="str">
        <f t="shared" si="239"/>
        <v>1</v>
      </c>
      <c r="C674" s="8">
        <f t="shared" si="241"/>
        <v>5</v>
      </c>
      <c r="D674" s="8"/>
      <c r="E674" s="8"/>
      <c r="F674" s="9">
        <f t="shared" si="247"/>
        <v>43967.583333333328</v>
      </c>
      <c r="G674" s="8">
        <f t="shared" si="240"/>
        <v>90</v>
      </c>
      <c r="H674" s="8" t="s">
        <v>15</v>
      </c>
      <c r="I674" s="8" t="s">
        <v>10</v>
      </c>
      <c r="J674" s="8">
        <f t="shared" ref="J674:J676" si="248">WEEKDAY(F674)</f>
        <v>7</v>
      </c>
      <c r="K674" s="4">
        <f>HOUR(F674)</f>
        <v>14</v>
      </c>
    </row>
    <row r="675" spans="1:11" ht="15.75" thickBot="1" x14ac:dyDescent="0.3">
      <c r="A675" s="7">
        <f t="shared" si="244"/>
        <v>666</v>
      </c>
      <c r="B675" s="8" t="str">
        <f t="shared" si="239"/>
        <v>1</v>
      </c>
      <c r="C675" s="8">
        <f t="shared" si="241"/>
        <v>5</v>
      </c>
      <c r="D675" s="8"/>
      <c r="E675" s="8"/>
      <c r="F675" s="9">
        <f t="shared" si="247"/>
        <v>43967.645833333328</v>
      </c>
      <c r="G675" s="8">
        <f t="shared" si="240"/>
        <v>90</v>
      </c>
      <c r="H675" s="8" t="s">
        <v>15</v>
      </c>
      <c r="I675" s="8" t="s">
        <v>10</v>
      </c>
      <c r="J675" s="8">
        <f t="shared" si="248"/>
        <v>7</v>
      </c>
      <c r="K675" s="4">
        <f>HOUR(F675)</f>
        <v>15</v>
      </c>
    </row>
    <row r="676" spans="1:11" ht="15.75" thickBot="1" x14ac:dyDescent="0.3">
      <c r="A676" s="10">
        <f t="shared" si="244"/>
        <v>667</v>
      </c>
      <c r="B676" s="11" t="str">
        <f t="shared" si="239"/>
        <v>1</v>
      </c>
      <c r="C676" s="11">
        <f t="shared" si="241"/>
        <v>5</v>
      </c>
      <c r="D676" s="11"/>
      <c r="E676" s="11"/>
      <c r="F676" s="9">
        <f t="shared" si="247"/>
        <v>43967.708333333328</v>
      </c>
      <c r="G676" s="11">
        <f t="shared" si="240"/>
        <v>90</v>
      </c>
      <c r="H676" s="11" t="s">
        <v>15</v>
      </c>
      <c r="I676" s="11" t="s">
        <v>10</v>
      </c>
      <c r="J676" s="11">
        <f t="shared" si="248"/>
        <v>7</v>
      </c>
      <c r="K676" s="4">
        <f>HOUR(F676)</f>
        <v>17</v>
      </c>
    </row>
    <row r="677" spans="1:11" ht="15.75" thickBot="1" x14ac:dyDescent="0.3">
      <c r="A677" s="3">
        <f t="shared" si="244"/>
        <v>668</v>
      </c>
      <c r="B677" s="4" t="str">
        <f t="shared" si="239"/>
        <v>5</v>
      </c>
      <c r="C677" s="4">
        <f t="shared" si="241"/>
        <v>6</v>
      </c>
      <c r="D677" s="4"/>
      <c r="E677" s="4"/>
      <c r="F677" s="5">
        <f>F651</f>
        <v>43967.375</v>
      </c>
      <c r="G677" s="4">
        <f t="shared" si="240"/>
        <v>60</v>
      </c>
      <c r="H677" s="4" t="s">
        <v>16</v>
      </c>
      <c r="I677" s="4" t="s">
        <v>13</v>
      </c>
      <c r="J677" s="4">
        <f>WEEKDAY(F677)</f>
        <v>7</v>
      </c>
      <c r="K677" s="4">
        <f>HOUR(F677)</f>
        <v>9</v>
      </c>
    </row>
    <row r="678" spans="1:11" ht="15.75" thickBot="1" x14ac:dyDescent="0.3">
      <c r="A678" s="7">
        <f t="shared" si="244"/>
        <v>669</v>
      </c>
      <c r="B678" s="8" t="str">
        <f t="shared" si="239"/>
        <v>5</v>
      </c>
      <c r="C678" s="8">
        <f t="shared" si="241"/>
        <v>5</v>
      </c>
      <c r="D678" s="8">
        <v>6</v>
      </c>
      <c r="E678" s="8"/>
      <c r="F678" s="9">
        <f>F677+G677/60/24</f>
        <v>43967.416666666664</v>
      </c>
      <c r="G678" s="8">
        <f t="shared" si="240"/>
        <v>90</v>
      </c>
      <c r="H678" s="8" t="s">
        <v>16</v>
      </c>
      <c r="I678" s="8" t="s">
        <v>10</v>
      </c>
      <c r="J678" s="8">
        <f>WEEKDAY(F678)</f>
        <v>7</v>
      </c>
      <c r="K678" s="4">
        <f>HOUR(F678)</f>
        <v>10</v>
      </c>
    </row>
    <row r="679" spans="1:11" ht="15.75" thickBot="1" x14ac:dyDescent="0.3">
      <c r="A679" s="7">
        <f t="shared" si="244"/>
        <v>670</v>
      </c>
      <c r="B679" s="8" t="str">
        <f t="shared" si="239"/>
        <v>5</v>
      </c>
      <c r="C679" s="8">
        <f t="shared" si="241"/>
        <v>4</v>
      </c>
      <c r="D679" s="8">
        <f t="shared" ref="D679:D682" si="249">VLOOKUP(H679,slot_compat,3,FALSE)</f>
        <v>5</v>
      </c>
      <c r="E679" s="8"/>
      <c r="F679" s="9">
        <f t="shared" ref="F679:F683" si="250">F678+G678/60/24</f>
        <v>43967.479166666664</v>
      </c>
      <c r="G679" s="8">
        <f t="shared" si="240"/>
        <v>105</v>
      </c>
      <c r="H679" s="8" t="s">
        <v>16</v>
      </c>
      <c r="I679" s="8" t="s">
        <v>12</v>
      </c>
      <c r="J679" s="8">
        <f>WEEKDAY(F679)</f>
        <v>7</v>
      </c>
      <c r="K679" s="4">
        <f>HOUR(F679)</f>
        <v>11</v>
      </c>
    </row>
    <row r="680" spans="1:11" ht="15.75" thickBot="1" x14ac:dyDescent="0.3">
      <c r="A680" s="7">
        <f t="shared" si="244"/>
        <v>671</v>
      </c>
      <c r="B680" s="8" t="str">
        <f t="shared" si="239"/>
        <v>5</v>
      </c>
      <c r="C680" s="8">
        <f t="shared" si="241"/>
        <v>4</v>
      </c>
      <c r="D680" s="8">
        <f t="shared" si="249"/>
        <v>5</v>
      </c>
      <c r="E680" s="8"/>
      <c r="F680" s="9">
        <f t="shared" si="250"/>
        <v>43967.552083333328</v>
      </c>
      <c r="G680" s="8">
        <f t="shared" si="240"/>
        <v>105</v>
      </c>
      <c r="H680" s="8" t="s">
        <v>16</v>
      </c>
      <c r="I680" s="8" t="s">
        <v>12</v>
      </c>
      <c r="J680" s="8">
        <f>WEEKDAY(F680)</f>
        <v>7</v>
      </c>
      <c r="K680" s="4">
        <f>HOUR(F680)</f>
        <v>13</v>
      </c>
    </row>
    <row r="681" spans="1:11" ht="15.75" thickBot="1" x14ac:dyDescent="0.3">
      <c r="A681" s="7">
        <f t="shared" si="244"/>
        <v>672</v>
      </c>
      <c r="B681" s="8" t="str">
        <f t="shared" si="239"/>
        <v>5</v>
      </c>
      <c r="C681" s="8">
        <f t="shared" si="241"/>
        <v>4</v>
      </c>
      <c r="D681" s="8">
        <f t="shared" si="249"/>
        <v>5</v>
      </c>
      <c r="E681" s="8"/>
      <c r="F681" s="9">
        <f t="shared" si="250"/>
        <v>43967.624999999993</v>
      </c>
      <c r="G681" s="8">
        <f t="shared" si="240"/>
        <v>105</v>
      </c>
      <c r="H681" s="8" t="s">
        <v>16</v>
      </c>
      <c r="I681" s="8" t="s">
        <v>12</v>
      </c>
      <c r="J681" s="8">
        <f t="shared" ref="J681:J701" si="251">WEEKDAY(F681)</f>
        <v>7</v>
      </c>
      <c r="K681" s="4">
        <f>HOUR(F681)</f>
        <v>15</v>
      </c>
    </row>
    <row r="682" spans="1:11" ht="15.75" thickBot="1" x14ac:dyDescent="0.3">
      <c r="A682" s="7">
        <f t="shared" si="244"/>
        <v>673</v>
      </c>
      <c r="B682" s="8" t="str">
        <f t="shared" si="239"/>
        <v>5</v>
      </c>
      <c r="C682" s="8">
        <f t="shared" si="241"/>
        <v>4</v>
      </c>
      <c r="D682" s="8">
        <f t="shared" si="249"/>
        <v>5</v>
      </c>
      <c r="E682" s="8"/>
      <c r="F682" s="9">
        <f t="shared" si="250"/>
        <v>43967.697916666657</v>
      </c>
      <c r="G682" s="8">
        <f t="shared" si="240"/>
        <v>105</v>
      </c>
      <c r="H682" s="8" t="s">
        <v>16</v>
      </c>
      <c r="I682" s="8" t="s">
        <v>12</v>
      </c>
      <c r="J682" s="8">
        <f t="shared" si="251"/>
        <v>7</v>
      </c>
      <c r="K682" s="4">
        <f>HOUR(F682)</f>
        <v>16</v>
      </c>
    </row>
    <row r="683" spans="1:11" ht="15.75" thickBot="1" x14ac:dyDescent="0.3">
      <c r="A683" s="7">
        <f t="shared" si="244"/>
        <v>674</v>
      </c>
      <c r="B683" s="8" t="str">
        <f t="shared" si="239"/>
        <v>5</v>
      </c>
      <c r="C683" s="8">
        <f t="shared" si="241"/>
        <v>4</v>
      </c>
      <c r="D683" s="8"/>
      <c r="E683" s="8"/>
      <c r="F683" s="9">
        <f t="shared" si="250"/>
        <v>43967.770833333321</v>
      </c>
      <c r="G683" s="8">
        <f t="shared" si="240"/>
        <v>105</v>
      </c>
      <c r="H683" s="8" t="s">
        <v>16</v>
      </c>
      <c r="I683" s="8" t="s">
        <v>12</v>
      </c>
      <c r="J683" s="8">
        <f t="shared" si="251"/>
        <v>7</v>
      </c>
      <c r="K683" s="4">
        <f>HOUR(F683)</f>
        <v>18</v>
      </c>
    </row>
    <row r="684" spans="1:11" ht="15.75" thickBot="1" x14ac:dyDescent="0.3">
      <c r="A684" s="3">
        <f t="shared" si="244"/>
        <v>675</v>
      </c>
      <c r="B684" s="4" t="str">
        <f t="shared" si="239"/>
        <v>6</v>
      </c>
      <c r="C684" s="4">
        <f t="shared" si="241"/>
        <v>4</v>
      </c>
      <c r="D684" s="4">
        <v>5</v>
      </c>
      <c r="E684" s="4"/>
      <c r="F684" s="5">
        <f>F651</f>
        <v>43967.375</v>
      </c>
      <c r="G684" s="4">
        <f t="shared" si="240"/>
        <v>105</v>
      </c>
      <c r="H684" s="4" t="s">
        <v>17</v>
      </c>
      <c r="I684" s="4" t="s">
        <v>12</v>
      </c>
      <c r="J684" s="4">
        <f t="shared" si="251"/>
        <v>7</v>
      </c>
      <c r="K684" s="4">
        <f>HOUR(F684)</f>
        <v>9</v>
      </c>
    </row>
    <row r="685" spans="1:11" ht="15.75" thickBot="1" x14ac:dyDescent="0.3">
      <c r="A685" s="7">
        <f t="shared" si="244"/>
        <v>676</v>
      </c>
      <c r="B685" s="8" t="str">
        <f t="shared" si="239"/>
        <v>6</v>
      </c>
      <c r="C685" s="8">
        <f t="shared" si="241"/>
        <v>3</v>
      </c>
      <c r="D685" s="8" t="s">
        <v>55</v>
      </c>
      <c r="E685" s="8"/>
      <c r="F685" s="9">
        <f>F684+G684/60/24</f>
        <v>43967.447916666664</v>
      </c>
      <c r="G685" s="8">
        <f t="shared" si="240"/>
        <v>105</v>
      </c>
      <c r="H685" s="8" t="s">
        <v>17</v>
      </c>
      <c r="I685" s="8" t="s">
        <v>11</v>
      </c>
      <c r="J685" s="8">
        <f t="shared" si="251"/>
        <v>7</v>
      </c>
      <c r="K685" s="4">
        <f>HOUR(F685)</f>
        <v>10</v>
      </c>
    </row>
    <row r="686" spans="1:11" ht="15.75" thickBot="1" x14ac:dyDescent="0.3">
      <c r="A686" s="7">
        <f t="shared" si="244"/>
        <v>677</v>
      </c>
      <c r="B686" s="8" t="str">
        <f t="shared" si="239"/>
        <v>6</v>
      </c>
      <c r="C686" s="8">
        <f t="shared" si="241"/>
        <v>3</v>
      </c>
      <c r="D686" s="8" t="s">
        <v>55</v>
      </c>
      <c r="E686" s="8"/>
      <c r="F686" s="9">
        <f t="shared" ref="F686:F689" si="252">F685+G685/60/24</f>
        <v>43967.520833333328</v>
      </c>
      <c r="G686" s="8">
        <f t="shared" si="240"/>
        <v>105</v>
      </c>
      <c r="H686" s="8" t="s">
        <v>17</v>
      </c>
      <c r="I686" s="8" t="s">
        <v>11</v>
      </c>
      <c r="J686" s="8">
        <f t="shared" si="251"/>
        <v>7</v>
      </c>
      <c r="K686" s="4">
        <f>HOUR(F686)</f>
        <v>12</v>
      </c>
    </row>
    <row r="687" spans="1:11" ht="15.75" thickBot="1" x14ac:dyDescent="0.3">
      <c r="A687" s="7">
        <f t="shared" si="244"/>
        <v>678</v>
      </c>
      <c r="B687" s="8" t="str">
        <f t="shared" si="239"/>
        <v>6</v>
      </c>
      <c r="C687" s="8">
        <f t="shared" si="241"/>
        <v>3</v>
      </c>
      <c r="D687" s="8" t="s">
        <v>55</v>
      </c>
      <c r="E687" s="8"/>
      <c r="F687" s="9">
        <f t="shared" si="252"/>
        <v>43967.593749999993</v>
      </c>
      <c r="G687" s="8">
        <f t="shared" si="240"/>
        <v>105</v>
      </c>
      <c r="H687" s="8" t="s">
        <v>17</v>
      </c>
      <c r="I687" s="8" t="s">
        <v>11</v>
      </c>
      <c r="J687" s="8">
        <f t="shared" si="251"/>
        <v>7</v>
      </c>
      <c r="K687" s="4">
        <f>HOUR(F687)</f>
        <v>14</v>
      </c>
    </row>
    <row r="688" spans="1:11" ht="15.75" thickBot="1" x14ac:dyDescent="0.3">
      <c r="A688" s="7">
        <f t="shared" si="244"/>
        <v>679</v>
      </c>
      <c r="B688" s="8" t="str">
        <f t="shared" si="239"/>
        <v>6</v>
      </c>
      <c r="C688" s="8">
        <f t="shared" si="241"/>
        <v>3</v>
      </c>
      <c r="D688" s="8" t="s">
        <v>55</v>
      </c>
      <c r="E688" s="8"/>
      <c r="F688" s="9">
        <f t="shared" si="252"/>
        <v>43967.666666666657</v>
      </c>
      <c r="G688" s="8">
        <f t="shared" si="240"/>
        <v>105</v>
      </c>
      <c r="H688" s="8" t="s">
        <v>17</v>
      </c>
      <c r="I688" s="8" t="s">
        <v>11</v>
      </c>
      <c r="J688" s="8">
        <f t="shared" si="251"/>
        <v>7</v>
      </c>
      <c r="K688" s="4">
        <f>HOUR(F688)</f>
        <v>16</v>
      </c>
    </row>
    <row r="689" spans="1:11" ht="15.75" thickBot="1" x14ac:dyDescent="0.3">
      <c r="A689" s="7">
        <f t="shared" si="244"/>
        <v>680</v>
      </c>
      <c r="B689" s="8" t="str">
        <f t="shared" si="239"/>
        <v>6</v>
      </c>
      <c r="C689" s="8">
        <v>2</v>
      </c>
      <c r="D689" s="14" t="s">
        <v>61</v>
      </c>
      <c r="E689" s="8"/>
      <c r="F689" s="9">
        <f t="shared" si="252"/>
        <v>43967.739583333321</v>
      </c>
      <c r="G689" s="8">
        <f t="shared" si="240"/>
        <v>105</v>
      </c>
      <c r="H689" s="8" t="s">
        <v>17</v>
      </c>
      <c r="I689" s="8" t="s">
        <v>11</v>
      </c>
      <c r="J689" s="8">
        <f t="shared" si="251"/>
        <v>7</v>
      </c>
      <c r="K689" s="4">
        <f>HOUR(F689)</f>
        <v>17</v>
      </c>
    </row>
    <row r="690" spans="1:11" ht="15.75" thickBot="1" x14ac:dyDescent="0.3">
      <c r="A690" s="3">
        <f t="shared" si="244"/>
        <v>681</v>
      </c>
      <c r="B690" s="4" t="str">
        <f t="shared" si="239"/>
        <v>7</v>
      </c>
      <c r="C690" s="4">
        <f t="shared" si="241"/>
        <v>6</v>
      </c>
      <c r="D690" s="4"/>
      <c r="E690" s="4"/>
      <c r="F690" s="5">
        <f>F651</f>
        <v>43967.375</v>
      </c>
      <c r="G690" s="4">
        <f t="shared" si="240"/>
        <v>60</v>
      </c>
      <c r="H690" s="4" t="s">
        <v>18</v>
      </c>
      <c r="I690" s="4" t="s">
        <v>13</v>
      </c>
      <c r="J690" s="4">
        <f t="shared" si="251"/>
        <v>7</v>
      </c>
      <c r="K690" s="4">
        <f>HOUR(F690)</f>
        <v>9</v>
      </c>
    </row>
    <row r="691" spans="1:11" ht="15.75" thickBot="1" x14ac:dyDescent="0.3">
      <c r="A691" s="7">
        <f t="shared" si="244"/>
        <v>682</v>
      </c>
      <c r="B691" s="8" t="str">
        <f t="shared" si="239"/>
        <v>7</v>
      </c>
      <c r="C691" s="8">
        <f t="shared" si="241"/>
        <v>3</v>
      </c>
      <c r="D691" s="8" t="s">
        <v>55</v>
      </c>
      <c r="E691" s="8"/>
      <c r="F691" s="9">
        <f>F690+G690/60/24</f>
        <v>43967.416666666664</v>
      </c>
      <c r="G691" s="8">
        <f t="shared" si="240"/>
        <v>105</v>
      </c>
      <c r="H691" s="8" t="s">
        <v>18</v>
      </c>
      <c r="I691" s="8" t="s">
        <v>11</v>
      </c>
      <c r="J691" s="8">
        <f t="shared" si="251"/>
        <v>7</v>
      </c>
      <c r="K691" s="4">
        <f>HOUR(F691)</f>
        <v>10</v>
      </c>
    </row>
    <row r="692" spans="1:11" ht="15.75" thickBot="1" x14ac:dyDescent="0.3">
      <c r="A692" s="7">
        <f t="shared" si="244"/>
        <v>683</v>
      </c>
      <c r="B692" s="8" t="str">
        <f t="shared" si="239"/>
        <v>7</v>
      </c>
      <c r="C692" s="8">
        <f t="shared" si="241"/>
        <v>3</v>
      </c>
      <c r="D692" s="8" t="s">
        <v>55</v>
      </c>
      <c r="E692" s="8"/>
      <c r="F692" s="9">
        <f t="shared" ref="F692:F695" si="253">F691+G691/60/24</f>
        <v>43967.489583333328</v>
      </c>
      <c r="G692" s="8">
        <f t="shared" si="240"/>
        <v>105</v>
      </c>
      <c r="H692" s="8" t="s">
        <v>18</v>
      </c>
      <c r="I692" s="8" t="s">
        <v>11</v>
      </c>
      <c r="J692" s="8">
        <f t="shared" si="251"/>
        <v>7</v>
      </c>
      <c r="K692" s="4">
        <f>HOUR(F692)</f>
        <v>11</v>
      </c>
    </row>
    <row r="693" spans="1:11" ht="15.75" thickBot="1" x14ac:dyDescent="0.3">
      <c r="A693" s="7">
        <f t="shared" si="244"/>
        <v>684</v>
      </c>
      <c r="B693" s="8" t="str">
        <f t="shared" si="239"/>
        <v>7</v>
      </c>
      <c r="C693" s="8">
        <f t="shared" si="241"/>
        <v>2</v>
      </c>
      <c r="D693" s="8" t="s">
        <v>56</v>
      </c>
      <c r="E693" s="8"/>
      <c r="F693" s="9">
        <f t="shared" si="253"/>
        <v>43967.562499999993</v>
      </c>
      <c r="G693" s="8">
        <f t="shared" si="240"/>
        <v>120</v>
      </c>
      <c r="H693" s="8" t="s">
        <v>18</v>
      </c>
      <c r="I693" s="8" t="s">
        <v>8</v>
      </c>
      <c r="J693" s="8">
        <f t="shared" si="251"/>
        <v>7</v>
      </c>
      <c r="K693" s="4">
        <f>HOUR(F693)</f>
        <v>13</v>
      </c>
    </row>
    <row r="694" spans="1:11" ht="15.75" thickBot="1" x14ac:dyDescent="0.3">
      <c r="A694" s="7">
        <f t="shared" si="244"/>
        <v>685</v>
      </c>
      <c r="B694" s="8" t="str">
        <f t="shared" si="239"/>
        <v>7</v>
      </c>
      <c r="C694" s="8">
        <f t="shared" si="241"/>
        <v>2</v>
      </c>
      <c r="D694" s="8" t="s">
        <v>56</v>
      </c>
      <c r="E694" s="8"/>
      <c r="F694" s="9">
        <f t="shared" si="253"/>
        <v>43967.645833333328</v>
      </c>
      <c r="G694" s="8">
        <f t="shared" si="240"/>
        <v>120</v>
      </c>
      <c r="H694" s="8" t="s">
        <v>18</v>
      </c>
      <c r="I694" s="8" t="s">
        <v>8</v>
      </c>
      <c r="J694" s="8">
        <f t="shared" si="251"/>
        <v>7</v>
      </c>
      <c r="K694" s="4">
        <f>HOUR(F694)</f>
        <v>15</v>
      </c>
    </row>
    <row r="695" spans="1:11" ht="15.75" thickBot="1" x14ac:dyDescent="0.3">
      <c r="A695" s="7">
        <f t="shared" si="244"/>
        <v>686</v>
      </c>
      <c r="B695" s="8" t="str">
        <f t="shared" si="239"/>
        <v>7</v>
      </c>
      <c r="C695" s="8">
        <f t="shared" si="241"/>
        <v>2</v>
      </c>
      <c r="D695" s="8" t="s">
        <v>61</v>
      </c>
      <c r="E695" s="8"/>
      <c r="F695" s="9">
        <f t="shared" si="253"/>
        <v>43967.729166666664</v>
      </c>
      <c r="G695" s="8">
        <f t="shared" si="240"/>
        <v>120</v>
      </c>
      <c r="H695" s="8" t="s">
        <v>18</v>
      </c>
      <c r="I695" s="8" t="s">
        <v>8</v>
      </c>
      <c r="J695" s="8">
        <f t="shared" si="251"/>
        <v>7</v>
      </c>
      <c r="K695" s="4">
        <f>HOUR(F695)</f>
        <v>17</v>
      </c>
    </row>
    <row r="696" spans="1:11" ht="15.75" thickBot="1" x14ac:dyDescent="0.3">
      <c r="A696" s="3">
        <f t="shared" si="244"/>
        <v>687</v>
      </c>
      <c r="B696" s="4" t="str">
        <f t="shared" si="239"/>
        <v>8</v>
      </c>
      <c r="C696" s="4">
        <f t="shared" si="241"/>
        <v>5</v>
      </c>
      <c r="D696" s="4"/>
      <c r="E696" s="4"/>
      <c r="F696" s="5">
        <f>F651</f>
        <v>43967.375</v>
      </c>
      <c r="G696" s="4">
        <f t="shared" si="240"/>
        <v>90</v>
      </c>
      <c r="H696" s="4" t="s">
        <v>19</v>
      </c>
      <c r="I696" s="4" t="s">
        <v>10</v>
      </c>
      <c r="J696" s="4">
        <f t="shared" si="251"/>
        <v>7</v>
      </c>
      <c r="K696" s="4">
        <f>HOUR(F696)</f>
        <v>9</v>
      </c>
    </row>
    <row r="697" spans="1:11" ht="15.75" thickBot="1" x14ac:dyDescent="0.3">
      <c r="A697" s="7">
        <f t="shared" si="244"/>
        <v>688</v>
      </c>
      <c r="B697" s="8" t="str">
        <f t="shared" si="239"/>
        <v>8</v>
      </c>
      <c r="C697" s="8">
        <f t="shared" si="241"/>
        <v>5</v>
      </c>
      <c r="D697" s="8"/>
      <c r="E697" s="8"/>
      <c r="F697" s="9">
        <f>F696+G696/60/24</f>
        <v>43967.4375</v>
      </c>
      <c r="G697" s="8">
        <f t="shared" si="240"/>
        <v>90</v>
      </c>
      <c r="H697" s="8" t="s">
        <v>19</v>
      </c>
      <c r="I697" s="8" t="s">
        <v>10</v>
      </c>
      <c r="J697" s="8">
        <f t="shared" si="251"/>
        <v>7</v>
      </c>
      <c r="K697" s="4">
        <f>HOUR(F697)</f>
        <v>10</v>
      </c>
    </row>
    <row r="698" spans="1:11" ht="15.75" thickBot="1" x14ac:dyDescent="0.3">
      <c r="A698" s="7">
        <f t="shared" si="244"/>
        <v>689</v>
      </c>
      <c r="B698" s="8" t="str">
        <f t="shared" si="239"/>
        <v>8</v>
      </c>
      <c r="C698" s="8">
        <f t="shared" si="241"/>
        <v>3</v>
      </c>
      <c r="D698" s="8" t="s">
        <v>55</v>
      </c>
      <c r="E698" s="8"/>
      <c r="F698" s="9">
        <f t="shared" ref="F698:F701" si="254">F697+G697/60/24</f>
        <v>43967.5</v>
      </c>
      <c r="G698" s="8">
        <f t="shared" si="240"/>
        <v>105</v>
      </c>
      <c r="H698" s="8" t="s">
        <v>19</v>
      </c>
      <c r="I698" s="8" t="s">
        <v>11</v>
      </c>
      <c r="J698" s="8">
        <f t="shared" si="251"/>
        <v>7</v>
      </c>
      <c r="K698" s="4">
        <f>HOUR(F698)</f>
        <v>12</v>
      </c>
    </row>
    <row r="699" spans="1:11" ht="15.75" thickBot="1" x14ac:dyDescent="0.3">
      <c r="A699" s="7">
        <f t="shared" si="244"/>
        <v>690</v>
      </c>
      <c r="B699" s="8" t="str">
        <f t="shared" si="239"/>
        <v>8</v>
      </c>
      <c r="C699" s="8">
        <f t="shared" si="241"/>
        <v>2</v>
      </c>
      <c r="D699" s="8" t="s">
        <v>56</v>
      </c>
      <c r="E699" s="8"/>
      <c r="F699" s="9">
        <f t="shared" si="254"/>
        <v>43967.572916666664</v>
      </c>
      <c r="G699" s="8">
        <f t="shared" si="240"/>
        <v>120</v>
      </c>
      <c r="H699" s="8" t="s">
        <v>19</v>
      </c>
      <c r="I699" s="8" t="s">
        <v>8</v>
      </c>
      <c r="J699" s="8">
        <f t="shared" si="251"/>
        <v>7</v>
      </c>
      <c r="K699" s="4">
        <f>HOUR(F699)</f>
        <v>13</v>
      </c>
    </row>
    <row r="700" spans="1:11" ht="15.75" thickBot="1" x14ac:dyDescent="0.3">
      <c r="A700" s="7">
        <f t="shared" si="244"/>
        <v>691</v>
      </c>
      <c r="B700" s="8" t="str">
        <f t="shared" si="239"/>
        <v>8</v>
      </c>
      <c r="C700" s="8">
        <f t="shared" si="241"/>
        <v>2</v>
      </c>
      <c r="D700" s="8" t="s">
        <v>56</v>
      </c>
      <c r="E700" s="8"/>
      <c r="F700" s="9">
        <f t="shared" si="254"/>
        <v>43967.65625</v>
      </c>
      <c r="G700" s="8">
        <f t="shared" si="240"/>
        <v>120</v>
      </c>
      <c r="H700" s="8" t="s">
        <v>19</v>
      </c>
      <c r="I700" s="8" t="s">
        <v>8</v>
      </c>
      <c r="J700" s="8">
        <f t="shared" si="251"/>
        <v>7</v>
      </c>
      <c r="K700" s="4">
        <f>HOUR(F700)</f>
        <v>15</v>
      </c>
    </row>
    <row r="701" spans="1:11" x14ac:dyDescent="0.25">
      <c r="A701" s="7">
        <f t="shared" si="244"/>
        <v>692</v>
      </c>
      <c r="B701" s="8" t="str">
        <f t="shared" si="239"/>
        <v>8</v>
      </c>
      <c r="C701" s="8">
        <f t="shared" si="241"/>
        <v>2</v>
      </c>
      <c r="D701" s="8" t="s">
        <v>61</v>
      </c>
      <c r="E701" s="8"/>
      <c r="F701" s="9">
        <f t="shared" si="254"/>
        <v>43967.739583333336</v>
      </c>
      <c r="G701" s="8">
        <f t="shared" si="240"/>
        <v>120</v>
      </c>
      <c r="H701" s="8" t="s">
        <v>19</v>
      </c>
      <c r="I701" s="8" t="s">
        <v>8</v>
      </c>
      <c r="J701" s="8">
        <f t="shared" si="251"/>
        <v>7</v>
      </c>
      <c r="K701" s="4">
        <f>HOUR(F701)</f>
        <v>17</v>
      </c>
    </row>
  </sheetData>
  <autoFilter ref="A1:K40" xr:uid="{D091315E-7928-4C23-827C-4DFFBFEE119E}">
    <sortState xmlns:xlrd2="http://schemas.microsoft.com/office/spreadsheetml/2017/richdata2" ref="A2:K40">
      <sortCondition descending="1" ref="J1:J4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85725</xdr:rowOff>
                  </from>
                  <to>
                    <xdr:col>14</xdr:col>
                    <xdr:colOff>9525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10"/>
  <sheetViews>
    <sheetView workbookViewId="0">
      <selection activeCell="A7" sqref="A7"/>
    </sheetView>
  </sheetViews>
  <sheetFormatPr defaultRowHeight="15" x14ac:dyDescent="0.25"/>
  <cols>
    <col min="1" max="1" width="34.7109375" customWidth="1"/>
    <col min="2" max="2" width="12.5703125" bestFit="1" customWidth="1"/>
    <col min="4" max="4" width="25.85546875" bestFit="1" customWidth="1"/>
    <col min="5" max="5" width="15.28515625" bestFit="1" customWidth="1"/>
    <col min="10" max="10" width="25.85546875" style="13" bestFit="1" customWidth="1"/>
    <col min="11" max="11" width="16.28515625" bestFit="1" customWidth="1"/>
    <col min="14" max="14" width="15.28515625" bestFit="1" customWidth="1"/>
    <col min="16" max="17" width="15.28515625" customWidth="1"/>
  </cols>
  <sheetData>
    <row r="1" spans="1:18" x14ac:dyDescent="0.25">
      <c r="A1" t="s">
        <v>20</v>
      </c>
      <c r="B1" t="s">
        <v>21</v>
      </c>
    </row>
    <row r="2" spans="1:18" x14ac:dyDescent="0.25">
      <c r="A2" s="9">
        <v>43906.75</v>
      </c>
      <c r="B2" t="s">
        <v>23</v>
      </c>
      <c r="D2" s="13">
        <f>A2</f>
        <v>43906.75</v>
      </c>
      <c r="E2" s="15">
        <f>WEEKDAY(D2)</f>
        <v>2</v>
      </c>
      <c r="J2" s="16" t="s">
        <v>63</v>
      </c>
      <c r="K2" s="9">
        <v>43906</v>
      </c>
      <c r="L2">
        <f>WEEKDAY(K2)</f>
        <v>2</v>
      </c>
      <c r="M2">
        <f>IF(OR(L2=7,L2=1),9,18)</f>
        <v>18</v>
      </c>
      <c r="N2" s="17">
        <f>K2+M2/24</f>
        <v>43906.75</v>
      </c>
      <c r="O2" t="str">
        <f>_xlfn.CONCAT(P2:R2)</f>
        <v>Weeknights</v>
      </c>
      <c r="P2" s="17" t="str">
        <f>IF(AND(L2&gt;=2,L2&lt;=5),"Weeknights","")</f>
        <v>Weeknights</v>
      </c>
      <c r="Q2" s="17" t="str">
        <f>IF(L2=6,"Friday Nights","")</f>
        <v/>
      </c>
      <c r="R2" t="str">
        <f>IF(L2=7,"Sat","")</f>
        <v/>
      </c>
    </row>
    <row r="3" spans="1:18" x14ac:dyDescent="0.25">
      <c r="A3" s="9">
        <v>43907.75</v>
      </c>
      <c r="B3" t="s">
        <v>23</v>
      </c>
      <c r="D3" s="13">
        <f t="shared" ref="D3:D32" si="0">A3</f>
        <v>43907.75</v>
      </c>
      <c r="E3" s="15">
        <f t="shared" ref="E3:E32" si="1">WEEKDAY(D3)</f>
        <v>3</v>
      </c>
      <c r="J3" s="16" t="s">
        <v>64</v>
      </c>
      <c r="K3" s="9">
        <v>43907</v>
      </c>
      <c r="L3">
        <f t="shared" ref="L3:L46" si="2">WEEKDAY(K3)</f>
        <v>3</v>
      </c>
      <c r="M3">
        <f t="shared" ref="M3:M46" si="3">IF(OR(L3=7,L3=1),9,18)</f>
        <v>18</v>
      </c>
      <c r="N3" s="17">
        <f t="shared" ref="N3:N46" si="4">K3+M3/24</f>
        <v>43907.75</v>
      </c>
      <c r="O3" t="str">
        <f>_xlfn.CONCAT(P3:R3)</f>
        <v>Weeknights</v>
      </c>
      <c r="P3" s="17" t="str">
        <f t="shared" ref="P3:P46" si="5">IF(AND(L3&gt;=2,L3&lt;=5),"Weeknights","")</f>
        <v>Weeknights</v>
      </c>
      <c r="Q3" s="17" t="str">
        <f t="shared" ref="Q3:Q46" si="6">IF(L3=6,"Friday Nights","")</f>
        <v/>
      </c>
      <c r="R3" t="str">
        <f>IF(L3=7,"Sat","")</f>
        <v/>
      </c>
    </row>
    <row r="4" spans="1:18" x14ac:dyDescent="0.25">
      <c r="A4" s="9">
        <v>43908.75</v>
      </c>
      <c r="B4" t="s">
        <v>23</v>
      </c>
      <c r="D4" s="13">
        <f t="shared" si="0"/>
        <v>43908.75</v>
      </c>
      <c r="E4" s="15">
        <f t="shared" si="1"/>
        <v>4</v>
      </c>
      <c r="J4" s="16" t="s">
        <v>65</v>
      </c>
      <c r="K4" s="9">
        <v>43908</v>
      </c>
      <c r="L4">
        <f t="shared" si="2"/>
        <v>4</v>
      </c>
      <c r="M4">
        <f t="shared" si="3"/>
        <v>18</v>
      </c>
      <c r="N4" s="17">
        <f t="shared" si="4"/>
        <v>43908.75</v>
      </c>
      <c r="O4" t="str">
        <f>_xlfn.CONCAT(P4:R4)</f>
        <v>Weeknights</v>
      </c>
      <c r="P4" s="17" t="str">
        <f t="shared" si="5"/>
        <v>Weeknights</v>
      </c>
      <c r="Q4" s="17" t="str">
        <f t="shared" si="6"/>
        <v/>
      </c>
      <c r="R4" t="str">
        <f>IF(L4=7,"Sat","")</f>
        <v/>
      </c>
    </row>
    <row r="5" spans="1:18" x14ac:dyDescent="0.25">
      <c r="A5" s="9">
        <v>43909.75</v>
      </c>
      <c r="B5" t="s">
        <v>23</v>
      </c>
      <c r="D5" s="13">
        <f t="shared" si="0"/>
        <v>43909.75</v>
      </c>
      <c r="E5" s="15">
        <f t="shared" si="1"/>
        <v>5</v>
      </c>
      <c r="J5" s="16" t="s">
        <v>66</v>
      </c>
      <c r="K5" s="9">
        <v>43909</v>
      </c>
      <c r="L5">
        <f t="shared" si="2"/>
        <v>5</v>
      </c>
      <c r="M5">
        <f t="shared" si="3"/>
        <v>18</v>
      </c>
      <c r="N5" s="17">
        <f t="shared" si="4"/>
        <v>43909.75</v>
      </c>
      <c r="O5" t="str">
        <f>_xlfn.CONCAT(P5:R5)</f>
        <v>Weeknights</v>
      </c>
      <c r="P5" s="17" t="str">
        <f t="shared" si="5"/>
        <v>Weeknights</v>
      </c>
      <c r="Q5" s="17" t="str">
        <f t="shared" si="6"/>
        <v/>
      </c>
      <c r="R5" t="str">
        <f>IF(L5=7,"Sat","")</f>
        <v/>
      </c>
    </row>
    <row r="6" spans="1:18" x14ac:dyDescent="0.25">
      <c r="A6" s="9">
        <v>43910.75</v>
      </c>
      <c r="B6" t="s">
        <v>22</v>
      </c>
      <c r="D6" s="13">
        <f t="shared" si="0"/>
        <v>43910.75</v>
      </c>
      <c r="E6" s="15">
        <f t="shared" si="1"/>
        <v>6</v>
      </c>
      <c r="J6" s="16" t="s">
        <v>67</v>
      </c>
      <c r="K6" s="9">
        <v>43910</v>
      </c>
      <c r="L6">
        <f t="shared" si="2"/>
        <v>6</v>
      </c>
      <c r="M6">
        <f t="shared" si="3"/>
        <v>18</v>
      </c>
      <c r="N6" s="17">
        <f t="shared" si="4"/>
        <v>43910.75</v>
      </c>
      <c r="O6" t="str">
        <f>_xlfn.CONCAT(P6:R6)</f>
        <v>Friday Nights</v>
      </c>
      <c r="P6" s="17" t="str">
        <f t="shared" si="5"/>
        <v/>
      </c>
      <c r="Q6" s="17" t="str">
        <f t="shared" si="6"/>
        <v>Friday Nights</v>
      </c>
      <c r="R6" t="str">
        <f>IF(L6=7,"Sat","")</f>
        <v/>
      </c>
    </row>
    <row r="7" spans="1:18" x14ac:dyDescent="0.25">
      <c r="A7" s="9">
        <v>43911.375</v>
      </c>
      <c r="B7" t="s">
        <v>108</v>
      </c>
      <c r="D7" s="13">
        <f t="shared" si="0"/>
        <v>43911.375</v>
      </c>
      <c r="E7" s="15">
        <f t="shared" si="1"/>
        <v>7</v>
      </c>
      <c r="J7" s="16" t="s">
        <v>68</v>
      </c>
      <c r="K7" s="9">
        <v>43911</v>
      </c>
      <c r="L7">
        <f t="shared" si="2"/>
        <v>7</v>
      </c>
      <c r="M7">
        <f t="shared" si="3"/>
        <v>9</v>
      </c>
      <c r="N7" s="17">
        <f t="shared" si="4"/>
        <v>43911.375</v>
      </c>
      <c r="O7" t="str">
        <f>_xlfn.CONCAT(P7:R7)</f>
        <v>Sat</v>
      </c>
      <c r="P7" s="17" t="str">
        <f t="shared" si="5"/>
        <v/>
      </c>
      <c r="Q7" s="17" t="str">
        <f t="shared" si="6"/>
        <v/>
      </c>
      <c r="R7" t="str">
        <f>IF(L7=7,"Sat","")</f>
        <v>Sat</v>
      </c>
    </row>
    <row r="8" spans="1:18" x14ac:dyDescent="0.25">
      <c r="A8" s="9">
        <v>43913.75</v>
      </c>
      <c r="B8" t="s">
        <v>23</v>
      </c>
      <c r="D8" s="13">
        <f t="shared" si="0"/>
        <v>43913.75</v>
      </c>
      <c r="E8" s="15">
        <f t="shared" si="1"/>
        <v>2</v>
      </c>
      <c r="J8" s="16" t="s">
        <v>69</v>
      </c>
      <c r="K8" s="9">
        <v>43913</v>
      </c>
      <c r="L8">
        <f t="shared" si="2"/>
        <v>2</v>
      </c>
      <c r="M8">
        <f t="shared" si="3"/>
        <v>18</v>
      </c>
      <c r="N8" s="17">
        <f t="shared" si="4"/>
        <v>43913.75</v>
      </c>
      <c r="O8" t="str">
        <f>_xlfn.CONCAT(P8:R8)</f>
        <v>Weeknights</v>
      </c>
      <c r="P8" s="17" t="str">
        <f t="shared" si="5"/>
        <v>Weeknights</v>
      </c>
      <c r="Q8" s="17" t="str">
        <f t="shared" si="6"/>
        <v/>
      </c>
      <c r="R8" t="str">
        <f>IF(L8=7,"Sat","")</f>
        <v/>
      </c>
    </row>
    <row r="9" spans="1:18" x14ac:dyDescent="0.25">
      <c r="A9" s="9">
        <v>43914.75</v>
      </c>
      <c r="B9" t="s">
        <v>23</v>
      </c>
      <c r="D9" s="13">
        <f t="shared" si="0"/>
        <v>43914.75</v>
      </c>
      <c r="E9" s="15">
        <f t="shared" si="1"/>
        <v>3</v>
      </c>
      <c r="J9" s="16" t="s">
        <v>70</v>
      </c>
      <c r="K9" s="9">
        <v>43914</v>
      </c>
      <c r="L9">
        <f t="shared" si="2"/>
        <v>3</v>
      </c>
      <c r="M9">
        <f t="shared" si="3"/>
        <v>18</v>
      </c>
      <c r="N9" s="17">
        <f t="shared" si="4"/>
        <v>43914.75</v>
      </c>
      <c r="O9" t="str">
        <f>_xlfn.CONCAT(P9:R9)</f>
        <v>Weeknights</v>
      </c>
      <c r="P9" s="17" t="str">
        <f t="shared" si="5"/>
        <v>Weeknights</v>
      </c>
      <c r="Q9" s="17" t="str">
        <f t="shared" si="6"/>
        <v/>
      </c>
      <c r="R9" t="str">
        <f>IF(L9=7,"Sat","")</f>
        <v/>
      </c>
    </row>
    <row r="10" spans="1:18" x14ac:dyDescent="0.25">
      <c r="A10" s="9">
        <v>43915.75</v>
      </c>
      <c r="B10" t="s">
        <v>23</v>
      </c>
      <c r="D10" s="13">
        <f t="shared" si="0"/>
        <v>43915.75</v>
      </c>
      <c r="E10" s="15">
        <f t="shared" si="1"/>
        <v>4</v>
      </c>
      <c r="J10" s="16" t="s">
        <v>71</v>
      </c>
      <c r="K10" s="9">
        <v>43915</v>
      </c>
      <c r="L10">
        <f t="shared" si="2"/>
        <v>4</v>
      </c>
      <c r="M10">
        <f t="shared" si="3"/>
        <v>18</v>
      </c>
      <c r="N10" s="17">
        <f t="shared" si="4"/>
        <v>43915.75</v>
      </c>
      <c r="O10" t="str">
        <f>_xlfn.CONCAT(P10:R10)</f>
        <v>Weeknights</v>
      </c>
      <c r="P10" s="17" t="str">
        <f t="shared" si="5"/>
        <v>Weeknights</v>
      </c>
      <c r="Q10" s="17" t="str">
        <f t="shared" si="6"/>
        <v/>
      </c>
      <c r="R10" t="str">
        <f>IF(L10=7,"Sat","")</f>
        <v/>
      </c>
    </row>
    <row r="11" spans="1:18" x14ac:dyDescent="0.25">
      <c r="A11" s="9">
        <v>43916.75</v>
      </c>
      <c r="B11" t="s">
        <v>23</v>
      </c>
      <c r="D11" s="13">
        <f t="shared" si="0"/>
        <v>43916.75</v>
      </c>
      <c r="E11" s="15">
        <f t="shared" si="1"/>
        <v>5</v>
      </c>
      <c r="J11" s="16" t="s">
        <v>72</v>
      </c>
      <c r="K11" s="9">
        <v>43916</v>
      </c>
      <c r="L11">
        <f t="shared" si="2"/>
        <v>5</v>
      </c>
      <c r="M11">
        <f t="shared" si="3"/>
        <v>18</v>
      </c>
      <c r="N11" s="17">
        <f t="shared" si="4"/>
        <v>43916.75</v>
      </c>
      <c r="O11" t="str">
        <f>_xlfn.CONCAT(P11:R11)</f>
        <v>Weeknights</v>
      </c>
      <c r="P11" s="17" t="str">
        <f t="shared" si="5"/>
        <v>Weeknights</v>
      </c>
      <c r="Q11" s="17" t="str">
        <f t="shared" si="6"/>
        <v/>
      </c>
      <c r="R11" t="str">
        <f>IF(L11=7,"Sat","")</f>
        <v/>
      </c>
    </row>
    <row r="12" spans="1:18" x14ac:dyDescent="0.25">
      <c r="A12" s="9">
        <v>43917.75</v>
      </c>
      <c r="B12" t="s">
        <v>22</v>
      </c>
      <c r="D12" s="13">
        <f t="shared" si="0"/>
        <v>43917.75</v>
      </c>
      <c r="E12" s="15">
        <f t="shared" si="1"/>
        <v>6</v>
      </c>
      <c r="J12" s="16" t="s">
        <v>73</v>
      </c>
      <c r="K12" s="9">
        <v>43917</v>
      </c>
      <c r="L12">
        <f t="shared" si="2"/>
        <v>6</v>
      </c>
      <c r="M12">
        <f t="shared" si="3"/>
        <v>18</v>
      </c>
      <c r="N12" s="17">
        <f t="shared" si="4"/>
        <v>43917.75</v>
      </c>
      <c r="O12" t="str">
        <f>_xlfn.CONCAT(P12:R12)</f>
        <v>Friday Nights</v>
      </c>
      <c r="P12" s="17" t="str">
        <f t="shared" si="5"/>
        <v/>
      </c>
      <c r="Q12" s="17" t="str">
        <f t="shared" si="6"/>
        <v>Friday Nights</v>
      </c>
      <c r="R12" t="str">
        <f>IF(L12=7,"Sat","")</f>
        <v/>
      </c>
    </row>
    <row r="13" spans="1:18" x14ac:dyDescent="0.25">
      <c r="A13" s="9">
        <v>43918.375</v>
      </c>
      <c r="B13" t="s">
        <v>108</v>
      </c>
      <c r="D13" s="13">
        <f t="shared" si="0"/>
        <v>43918.375</v>
      </c>
      <c r="E13" s="15">
        <f t="shared" si="1"/>
        <v>7</v>
      </c>
      <c r="J13" s="16" t="s">
        <v>74</v>
      </c>
      <c r="K13" s="9">
        <v>43918</v>
      </c>
      <c r="L13">
        <f t="shared" si="2"/>
        <v>7</v>
      </c>
      <c r="M13">
        <f t="shared" si="3"/>
        <v>9</v>
      </c>
      <c r="N13" s="17">
        <f t="shared" si="4"/>
        <v>43918.375</v>
      </c>
      <c r="O13" t="str">
        <f>_xlfn.CONCAT(P13:R13)</f>
        <v>Sat</v>
      </c>
      <c r="P13" s="17" t="str">
        <f t="shared" si="5"/>
        <v/>
      </c>
      <c r="Q13" s="17" t="str">
        <f t="shared" si="6"/>
        <v/>
      </c>
      <c r="R13" t="str">
        <f>IF(L13=7,"Sat","")</f>
        <v>Sat</v>
      </c>
    </row>
    <row r="14" spans="1:18" x14ac:dyDescent="0.25">
      <c r="A14" s="9">
        <v>43920.75</v>
      </c>
      <c r="B14" t="s">
        <v>23</v>
      </c>
      <c r="D14" s="13">
        <f t="shared" si="0"/>
        <v>43920.75</v>
      </c>
      <c r="E14" s="15">
        <f t="shared" si="1"/>
        <v>2</v>
      </c>
      <c r="J14" s="16" t="s">
        <v>75</v>
      </c>
      <c r="K14" s="9">
        <v>43920</v>
      </c>
      <c r="L14">
        <f t="shared" si="2"/>
        <v>2</v>
      </c>
      <c r="M14">
        <f t="shared" si="3"/>
        <v>18</v>
      </c>
      <c r="N14" s="17">
        <f t="shared" si="4"/>
        <v>43920.75</v>
      </c>
      <c r="O14" t="str">
        <f>_xlfn.CONCAT(P14:R14)</f>
        <v>Weeknights</v>
      </c>
      <c r="P14" s="17" t="str">
        <f t="shared" si="5"/>
        <v>Weeknights</v>
      </c>
      <c r="Q14" s="17" t="str">
        <f t="shared" si="6"/>
        <v/>
      </c>
      <c r="R14" t="str">
        <f>IF(L14=7,"Sat","")</f>
        <v/>
      </c>
    </row>
    <row r="15" spans="1:18" x14ac:dyDescent="0.25">
      <c r="A15" s="9">
        <v>43921.75</v>
      </c>
      <c r="B15" t="s">
        <v>23</v>
      </c>
      <c r="D15" s="13">
        <f t="shared" si="0"/>
        <v>43921.75</v>
      </c>
      <c r="E15" s="15">
        <f t="shared" si="1"/>
        <v>3</v>
      </c>
      <c r="J15" s="16" t="s">
        <v>76</v>
      </c>
      <c r="K15" s="9">
        <v>43921</v>
      </c>
      <c r="L15">
        <f t="shared" si="2"/>
        <v>3</v>
      </c>
      <c r="M15">
        <f t="shared" si="3"/>
        <v>18</v>
      </c>
      <c r="N15" s="17">
        <f t="shared" si="4"/>
        <v>43921.75</v>
      </c>
      <c r="O15" t="str">
        <f>_xlfn.CONCAT(P15:R15)</f>
        <v>Weeknights</v>
      </c>
      <c r="P15" s="17" t="str">
        <f t="shared" si="5"/>
        <v>Weeknights</v>
      </c>
      <c r="Q15" s="17" t="str">
        <f t="shared" si="6"/>
        <v/>
      </c>
      <c r="R15" t="str">
        <f>IF(L15=7,"Sat","")</f>
        <v/>
      </c>
    </row>
    <row r="16" spans="1:18" x14ac:dyDescent="0.25">
      <c r="A16" s="9">
        <v>43922.75</v>
      </c>
      <c r="B16" t="s">
        <v>23</v>
      </c>
      <c r="D16" s="13">
        <f t="shared" si="0"/>
        <v>43922.75</v>
      </c>
      <c r="E16" s="15">
        <f t="shared" si="1"/>
        <v>4</v>
      </c>
      <c r="J16" s="16" t="s">
        <v>77</v>
      </c>
      <c r="K16" s="9">
        <v>43922</v>
      </c>
      <c r="L16">
        <f t="shared" si="2"/>
        <v>4</v>
      </c>
      <c r="M16">
        <f t="shared" si="3"/>
        <v>18</v>
      </c>
      <c r="N16" s="17">
        <f t="shared" si="4"/>
        <v>43922.75</v>
      </c>
      <c r="O16" t="str">
        <f>_xlfn.CONCAT(P16:R16)</f>
        <v>Weeknights</v>
      </c>
      <c r="P16" s="17" t="str">
        <f t="shared" si="5"/>
        <v>Weeknights</v>
      </c>
      <c r="Q16" s="17" t="str">
        <f t="shared" si="6"/>
        <v/>
      </c>
      <c r="R16" t="str">
        <f>IF(L16=7,"Sat","")</f>
        <v/>
      </c>
    </row>
    <row r="17" spans="1:18" x14ac:dyDescent="0.25">
      <c r="A17" s="9">
        <v>43923.75</v>
      </c>
      <c r="B17" t="s">
        <v>23</v>
      </c>
      <c r="D17" s="13">
        <f t="shared" si="0"/>
        <v>43923.75</v>
      </c>
      <c r="E17" s="15">
        <f t="shared" si="1"/>
        <v>5</v>
      </c>
      <c r="J17" s="16" t="s">
        <v>78</v>
      </c>
      <c r="K17" s="9">
        <v>43923</v>
      </c>
      <c r="L17">
        <f t="shared" si="2"/>
        <v>5</v>
      </c>
      <c r="M17">
        <f t="shared" si="3"/>
        <v>18</v>
      </c>
      <c r="N17" s="17">
        <f t="shared" si="4"/>
        <v>43923.75</v>
      </c>
      <c r="O17" t="str">
        <f>_xlfn.CONCAT(P17:R17)</f>
        <v>Weeknights</v>
      </c>
      <c r="P17" s="17" t="str">
        <f t="shared" si="5"/>
        <v>Weeknights</v>
      </c>
      <c r="Q17" s="17" t="str">
        <f t="shared" si="6"/>
        <v/>
      </c>
      <c r="R17" t="str">
        <f>IF(L17=7,"Sat","")</f>
        <v/>
      </c>
    </row>
    <row r="18" spans="1:18" x14ac:dyDescent="0.25">
      <c r="A18" s="9">
        <v>43924.75</v>
      </c>
      <c r="B18" t="s">
        <v>22</v>
      </c>
      <c r="D18" s="13">
        <f t="shared" si="0"/>
        <v>43924.75</v>
      </c>
      <c r="E18" s="15">
        <f t="shared" si="1"/>
        <v>6</v>
      </c>
      <c r="J18" s="16" t="s">
        <v>79</v>
      </c>
      <c r="K18" s="9">
        <v>43924</v>
      </c>
      <c r="L18">
        <f t="shared" si="2"/>
        <v>6</v>
      </c>
      <c r="M18">
        <f t="shared" si="3"/>
        <v>18</v>
      </c>
      <c r="N18" s="17">
        <f t="shared" si="4"/>
        <v>43924.75</v>
      </c>
      <c r="O18" t="str">
        <f>_xlfn.CONCAT(P18:R18)</f>
        <v>Friday Nights</v>
      </c>
      <c r="P18" s="17" t="str">
        <f t="shared" si="5"/>
        <v/>
      </c>
      <c r="Q18" s="17" t="str">
        <f t="shared" si="6"/>
        <v>Friday Nights</v>
      </c>
      <c r="R18" t="str">
        <f>IF(L18=7,"Sat","")</f>
        <v/>
      </c>
    </row>
    <row r="19" spans="1:18" x14ac:dyDescent="0.25">
      <c r="A19" s="9">
        <v>43925.375</v>
      </c>
      <c r="B19" t="s">
        <v>108</v>
      </c>
      <c r="D19" s="13">
        <f t="shared" si="0"/>
        <v>43925.375</v>
      </c>
      <c r="E19" s="15">
        <f t="shared" si="1"/>
        <v>7</v>
      </c>
      <c r="J19" s="16" t="s">
        <v>80</v>
      </c>
      <c r="K19" s="9">
        <v>43925</v>
      </c>
      <c r="L19">
        <f t="shared" si="2"/>
        <v>7</v>
      </c>
      <c r="M19">
        <f t="shared" si="3"/>
        <v>9</v>
      </c>
      <c r="N19" s="17">
        <f t="shared" si="4"/>
        <v>43925.375</v>
      </c>
      <c r="O19" t="str">
        <f>_xlfn.CONCAT(P19:R19)</f>
        <v>Sat</v>
      </c>
      <c r="P19" s="17" t="str">
        <f t="shared" si="5"/>
        <v/>
      </c>
      <c r="Q19" s="17" t="str">
        <f t="shared" si="6"/>
        <v/>
      </c>
      <c r="R19" t="str">
        <f>IF(L19=7,"Sat","")</f>
        <v>Sat</v>
      </c>
    </row>
    <row r="20" spans="1:18" x14ac:dyDescent="0.25">
      <c r="A20" s="9">
        <v>43929.75</v>
      </c>
      <c r="B20" t="s">
        <v>23</v>
      </c>
      <c r="D20" s="13">
        <f t="shared" si="0"/>
        <v>43929.75</v>
      </c>
      <c r="E20" s="15">
        <f t="shared" si="1"/>
        <v>4</v>
      </c>
      <c r="J20" s="16" t="s">
        <v>81</v>
      </c>
      <c r="K20" s="9">
        <v>43929</v>
      </c>
      <c r="L20">
        <f t="shared" si="2"/>
        <v>4</v>
      </c>
      <c r="M20">
        <f t="shared" si="3"/>
        <v>18</v>
      </c>
      <c r="N20" s="17">
        <f t="shared" si="4"/>
        <v>43929.75</v>
      </c>
      <c r="O20" t="str">
        <f>_xlfn.CONCAT(P20:R20)</f>
        <v>Weeknights</v>
      </c>
      <c r="P20" s="17" t="str">
        <f t="shared" si="5"/>
        <v>Weeknights</v>
      </c>
      <c r="Q20" s="17" t="str">
        <f t="shared" si="6"/>
        <v/>
      </c>
      <c r="R20" t="str">
        <f>IF(L20=7,"Sat","")</f>
        <v/>
      </c>
    </row>
    <row r="21" spans="1:18" x14ac:dyDescent="0.25">
      <c r="A21" s="9">
        <v>43930.75</v>
      </c>
      <c r="B21" t="s">
        <v>23</v>
      </c>
      <c r="D21" s="13">
        <f t="shared" si="0"/>
        <v>43930.75</v>
      </c>
      <c r="E21" s="15">
        <f t="shared" si="1"/>
        <v>5</v>
      </c>
      <c r="J21" s="16" t="s">
        <v>82</v>
      </c>
      <c r="K21" s="9">
        <v>43930</v>
      </c>
      <c r="L21">
        <f t="shared" si="2"/>
        <v>5</v>
      </c>
      <c r="M21">
        <f t="shared" si="3"/>
        <v>18</v>
      </c>
      <c r="N21" s="17">
        <f t="shared" si="4"/>
        <v>43930.75</v>
      </c>
      <c r="O21" t="str">
        <f>_xlfn.CONCAT(P21:R21)</f>
        <v>Weeknights</v>
      </c>
      <c r="P21" s="17" t="str">
        <f t="shared" si="5"/>
        <v>Weeknights</v>
      </c>
      <c r="Q21" s="17" t="str">
        <f t="shared" si="6"/>
        <v/>
      </c>
      <c r="R21" t="str">
        <f>IF(L21=7,"Sat","")</f>
        <v/>
      </c>
    </row>
    <row r="22" spans="1:18" x14ac:dyDescent="0.25">
      <c r="A22" s="9">
        <v>43934.75</v>
      </c>
      <c r="B22" t="s">
        <v>23</v>
      </c>
      <c r="D22" s="13">
        <f t="shared" si="0"/>
        <v>43934.75</v>
      </c>
      <c r="E22" s="15">
        <f t="shared" si="1"/>
        <v>2</v>
      </c>
      <c r="J22" s="16" t="s">
        <v>83</v>
      </c>
      <c r="K22" s="9">
        <v>43934</v>
      </c>
      <c r="L22">
        <f t="shared" si="2"/>
        <v>2</v>
      </c>
      <c r="M22">
        <f t="shared" si="3"/>
        <v>18</v>
      </c>
      <c r="N22" s="17">
        <f t="shared" si="4"/>
        <v>43934.75</v>
      </c>
      <c r="O22" t="str">
        <f>_xlfn.CONCAT(P22:R22)</f>
        <v>Weeknights</v>
      </c>
      <c r="P22" s="17" t="str">
        <f t="shared" si="5"/>
        <v>Weeknights</v>
      </c>
      <c r="Q22" s="17" t="str">
        <f t="shared" si="6"/>
        <v/>
      </c>
      <c r="R22" t="str">
        <f>IF(L22=7,"Sat","")</f>
        <v/>
      </c>
    </row>
    <row r="23" spans="1:18" x14ac:dyDescent="0.25">
      <c r="A23" s="9">
        <v>43935.75</v>
      </c>
      <c r="B23" t="s">
        <v>23</v>
      </c>
      <c r="D23" s="13">
        <f t="shared" si="0"/>
        <v>43935.75</v>
      </c>
      <c r="E23" s="15">
        <f t="shared" si="1"/>
        <v>3</v>
      </c>
      <c r="J23" s="16" t="s">
        <v>84</v>
      </c>
      <c r="K23" s="9">
        <v>43935</v>
      </c>
      <c r="L23">
        <f t="shared" si="2"/>
        <v>3</v>
      </c>
      <c r="M23">
        <f t="shared" si="3"/>
        <v>18</v>
      </c>
      <c r="N23" s="17">
        <f t="shared" si="4"/>
        <v>43935.75</v>
      </c>
      <c r="O23" t="str">
        <f>_xlfn.CONCAT(P23:R23)</f>
        <v>Weeknights</v>
      </c>
      <c r="P23" s="17" t="str">
        <f t="shared" si="5"/>
        <v>Weeknights</v>
      </c>
      <c r="Q23" s="17" t="str">
        <f t="shared" si="6"/>
        <v/>
      </c>
      <c r="R23" t="str">
        <f>IF(L23=7,"Sat","")</f>
        <v/>
      </c>
    </row>
    <row r="24" spans="1:18" x14ac:dyDescent="0.25">
      <c r="A24" s="9">
        <v>43936.75</v>
      </c>
      <c r="B24" t="s">
        <v>23</v>
      </c>
      <c r="D24" s="13">
        <f t="shared" si="0"/>
        <v>43936.75</v>
      </c>
      <c r="E24" s="15">
        <f t="shared" si="1"/>
        <v>4</v>
      </c>
      <c r="J24" s="16" t="s">
        <v>85</v>
      </c>
      <c r="K24" s="9">
        <v>43936</v>
      </c>
      <c r="L24">
        <f t="shared" si="2"/>
        <v>4</v>
      </c>
      <c r="M24">
        <f t="shared" si="3"/>
        <v>18</v>
      </c>
      <c r="N24" s="17">
        <f t="shared" si="4"/>
        <v>43936.75</v>
      </c>
      <c r="O24" t="str">
        <f>_xlfn.CONCAT(P24:R24)</f>
        <v>Weeknights</v>
      </c>
      <c r="P24" s="17" t="str">
        <f t="shared" si="5"/>
        <v>Weeknights</v>
      </c>
      <c r="Q24" s="17" t="str">
        <f t="shared" si="6"/>
        <v/>
      </c>
      <c r="R24" t="str">
        <f>IF(L24=7,"Sat","")</f>
        <v/>
      </c>
    </row>
    <row r="25" spans="1:18" x14ac:dyDescent="0.25">
      <c r="A25" s="9">
        <v>43937.75</v>
      </c>
      <c r="B25" t="s">
        <v>23</v>
      </c>
      <c r="D25" s="13">
        <f t="shared" si="0"/>
        <v>43937.75</v>
      </c>
      <c r="E25" s="15">
        <f t="shared" si="1"/>
        <v>5</v>
      </c>
      <c r="J25" s="16" t="s">
        <v>86</v>
      </c>
      <c r="K25" s="9">
        <v>43937</v>
      </c>
      <c r="L25">
        <f t="shared" si="2"/>
        <v>5</v>
      </c>
      <c r="M25">
        <f t="shared" si="3"/>
        <v>18</v>
      </c>
      <c r="N25" s="17">
        <f t="shared" si="4"/>
        <v>43937.75</v>
      </c>
      <c r="O25" t="str">
        <f>_xlfn.CONCAT(P25:R25)</f>
        <v>Weeknights</v>
      </c>
      <c r="P25" s="17" t="str">
        <f t="shared" si="5"/>
        <v>Weeknights</v>
      </c>
      <c r="Q25" s="17" t="str">
        <f t="shared" si="6"/>
        <v/>
      </c>
      <c r="R25" t="str">
        <f>IF(L25=7,"Sat","")</f>
        <v/>
      </c>
    </row>
    <row r="26" spans="1:18" x14ac:dyDescent="0.25">
      <c r="A26" s="9">
        <v>43938.75</v>
      </c>
      <c r="B26" t="s">
        <v>22</v>
      </c>
      <c r="D26" s="13">
        <f t="shared" si="0"/>
        <v>43938.75</v>
      </c>
      <c r="E26" s="15">
        <f t="shared" si="1"/>
        <v>6</v>
      </c>
      <c r="J26" s="16" t="s">
        <v>87</v>
      </c>
      <c r="K26" s="9">
        <v>43938</v>
      </c>
      <c r="L26">
        <f t="shared" si="2"/>
        <v>6</v>
      </c>
      <c r="M26">
        <f t="shared" si="3"/>
        <v>18</v>
      </c>
      <c r="N26" s="17">
        <f t="shared" si="4"/>
        <v>43938.75</v>
      </c>
      <c r="O26" t="str">
        <f>_xlfn.CONCAT(P26:R26)</f>
        <v>Friday Nights</v>
      </c>
      <c r="P26" s="17" t="str">
        <f t="shared" si="5"/>
        <v/>
      </c>
      <c r="Q26" s="17" t="str">
        <f t="shared" si="6"/>
        <v>Friday Nights</v>
      </c>
      <c r="R26" t="str">
        <f>IF(L26=7,"Sat","")</f>
        <v/>
      </c>
    </row>
    <row r="27" spans="1:18" x14ac:dyDescent="0.25">
      <c r="A27" s="9">
        <v>43939.375</v>
      </c>
      <c r="B27" t="s">
        <v>108</v>
      </c>
      <c r="D27" s="13">
        <f t="shared" si="0"/>
        <v>43939.375</v>
      </c>
      <c r="E27" s="15">
        <f t="shared" si="1"/>
        <v>7</v>
      </c>
      <c r="J27" s="16" t="s">
        <v>88</v>
      </c>
      <c r="K27" s="9">
        <v>43939</v>
      </c>
      <c r="L27">
        <f t="shared" si="2"/>
        <v>7</v>
      </c>
      <c r="M27">
        <f t="shared" si="3"/>
        <v>9</v>
      </c>
      <c r="N27" s="17">
        <f t="shared" si="4"/>
        <v>43939.375</v>
      </c>
      <c r="O27" t="str">
        <f>_xlfn.CONCAT(P27:R27)</f>
        <v>Sat</v>
      </c>
      <c r="P27" s="17" t="str">
        <f t="shared" si="5"/>
        <v/>
      </c>
      <c r="Q27" s="17" t="str">
        <f t="shared" si="6"/>
        <v/>
      </c>
      <c r="R27" t="str">
        <f>IF(L27=7,"Sat","")</f>
        <v>Sat</v>
      </c>
    </row>
    <row r="28" spans="1:18" x14ac:dyDescent="0.25">
      <c r="A28" s="9">
        <v>43941.75</v>
      </c>
      <c r="B28" t="s">
        <v>23</v>
      </c>
      <c r="D28" s="13">
        <f t="shared" si="0"/>
        <v>43941.75</v>
      </c>
      <c r="E28" s="15">
        <f t="shared" si="1"/>
        <v>2</v>
      </c>
      <c r="J28" s="16" t="s">
        <v>89</v>
      </c>
      <c r="K28" s="9">
        <v>43941</v>
      </c>
      <c r="L28">
        <f t="shared" si="2"/>
        <v>2</v>
      </c>
      <c r="M28">
        <f t="shared" si="3"/>
        <v>18</v>
      </c>
      <c r="N28" s="17">
        <f t="shared" si="4"/>
        <v>43941.75</v>
      </c>
      <c r="O28" t="str">
        <f>_xlfn.CONCAT(P28:R28)</f>
        <v>Weeknights</v>
      </c>
      <c r="P28" s="17" t="str">
        <f t="shared" si="5"/>
        <v>Weeknights</v>
      </c>
      <c r="Q28" s="17" t="str">
        <f t="shared" si="6"/>
        <v/>
      </c>
      <c r="R28" t="str">
        <f>IF(L28=7,"Sat","")</f>
        <v/>
      </c>
    </row>
    <row r="29" spans="1:18" x14ac:dyDescent="0.25">
      <c r="A29" s="9">
        <v>43942.75</v>
      </c>
      <c r="B29" t="s">
        <v>23</v>
      </c>
      <c r="D29" s="13">
        <f t="shared" si="0"/>
        <v>43942.75</v>
      </c>
      <c r="E29" s="15">
        <f t="shared" si="1"/>
        <v>3</v>
      </c>
      <c r="J29" s="16" t="s">
        <v>90</v>
      </c>
      <c r="K29" s="9">
        <v>43942</v>
      </c>
      <c r="L29">
        <f t="shared" si="2"/>
        <v>3</v>
      </c>
      <c r="M29">
        <f t="shared" si="3"/>
        <v>18</v>
      </c>
      <c r="N29" s="17">
        <f t="shared" si="4"/>
        <v>43942.75</v>
      </c>
      <c r="O29" t="str">
        <f>_xlfn.CONCAT(P29:R29)</f>
        <v>Weeknights</v>
      </c>
      <c r="P29" s="17" t="str">
        <f t="shared" si="5"/>
        <v>Weeknights</v>
      </c>
      <c r="Q29" s="17" t="str">
        <f t="shared" si="6"/>
        <v/>
      </c>
      <c r="R29" t="str">
        <f>IF(L29=7,"Sat","")</f>
        <v/>
      </c>
    </row>
    <row r="30" spans="1:18" x14ac:dyDescent="0.25">
      <c r="A30" s="9">
        <v>43943.75</v>
      </c>
      <c r="B30" t="s">
        <v>23</v>
      </c>
      <c r="D30" s="13">
        <f t="shared" si="0"/>
        <v>43943.75</v>
      </c>
      <c r="E30" s="15">
        <f t="shared" si="1"/>
        <v>4</v>
      </c>
      <c r="J30" s="16" t="s">
        <v>91</v>
      </c>
      <c r="K30" s="9">
        <v>43943</v>
      </c>
      <c r="L30">
        <f t="shared" si="2"/>
        <v>4</v>
      </c>
      <c r="M30">
        <f t="shared" si="3"/>
        <v>18</v>
      </c>
      <c r="N30" s="17">
        <f t="shared" si="4"/>
        <v>43943.75</v>
      </c>
      <c r="O30" t="str">
        <f>_xlfn.CONCAT(P30:R30)</f>
        <v>Weeknights</v>
      </c>
      <c r="P30" s="17" t="str">
        <f t="shared" si="5"/>
        <v>Weeknights</v>
      </c>
      <c r="Q30" s="17" t="str">
        <f t="shared" si="6"/>
        <v/>
      </c>
      <c r="R30" t="str">
        <f>IF(L30=7,"Sat","")</f>
        <v/>
      </c>
    </row>
    <row r="31" spans="1:18" x14ac:dyDescent="0.25">
      <c r="A31" s="9">
        <v>43944.75</v>
      </c>
      <c r="B31" t="s">
        <v>23</v>
      </c>
      <c r="D31" s="13">
        <f t="shared" si="0"/>
        <v>43944.75</v>
      </c>
      <c r="E31" s="15">
        <f t="shared" si="1"/>
        <v>5</v>
      </c>
      <c r="J31" s="16" t="s">
        <v>92</v>
      </c>
      <c r="K31" s="9">
        <v>43944</v>
      </c>
      <c r="L31">
        <f t="shared" si="2"/>
        <v>5</v>
      </c>
      <c r="M31">
        <f t="shared" si="3"/>
        <v>18</v>
      </c>
      <c r="N31" s="17">
        <f t="shared" si="4"/>
        <v>43944.75</v>
      </c>
      <c r="O31" t="str">
        <f>_xlfn.CONCAT(P31:R31)</f>
        <v>Weeknights</v>
      </c>
      <c r="P31" s="17" t="str">
        <f t="shared" si="5"/>
        <v>Weeknights</v>
      </c>
      <c r="Q31" s="17" t="str">
        <f t="shared" si="6"/>
        <v/>
      </c>
      <c r="R31" t="str">
        <f>IF(L31=7,"Sat","")</f>
        <v/>
      </c>
    </row>
    <row r="32" spans="1:18" x14ac:dyDescent="0.25">
      <c r="A32" s="9">
        <v>43945.75</v>
      </c>
      <c r="B32" t="s">
        <v>22</v>
      </c>
      <c r="D32" s="13">
        <f t="shared" si="0"/>
        <v>43945.75</v>
      </c>
      <c r="E32" s="15">
        <f t="shared" si="1"/>
        <v>6</v>
      </c>
      <c r="J32" s="16" t="s">
        <v>93</v>
      </c>
      <c r="K32" s="9">
        <v>43945</v>
      </c>
      <c r="L32">
        <f t="shared" si="2"/>
        <v>6</v>
      </c>
      <c r="M32">
        <f t="shared" si="3"/>
        <v>18</v>
      </c>
      <c r="N32" s="17">
        <f t="shared" si="4"/>
        <v>43945.75</v>
      </c>
      <c r="O32" t="str">
        <f>_xlfn.CONCAT(P32:R32)</f>
        <v>Friday Nights</v>
      </c>
      <c r="P32" s="17" t="str">
        <f t="shared" si="5"/>
        <v/>
      </c>
      <c r="Q32" s="17" t="str">
        <f t="shared" si="6"/>
        <v>Friday Nights</v>
      </c>
      <c r="R32" t="str">
        <f>IF(L32=7,"Sat","")</f>
        <v/>
      </c>
    </row>
    <row r="33" spans="1:18" x14ac:dyDescent="0.25">
      <c r="A33" s="9">
        <v>43946.375</v>
      </c>
      <c r="B33" t="s">
        <v>108</v>
      </c>
      <c r="J33" s="16" t="s">
        <v>94</v>
      </c>
      <c r="K33" s="9">
        <v>43946</v>
      </c>
      <c r="L33">
        <f t="shared" si="2"/>
        <v>7</v>
      </c>
      <c r="M33">
        <f t="shared" si="3"/>
        <v>9</v>
      </c>
      <c r="N33" s="17">
        <f t="shared" si="4"/>
        <v>43946.375</v>
      </c>
      <c r="O33" t="str">
        <f>_xlfn.CONCAT(P33:R33)</f>
        <v>Sat</v>
      </c>
      <c r="P33" s="17" t="str">
        <f t="shared" si="5"/>
        <v/>
      </c>
      <c r="Q33" s="17" t="str">
        <f t="shared" si="6"/>
        <v/>
      </c>
      <c r="R33" t="str">
        <f>IF(L33=7,"Sat","")</f>
        <v>Sat</v>
      </c>
    </row>
    <row r="34" spans="1:18" x14ac:dyDescent="0.25">
      <c r="A34" s="9">
        <v>43948.75</v>
      </c>
      <c r="B34" t="s">
        <v>23</v>
      </c>
      <c r="J34" s="16" t="s">
        <v>95</v>
      </c>
      <c r="K34" s="9">
        <v>43948</v>
      </c>
      <c r="L34">
        <f t="shared" si="2"/>
        <v>2</v>
      </c>
      <c r="M34">
        <f t="shared" si="3"/>
        <v>18</v>
      </c>
      <c r="N34" s="17">
        <f t="shared" si="4"/>
        <v>43948.75</v>
      </c>
      <c r="O34" t="str">
        <f>_xlfn.CONCAT(P34:R34)</f>
        <v>Weeknights</v>
      </c>
      <c r="P34" s="17" t="str">
        <f t="shared" si="5"/>
        <v>Weeknights</v>
      </c>
      <c r="Q34" s="17" t="str">
        <f t="shared" si="6"/>
        <v/>
      </c>
      <c r="R34" t="str">
        <f>IF(L34=7,"Sat","")</f>
        <v/>
      </c>
    </row>
    <row r="35" spans="1:18" x14ac:dyDescent="0.25">
      <c r="A35" s="9">
        <v>43949.75</v>
      </c>
      <c r="B35" t="s">
        <v>23</v>
      </c>
      <c r="J35" s="16" t="s">
        <v>96</v>
      </c>
      <c r="K35" s="9">
        <v>43949</v>
      </c>
      <c r="L35">
        <f t="shared" si="2"/>
        <v>3</v>
      </c>
      <c r="M35">
        <f t="shared" si="3"/>
        <v>18</v>
      </c>
      <c r="N35" s="17">
        <f t="shared" si="4"/>
        <v>43949.75</v>
      </c>
      <c r="O35" t="str">
        <f>_xlfn.CONCAT(P35:R35)</f>
        <v>Weeknights</v>
      </c>
      <c r="P35" s="17" t="str">
        <f t="shared" si="5"/>
        <v>Weeknights</v>
      </c>
      <c r="Q35" s="17" t="str">
        <f t="shared" si="6"/>
        <v/>
      </c>
      <c r="R35" t="str">
        <f>IF(L35=7,"Sat","")</f>
        <v/>
      </c>
    </row>
    <row r="36" spans="1:18" x14ac:dyDescent="0.25">
      <c r="A36" s="9">
        <v>43950.75</v>
      </c>
      <c r="B36" t="s">
        <v>23</v>
      </c>
      <c r="J36" s="16" t="s">
        <v>97</v>
      </c>
      <c r="K36" s="9">
        <v>43950</v>
      </c>
      <c r="L36">
        <f t="shared" si="2"/>
        <v>4</v>
      </c>
      <c r="M36">
        <f t="shared" si="3"/>
        <v>18</v>
      </c>
      <c r="N36" s="17">
        <f t="shared" si="4"/>
        <v>43950.75</v>
      </c>
      <c r="O36" t="str">
        <f>_xlfn.CONCAT(P36:R36)</f>
        <v>Weeknights</v>
      </c>
      <c r="P36" s="17" t="str">
        <f t="shared" si="5"/>
        <v>Weeknights</v>
      </c>
      <c r="Q36" s="17" t="str">
        <f t="shared" si="6"/>
        <v/>
      </c>
      <c r="R36" t="str">
        <f>IF(L36=7,"Sat","")</f>
        <v/>
      </c>
    </row>
    <row r="37" spans="1:18" x14ac:dyDescent="0.25">
      <c r="A37" s="9">
        <v>43951.75</v>
      </c>
      <c r="B37" t="s">
        <v>23</v>
      </c>
      <c r="J37" s="16" t="s">
        <v>98</v>
      </c>
      <c r="K37" s="9">
        <v>43951</v>
      </c>
      <c r="L37">
        <f t="shared" si="2"/>
        <v>5</v>
      </c>
      <c r="M37">
        <f t="shared" si="3"/>
        <v>18</v>
      </c>
      <c r="N37" s="17">
        <f t="shared" si="4"/>
        <v>43951.75</v>
      </c>
      <c r="O37" t="str">
        <f>_xlfn.CONCAT(P37:R37)</f>
        <v>Weeknights</v>
      </c>
      <c r="P37" s="17" t="str">
        <f t="shared" si="5"/>
        <v>Weeknights</v>
      </c>
      <c r="Q37" s="17" t="str">
        <f t="shared" si="6"/>
        <v/>
      </c>
      <c r="R37" t="str">
        <f>IF(L37=7,"Sat","")</f>
        <v/>
      </c>
    </row>
    <row r="38" spans="1:18" x14ac:dyDescent="0.25">
      <c r="A38" s="9">
        <v>43952.75</v>
      </c>
      <c r="B38" t="s">
        <v>22</v>
      </c>
      <c r="J38" s="16" t="s">
        <v>99</v>
      </c>
      <c r="K38" s="9">
        <v>43952</v>
      </c>
      <c r="L38">
        <f t="shared" si="2"/>
        <v>6</v>
      </c>
      <c r="M38">
        <f t="shared" si="3"/>
        <v>18</v>
      </c>
      <c r="N38" s="17">
        <f t="shared" si="4"/>
        <v>43952.75</v>
      </c>
      <c r="O38" t="str">
        <f>_xlfn.CONCAT(P38:R38)</f>
        <v>Friday Nights</v>
      </c>
      <c r="P38" s="17" t="str">
        <f t="shared" si="5"/>
        <v/>
      </c>
      <c r="Q38" s="17" t="str">
        <f t="shared" si="6"/>
        <v>Friday Nights</v>
      </c>
      <c r="R38" t="str">
        <f>IF(L38=7,"Sat","")</f>
        <v/>
      </c>
    </row>
    <row r="39" spans="1:18" x14ac:dyDescent="0.25">
      <c r="A39" s="9">
        <v>43953.375</v>
      </c>
      <c r="B39" t="s">
        <v>108</v>
      </c>
      <c r="J39" s="16" t="s">
        <v>100</v>
      </c>
      <c r="K39" s="9">
        <v>43953</v>
      </c>
      <c r="L39">
        <f t="shared" si="2"/>
        <v>7</v>
      </c>
      <c r="M39">
        <f t="shared" si="3"/>
        <v>9</v>
      </c>
      <c r="N39" s="17">
        <f t="shared" si="4"/>
        <v>43953.375</v>
      </c>
      <c r="O39" t="str">
        <f>_xlfn.CONCAT(P39:R39)</f>
        <v>Sat</v>
      </c>
      <c r="P39" s="17" t="str">
        <f t="shared" si="5"/>
        <v/>
      </c>
      <c r="Q39" s="17" t="str">
        <f t="shared" si="6"/>
        <v/>
      </c>
      <c r="R39" t="str">
        <f>IF(L39=7,"Sat","")</f>
        <v>Sat</v>
      </c>
    </row>
    <row r="40" spans="1:18" x14ac:dyDescent="0.25">
      <c r="A40" s="9">
        <v>43955.75</v>
      </c>
      <c r="B40" t="s">
        <v>23</v>
      </c>
      <c r="J40" s="16" t="s">
        <v>101</v>
      </c>
      <c r="K40" s="9">
        <v>43955</v>
      </c>
      <c r="L40">
        <f t="shared" si="2"/>
        <v>2</v>
      </c>
      <c r="M40">
        <f t="shared" si="3"/>
        <v>18</v>
      </c>
      <c r="N40" s="17">
        <f t="shared" si="4"/>
        <v>43955.75</v>
      </c>
      <c r="O40" t="str">
        <f>_xlfn.CONCAT(P40:R40)</f>
        <v>Weeknights</v>
      </c>
      <c r="P40" s="17" t="str">
        <f t="shared" si="5"/>
        <v>Weeknights</v>
      </c>
      <c r="Q40" s="17" t="str">
        <f t="shared" si="6"/>
        <v/>
      </c>
      <c r="R40" t="str">
        <f>IF(L40=7,"Sat","")</f>
        <v/>
      </c>
    </row>
    <row r="41" spans="1:18" x14ac:dyDescent="0.25">
      <c r="A41" s="9">
        <v>43956.75</v>
      </c>
      <c r="B41" t="s">
        <v>23</v>
      </c>
      <c r="J41" s="16" t="s">
        <v>102</v>
      </c>
      <c r="K41" s="9">
        <v>43956</v>
      </c>
      <c r="L41">
        <f t="shared" si="2"/>
        <v>3</v>
      </c>
      <c r="M41">
        <f t="shared" si="3"/>
        <v>18</v>
      </c>
      <c r="N41" s="17">
        <f t="shared" si="4"/>
        <v>43956.75</v>
      </c>
      <c r="O41" t="str">
        <f>_xlfn.CONCAT(P41:R41)</f>
        <v>Weeknights</v>
      </c>
      <c r="P41" s="17" t="str">
        <f t="shared" si="5"/>
        <v>Weeknights</v>
      </c>
      <c r="Q41" s="17" t="str">
        <f t="shared" si="6"/>
        <v/>
      </c>
      <c r="R41" t="str">
        <f>IF(L41=7,"Sat","")</f>
        <v/>
      </c>
    </row>
    <row r="42" spans="1:18" x14ac:dyDescent="0.25">
      <c r="A42" s="9">
        <v>43957.75</v>
      </c>
      <c r="B42" t="s">
        <v>23</v>
      </c>
      <c r="J42" s="16" t="s">
        <v>103</v>
      </c>
      <c r="K42" s="9">
        <v>43957</v>
      </c>
      <c r="L42">
        <f t="shared" si="2"/>
        <v>4</v>
      </c>
      <c r="M42">
        <f t="shared" si="3"/>
        <v>18</v>
      </c>
      <c r="N42" s="17">
        <f t="shared" si="4"/>
        <v>43957.75</v>
      </c>
      <c r="O42" t="str">
        <f>_xlfn.CONCAT(P42:R42)</f>
        <v>Weeknights</v>
      </c>
      <c r="P42" s="17" t="str">
        <f t="shared" si="5"/>
        <v>Weeknights</v>
      </c>
      <c r="Q42" s="17" t="str">
        <f t="shared" si="6"/>
        <v/>
      </c>
      <c r="R42" t="str">
        <f>IF(L42=7,"Sat","")</f>
        <v/>
      </c>
    </row>
    <row r="43" spans="1:18" x14ac:dyDescent="0.25">
      <c r="A43" s="9">
        <v>43958.75</v>
      </c>
      <c r="B43" t="s">
        <v>23</v>
      </c>
      <c r="J43" s="16" t="s">
        <v>104</v>
      </c>
      <c r="K43" s="9">
        <v>43958</v>
      </c>
      <c r="L43">
        <f t="shared" si="2"/>
        <v>5</v>
      </c>
      <c r="M43">
        <f t="shared" si="3"/>
        <v>18</v>
      </c>
      <c r="N43" s="17">
        <f t="shared" si="4"/>
        <v>43958.75</v>
      </c>
      <c r="O43" t="str">
        <f>_xlfn.CONCAT(P43:R43)</f>
        <v>Weeknights</v>
      </c>
      <c r="P43" s="17" t="str">
        <f t="shared" si="5"/>
        <v>Weeknights</v>
      </c>
      <c r="Q43" s="17" t="str">
        <f t="shared" si="6"/>
        <v/>
      </c>
      <c r="R43" t="str">
        <f>IF(L43=7,"Sat","")</f>
        <v/>
      </c>
    </row>
    <row r="44" spans="1:18" x14ac:dyDescent="0.25">
      <c r="A44" s="9">
        <v>43959.75</v>
      </c>
      <c r="B44" t="s">
        <v>22</v>
      </c>
      <c r="J44" s="16" t="s">
        <v>105</v>
      </c>
      <c r="K44" s="9">
        <v>43959</v>
      </c>
      <c r="L44">
        <f t="shared" si="2"/>
        <v>6</v>
      </c>
      <c r="M44">
        <f t="shared" si="3"/>
        <v>18</v>
      </c>
      <c r="N44" s="17">
        <f t="shared" si="4"/>
        <v>43959.75</v>
      </c>
      <c r="O44" t="str">
        <f>_xlfn.CONCAT(P44:R44)</f>
        <v>Friday Nights</v>
      </c>
      <c r="P44" s="17" t="str">
        <f t="shared" si="5"/>
        <v/>
      </c>
      <c r="Q44" s="17" t="str">
        <f t="shared" si="6"/>
        <v>Friday Nights</v>
      </c>
      <c r="R44" t="str">
        <f>IF(L44=7,"Sat","")</f>
        <v/>
      </c>
    </row>
    <row r="45" spans="1:18" x14ac:dyDescent="0.25">
      <c r="A45" s="9">
        <v>43960.375</v>
      </c>
      <c r="B45" t="s">
        <v>108</v>
      </c>
      <c r="J45" s="16" t="s">
        <v>106</v>
      </c>
      <c r="K45" s="9">
        <v>43960</v>
      </c>
      <c r="L45">
        <f t="shared" si="2"/>
        <v>7</v>
      </c>
      <c r="M45">
        <f t="shared" si="3"/>
        <v>9</v>
      </c>
      <c r="N45" s="17">
        <f t="shared" si="4"/>
        <v>43960.375</v>
      </c>
      <c r="O45" t="str">
        <f>_xlfn.CONCAT(P45:R45)</f>
        <v>Sat</v>
      </c>
      <c r="P45" s="17" t="str">
        <f t="shared" si="5"/>
        <v/>
      </c>
      <c r="Q45" s="17" t="str">
        <f t="shared" si="6"/>
        <v/>
      </c>
      <c r="R45" t="str">
        <f>IF(L45=7,"Sat","")</f>
        <v>Sat</v>
      </c>
    </row>
    <row r="46" spans="1:18" x14ac:dyDescent="0.25">
      <c r="A46" s="9">
        <v>43967.375</v>
      </c>
      <c r="B46" t="s">
        <v>108</v>
      </c>
      <c r="J46" s="16" t="s">
        <v>107</v>
      </c>
      <c r="K46" s="9">
        <v>43967</v>
      </c>
      <c r="L46">
        <f t="shared" si="2"/>
        <v>7</v>
      </c>
      <c r="M46">
        <f t="shared" si="3"/>
        <v>9</v>
      </c>
      <c r="N46" s="17">
        <f t="shared" si="4"/>
        <v>43967.375</v>
      </c>
      <c r="O46" t="str">
        <f>_xlfn.CONCAT(P46:R46)</f>
        <v>Sat</v>
      </c>
      <c r="P46" s="17" t="str">
        <f t="shared" si="5"/>
        <v/>
      </c>
      <c r="Q46" s="17" t="str">
        <f t="shared" si="6"/>
        <v/>
      </c>
      <c r="R46" t="str">
        <f>IF(L46=7,"Sat","")</f>
        <v>Sat</v>
      </c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</sheetData>
  <sortState xmlns:xlrd2="http://schemas.microsoft.com/office/spreadsheetml/2017/richdata2" ref="A2:B103">
    <sortCondition ref="A2:A10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8"/>
  <sheetViews>
    <sheetView workbookViewId="0">
      <selection activeCell="F2" sqref="F2"/>
    </sheetView>
  </sheetViews>
  <sheetFormatPr defaultRowHeight="15" x14ac:dyDescent="0.25"/>
  <cols>
    <col min="1" max="1" width="8.42578125" bestFit="1" customWidth="1"/>
    <col min="2" max="2" width="5.140625" bestFit="1" customWidth="1"/>
    <col min="3" max="3" width="14.28515625" bestFit="1" customWidth="1"/>
    <col min="4" max="4" width="16.42578125" bestFit="1" customWidth="1"/>
    <col min="5" max="5" width="5.85546875" bestFit="1" customWidth="1"/>
    <col min="6" max="6" width="15.140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ht="15.75" thickBot="1" x14ac:dyDescent="0.3">
      <c r="A2" s="3" t="e">
        <f>A1+1</f>
        <v>#VALUE!</v>
      </c>
      <c r="B2" s="4" t="str">
        <f t="shared" ref="B2:B7" si="0">VLOOKUP(H2,field_id,2,FALSE)</f>
        <v>4</v>
      </c>
      <c r="C2" s="4">
        <f>VLOOKUP(I2,league_id,2,FALSE)</f>
        <v>1</v>
      </c>
      <c r="D2" s="4">
        <f t="shared" ref="D2:D3" si="1">VLOOKUP(H2,slot_compat,3,FALSE)</f>
        <v>2</v>
      </c>
      <c r="E2" s="4"/>
      <c r="F2" s="5">
        <v>43888.75</v>
      </c>
      <c r="G2" s="4">
        <f t="shared" ref="G2:G7" si="2">VLOOKUP(I2,GameDuration,2,FALSE)</f>
        <v>120</v>
      </c>
      <c r="H2" s="4" t="s">
        <v>7</v>
      </c>
      <c r="I2" s="4" t="s">
        <v>7</v>
      </c>
      <c r="J2" s="4">
        <f t="shared" ref="J2:J7" si="3">WEEKDAY(F2)</f>
        <v>5</v>
      </c>
      <c r="L2" t="s">
        <v>7</v>
      </c>
      <c r="M2">
        <f>COUNTIF(I$2:I$32,L2)</f>
        <v>1</v>
      </c>
    </row>
    <row r="3" spans="1:13" ht="15.75" thickBot="1" x14ac:dyDescent="0.3">
      <c r="A3" s="3" t="e">
        <f>A2+1</f>
        <v>#VALUE!</v>
      </c>
      <c r="B3" s="4" t="str">
        <f t="shared" si="0"/>
        <v>3</v>
      </c>
      <c r="C3" s="4">
        <f t="shared" ref="C3:C7" si="4">VLOOKUP(I3,league_id,2,FALSE)</f>
        <v>2</v>
      </c>
      <c r="D3" s="4" t="str">
        <f t="shared" si="1"/>
        <v>1,3</v>
      </c>
      <c r="E3" s="4"/>
      <c r="F3" s="5">
        <f>F2</f>
        <v>43888.75</v>
      </c>
      <c r="G3" s="4">
        <f t="shared" si="2"/>
        <v>120</v>
      </c>
      <c r="H3" s="4" t="s">
        <v>8</v>
      </c>
      <c r="I3" s="4" t="s">
        <v>8</v>
      </c>
      <c r="J3" s="4">
        <f t="shared" si="3"/>
        <v>5</v>
      </c>
      <c r="L3" t="s">
        <v>8</v>
      </c>
      <c r="M3">
        <f>COUNTIF(I$2:I$32,L3)</f>
        <v>1</v>
      </c>
    </row>
    <row r="4" spans="1:13" ht="15.75" thickBot="1" x14ac:dyDescent="0.3">
      <c r="A4" s="3" t="e">
        <f t="shared" ref="A4:A7" si="5">A3+1</f>
        <v>#VALUE!</v>
      </c>
      <c r="B4" s="4" t="str">
        <f t="shared" si="0"/>
        <v>2</v>
      </c>
      <c r="C4" s="4">
        <f t="shared" si="4"/>
        <v>4</v>
      </c>
      <c r="D4" s="4">
        <v>5</v>
      </c>
      <c r="E4" s="4"/>
      <c r="F4" s="5">
        <f>F2</f>
        <v>43888.75</v>
      </c>
      <c r="G4" s="4">
        <f t="shared" si="2"/>
        <v>105</v>
      </c>
      <c r="H4" s="4" t="s">
        <v>9</v>
      </c>
      <c r="I4" s="4" t="s">
        <v>12</v>
      </c>
      <c r="J4" s="4">
        <f t="shared" si="3"/>
        <v>5</v>
      </c>
      <c r="L4" t="s">
        <v>11</v>
      </c>
      <c r="M4">
        <f>COUNTIF(I$2:I$32,L4)</f>
        <v>1</v>
      </c>
    </row>
    <row r="5" spans="1:13" ht="15.75" thickBot="1" x14ac:dyDescent="0.3">
      <c r="A5" s="3" t="e">
        <f t="shared" si="5"/>
        <v>#VALUE!</v>
      </c>
      <c r="B5" s="4" t="str">
        <f t="shared" si="0"/>
        <v>1</v>
      </c>
      <c r="C5" s="4">
        <f t="shared" si="4"/>
        <v>5</v>
      </c>
      <c r="D5" s="4"/>
      <c r="E5" s="4"/>
      <c r="F5" s="5">
        <f>F2</f>
        <v>43888.75</v>
      </c>
      <c r="G5" s="4">
        <f t="shared" si="2"/>
        <v>90</v>
      </c>
      <c r="H5" s="4" t="s">
        <v>15</v>
      </c>
      <c r="I5" s="4" t="s">
        <v>10</v>
      </c>
      <c r="J5" s="4">
        <f t="shared" si="3"/>
        <v>5</v>
      </c>
      <c r="L5" t="s">
        <v>12</v>
      </c>
      <c r="M5">
        <f>COUNTIF(I$2:I$32,L5)</f>
        <v>1</v>
      </c>
    </row>
    <row r="6" spans="1:13" ht="15.75" thickBot="1" x14ac:dyDescent="0.3">
      <c r="A6" s="3" t="e">
        <f t="shared" si="5"/>
        <v>#VALUE!</v>
      </c>
      <c r="B6" s="4" t="str">
        <f t="shared" si="0"/>
        <v>5</v>
      </c>
      <c r="C6" s="4">
        <f t="shared" si="4"/>
        <v>5</v>
      </c>
      <c r="D6" s="4"/>
      <c r="E6" s="4"/>
      <c r="F6" s="5">
        <f>F2</f>
        <v>43888.75</v>
      </c>
      <c r="G6" s="4">
        <f t="shared" si="2"/>
        <v>90</v>
      </c>
      <c r="H6" s="4" t="s">
        <v>16</v>
      </c>
      <c r="I6" s="4" t="s">
        <v>10</v>
      </c>
      <c r="J6" s="4">
        <f t="shared" si="3"/>
        <v>5</v>
      </c>
      <c r="L6" t="s">
        <v>10</v>
      </c>
      <c r="M6">
        <f>COUNTIF(I$2:I$32,L6)</f>
        <v>2</v>
      </c>
    </row>
    <row r="7" spans="1:13" x14ac:dyDescent="0.25">
      <c r="A7" s="3" t="e">
        <f t="shared" si="5"/>
        <v>#VALUE!</v>
      </c>
      <c r="B7" s="4" t="str">
        <f t="shared" si="0"/>
        <v>6</v>
      </c>
      <c r="C7" s="4">
        <f t="shared" si="4"/>
        <v>3</v>
      </c>
      <c r="D7" s="4" t="s">
        <v>55</v>
      </c>
      <c r="E7" s="4"/>
      <c r="F7" s="5">
        <f>F2</f>
        <v>43888.75</v>
      </c>
      <c r="G7" s="4">
        <f t="shared" si="2"/>
        <v>105</v>
      </c>
      <c r="H7" s="4" t="s">
        <v>17</v>
      </c>
      <c r="I7" s="4" t="s">
        <v>11</v>
      </c>
      <c r="J7" s="4">
        <f t="shared" si="3"/>
        <v>5</v>
      </c>
      <c r="L7" t="s">
        <v>13</v>
      </c>
      <c r="M7">
        <f>COUNTIF(I$2:I$32,L7)</f>
        <v>0</v>
      </c>
    </row>
    <row r="8" spans="1:13" x14ac:dyDescent="0.25">
      <c r="L8" t="s">
        <v>14</v>
      </c>
      <c r="M8">
        <f>COUNTIF(I$2:I$32,L8)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M17"/>
  <sheetViews>
    <sheetView workbookViewId="0">
      <selection activeCell="D13" sqref="D13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5.57031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17" si="0">VLOOKUP(H2,field_id,2,FALSE)</f>
        <v>4</v>
      </c>
      <c r="C2" s="4">
        <f t="shared" ref="C2:C17" si="1">VLOOKUP(I2,league_id,2,FALSE)</f>
        <v>1</v>
      </c>
      <c r="D2" s="4">
        <f t="shared" ref="D2:D11" si="2">VLOOKUP(H2,slot_compat,3,FALSE)</f>
        <v>2</v>
      </c>
      <c r="E2" s="4"/>
      <c r="F2" s="5">
        <v>43889.75</v>
      </c>
      <c r="G2" s="4">
        <f t="shared" ref="G2:G17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6</v>
      </c>
      <c r="L2" t="s">
        <v>7</v>
      </c>
      <c r="M2">
        <f t="shared" ref="M2:M8" si="5">COUNTIF(I$2:I$42,L2)</f>
        <v>2</v>
      </c>
    </row>
    <row r="3" spans="1:13" ht="15.75" thickBot="1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43889.833333333336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6</v>
      </c>
      <c r="L3" t="s">
        <v>8</v>
      </c>
      <c r="M3">
        <f t="shared" si="5"/>
        <v>4</v>
      </c>
    </row>
    <row r="4" spans="1:13" x14ac:dyDescent="0.2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 t="str">
        <f t="shared" si="2"/>
        <v>1,3</v>
      </c>
      <c r="E4" s="4"/>
      <c r="F4" s="5">
        <f>F2</f>
        <v>43889.75</v>
      </c>
      <c r="G4" s="4">
        <f t="shared" si="3"/>
        <v>120</v>
      </c>
      <c r="H4" s="4" t="s">
        <v>8</v>
      </c>
      <c r="I4" s="4" t="s">
        <v>8</v>
      </c>
      <c r="J4" s="4">
        <f t="shared" si="4"/>
        <v>6</v>
      </c>
      <c r="L4" t="s">
        <v>11</v>
      </c>
      <c r="M4">
        <f t="shared" si="5"/>
        <v>2</v>
      </c>
    </row>
    <row r="5" spans="1:13" ht="15.75" thickBot="1" x14ac:dyDescent="0.3">
      <c r="A5" s="7" t="e">
        <f t="shared" ref="A5:A13" si="6">A4+1</f>
        <v>#VALUE!</v>
      </c>
      <c r="B5" s="8" t="str">
        <f t="shared" si="0"/>
        <v>3</v>
      </c>
      <c r="C5" s="8">
        <f t="shared" si="1"/>
        <v>2</v>
      </c>
      <c r="D5" s="8" t="str">
        <f t="shared" si="2"/>
        <v>1,3</v>
      </c>
      <c r="E5" s="8"/>
      <c r="F5" s="9">
        <f>F4+G4/60/24</f>
        <v>43889.833333333336</v>
      </c>
      <c r="G5" s="8">
        <f t="shared" si="3"/>
        <v>120</v>
      </c>
      <c r="H5" s="8" t="s">
        <v>8</v>
      </c>
      <c r="I5" s="8" t="s">
        <v>8</v>
      </c>
      <c r="J5" s="8">
        <f t="shared" si="4"/>
        <v>6</v>
      </c>
      <c r="L5" t="s">
        <v>12</v>
      </c>
      <c r="M5">
        <f t="shared" si="5"/>
        <v>3</v>
      </c>
    </row>
    <row r="6" spans="1:13" x14ac:dyDescent="0.2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>
        <v>5</v>
      </c>
      <c r="E6" s="4"/>
      <c r="F6" s="5">
        <f>F2</f>
        <v>43889.75</v>
      </c>
      <c r="G6" s="4">
        <f t="shared" si="3"/>
        <v>105</v>
      </c>
      <c r="H6" s="4" t="s">
        <v>9</v>
      </c>
      <c r="I6" s="4" t="s">
        <v>12</v>
      </c>
      <c r="J6" s="4">
        <f t="shared" si="4"/>
        <v>6</v>
      </c>
      <c r="L6" t="s">
        <v>10</v>
      </c>
      <c r="M6">
        <f t="shared" si="5"/>
        <v>5</v>
      </c>
    </row>
    <row r="7" spans="1:13" ht="15.75" thickBot="1" x14ac:dyDescent="0.3">
      <c r="A7" s="7" t="e">
        <f t="shared" si="6"/>
        <v>#VALUE!</v>
      </c>
      <c r="B7" s="8" t="str">
        <f t="shared" si="0"/>
        <v>2</v>
      </c>
      <c r="C7" s="8">
        <f t="shared" si="1"/>
        <v>4</v>
      </c>
      <c r="D7" s="8">
        <v>5</v>
      </c>
      <c r="E7" s="8"/>
      <c r="F7" s="9">
        <f>F6+G6/60/24</f>
        <v>43889.822916666664</v>
      </c>
      <c r="G7" s="8">
        <f t="shared" si="3"/>
        <v>105</v>
      </c>
      <c r="H7" s="8" t="s">
        <v>9</v>
      </c>
      <c r="I7" s="8" t="s">
        <v>12</v>
      </c>
      <c r="J7" s="8">
        <f t="shared" si="4"/>
        <v>6</v>
      </c>
      <c r="L7" t="s">
        <v>13</v>
      </c>
      <c r="M7">
        <f t="shared" si="5"/>
        <v>0</v>
      </c>
    </row>
    <row r="8" spans="1:13" x14ac:dyDescent="0.2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4"/>
      <c r="F8" s="5">
        <f>F2</f>
        <v>43889.75</v>
      </c>
      <c r="G8" s="4">
        <f t="shared" si="3"/>
        <v>90</v>
      </c>
      <c r="H8" s="4" t="s">
        <v>15</v>
      </c>
      <c r="I8" s="4" t="s">
        <v>10</v>
      </c>
      <c r="J8" s="4">
        <f t="shared" si="4"/>
        <v>6</v>
      </c>
      <c r="L8" t="s">
        <v>14</v>
      </c>
      <c r="M8">
        <f t="shared" si="5"/>
        <v>0</v>
      </c>
    </row>
    <row r="9" spans="1:13" ht="15.75" thickBot="1" x14ac:dyDescent="0.3">
      <c r="A9" s="7" t="e">
        <f t="shared" si="6"/>
        <v>#VALUE!</v>
      </c>
      <c r="B9" s="8" t="str">
        <f t="shared" si="0"/>
        <v>1</v>
      </c>
      <c r="C9" s="8">
        <f t="shared" si="1"/>
        <v>5</v>
      </c>
      <c r="D9" s="8"/>
      <c r="E9" s="8"/>
      <c r="F9" s="9">
        <f>F8+G8/60/24</f>
        <v>43889.8125</v>
      </c>
      <c r="G9" s="8">
        <f t="shared" si="3"/>
        <v>90</v>
      </c>
      <c r="H9" s="8" t="s">
        <v>15</v>
      </c>
      <c r="I9" s="8" t="s">
        <v>10</v>
      </c>
      <c r="J9" s="8">
        <f t="shared" si="4"/>
        <v>6</v>
      </c>
    </row>
    <row r="10" spans="1:13" x14ac:dyDescent="0.2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4"/>
      <c r="F10" s="5">
        <f>F2</f>
        <v>43889.75</v>
      </c>
      <c r="G10" s="4">
        <f t="shared" si="3"/>
        <v>90</v>
      </c>
      <c r="H10" s="4" t="s">
        <v>16</v>
      </c>
      <c r="I10" s="4" t="s">
        <v>10</v>
      </c>
      <c r="J10" s="4">
        <f t="shared" si="4"/>
        <v>6</v>
      </c>
    </row>
    <row r="11" spans="1:13" ht="15.75" thickBot="1" x14ac:dyDescent="0.3">
      <c r="A11" s="7" t="e">
        <f t="shared" si="6"/>
        <v>#VALUE!</v>
      </c>
      <c r="B11" s="8" t="str">
        <f t="shared" si="0"/>
        <v>5</v>
      </c>
      <c r="C11" s="8">
        <f t="shared" si="1"/>
        <v>4</v>
      </c>
      <c r="D11" s="8">
        <f t="shared" si="2"/>
        <v>5</v>
      </c>
      <c r="E11" s="8"/>
      <c r="F11" s="9">
        <f>F10+G10/60/24</f>
        <v>43889.8125</v>
      </c>
      <c r="G11" s="8">
        <f t="shared" si="3"/>
        <v>105</v>
      </c>
      <c r="H11" s="8" t="s">
        <v>16</v>
      </c>
      <c r="I11" s="8" t="s">
        <v>12</v>
      </c>
      <c r="J11" s="8">
        <f t="shared" si="4"/>
        <v>6</v>
      </c>
    </row>
    <row r="12" spans="1:13" x14ac:dyDescent="0.2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 t="s">
        <v>55</v>
      </c>
      <c r="E12" s="4"/>
      <c r="F12" s="5">
        <f>F2</f>
        <v>43889.75</v>
      </c>
      <c r="G12" s="4">
        <f t="shared" si="3"/>
        <v>105</v>
      </c>
      <c r="H12" s="4" t="s">
        <v>17</v>
      </c>
      <c r="I12" s="4" t="s">
        <v>11</v>
      </c>
      <c r="J12" s="4">
        <f t="shared" si="4"/>
        <v>6</v>
      </c>
    </row>
    <row r="13" spans="1:13" ht="15.75" thickBot="1" x14ac:dyDescent="0.3">
      <c r="A13" s="10" t="e">
        <f t="shared" si="6"/>
        <v>#VALUE!</v>
      </c>
      <c r="B13" s="11" t="str">
        <f t="shared" si="0"/>
        <v>6</v>
      </c>
      <c r="C13" s="11">
        <f t="shared" si="1"/>
        <v>3</v>
      </c>
      <c r="D13" s="11" t="s">
        <v>55</v>
      </c>
      <c r="E13" s="11"/>
      <c r="F13" s="12">
        <f>F12+G12/60/24</f>
        <v>43889.822916666664</v>
      </c>
      <c r="G13" s="11">
        <f t="shared" si="3"/>
        <v>105</v>
      </c>
      <c r="H13" s="11" t="s">
        <v>17</v>
      </c>
      <c r="I13" s="11" t="s">
        <v>11</v>
      </c>
      <c r="J13" s="11">
        <f t="shared" si="4"/>
        <v>6</v>
      </c>
    </row>
    <row r="14" spans="1:13" x14ac:dyDescent="0.25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>
        <v>6</v>
      </c>
      <c r="E14" s="4"/>
      <c r="F14" s="5">
        <f>F2</f>
        <v>43889.75</v>
      </c>
      <c r="G14" s="4">
        <f t="shared" si="3"/>
        <v>90</v>
      </c>
      <c r="H14" s="4" t="s">
        <v>18</v>
      </c>
      <c r="I14" s="4" t="s">
        <v>10</v>
      </c>
      <c r="J14" s="4">
        <f t="shared" si="4"/>
        <v>6</v>
      </c>
    </row>
    <row r="15" spans="1:13" ht="15.75" thickBot="1" x14ac:dyDescent="0.3">
      <c r="A15" s="7" t="e">
        <f t="shared" ref="A15" si="7">A14+1</f>
        <v>#VALUE!</v>
      </c>
      <c r="B15" s="8" t="str">
        <f t="shared" si="0"/>
        <v>7</v>
      </c>
      <c r="C15" s="8">
        <f t="shared" si="1"/>
        <v>2</v>
      </c>
      <c r="D15" s="8" t="s">
        <v>55</v>
      </c>
      <c r="E15" s="8"/>
      <c r="F15" s="9">
        <f>F14+G14/60/24</f>
        <v>43889.8125</v>
      </c>
      <c r="G15" s="8">
        <f t="shared" si="3"/>
        <v>120</v>
      </c>
      <c r="H15" s="8" t="s">
        <v>18</v>
      </c>
      <c r="I15" s="8" t="s">
        <v>8</v>
      </c>
      <c r="J15" s="8">
        <f t="shared" si="4"/>
        <v>6</v>
      </c>
    </row>
    <row r="16" spans="1:13" x14ac:dyDescent="0.25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4"/>
      <c r="F16" s="5">
        <f>F2</f>
        <v>43889.75</v>
      </c>
      <c r="G16" s="4">
        <f t="shared" si="3"/>
        <v>90</v>
      </c>
      <c r="H16" s="4" t="s">
        <v>19</v>
      </c>
      <c r="I16" s="4" t="s">
        <v>10</v>
      </c>
      <c r="J16" s="4">
        <f t="shared" si="4"/>
        <v>6</v>
      </c>
    </row>
    <row r="17" spans="1:10" ht="15.75" thickBot="1" x14ac:dyDescent="0.3">
      <c r="A17" s="10" t="e">
        <f t="shared" ref="A17" si="8">A16+1</f>
        <v>#VALUE!</v>
      </c>
      <c r="B17" s="11" t="str">
        <f t="shared" si="0"/>
        <v>8</v>
      </c>
      <c r="C17" s="11">
        <f t="shared" si="1"/>
        <v>2</v>
      </c>
      <c r="D17" s="11" t="s">
        <v>56</v>
      </c>
      <c r="E17" s="11"/>
      <c r="F17" s="12">
        <f>F16+G16/60/24</f>
        <v>43889.8125</v>
      </c>
      <c r="G17" s="11">
        <f t="shared" si="3"/>
        <v>120</v>
      </c>
      <c r="H17" s="11" t="s">
        <v>19</v>
      </c>
      <c r="I17" s="11" t="s">
        <v>8</v>
      </c>
      <c r="J17" s="11">
        <f t="shared" si="4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M52"/>
  <sheetViews>
    <sheetView topLeftCell="A10" workbookViewId="0">
      <selection activeCell="C22" sqref="C22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</row>
    <row r="2" spans="1:13" x14ac:dyDescent="0.25">
      <c r="A2" s="3" t="e">
        <f>A1+1</f>
        <v>#VALUE!</v>
      </c>
      <c r="B2" s="4" t="str">
        <f t="shared" ref="B2:B50" si="0">VLOOKUP(H2,field_id,2,FALSE)</f>
        <v>4</v>
      </c>
      <c r="C2" s="4">
        <f t="shared" ref="C2:C50" si="1">VLOOKUP(I2,league_id,2,FALSE)</f>
        <v>1</v>
      </c>
      <c r="D2" s="4">
        <f t="shared" ref="D2:D18" si="2">VLOOKUP(H2,slot_compat,3,FALSE)</f>
        <v>2</v>
      </c>
      <c r="E2" s="4"/>
      <c r="F2" s="5">
        <v>43890.375</v>
      </c>
      <c r="G2" s="4">
        <f t="shared" ref="G2:G50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COUNTIF(I$2:I$48,L2)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9</v>
      </c>
    </row>
    <row r="4" spans="1:13" x14ac:dyDescent="0.25">
      <c r="A4" s="7" t="e">
        <f t="shared" ref="A4:A52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7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12</v>
      </c>
    </row>
    <row r="6" spans="1:13" x14ac:dyDescent="0.25">
      <c r="A6" s="7" t="e">
        <f>A4+1</f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7</v>
      </c>
      <c r="I6" s="8" t="s">
        <v>7</v>
      </c>
      <c r="J6" s="8">
        <f t="shared" ref="J6" si="11">WEEKDAY(F6)</f>
        <v>7</v>
      </c>
      <c r="L6" t="s">
        <v>10</v>
      </c>
      <c r="M6">
        <f t="shared" si="5"/>
        <v>8</v>
      </c>
    </row>
    <row r="7" spans="1:13" ht="15.75" thickBot="1" x14ac:dyDescent="0.3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7</v>
      </c>
      <c r="I7" s="11" t="s">
        <v>7</v>
      </c>
      <c r="J7" s="11">
        <f t="shared" si="4"/>
        <v>7</v>
      </c>
      <c r="L7" t="s">
        <v>13</v>
      </c>
      <c r="M7">
        <f t="shared" si="5"/>
        <v>4</v>
      </c>
    </row>
    <row r="8" spans="1:13" x14ac:dyDescent="0.25">
      <c r="A8" s="3" t="e">
        <f t="shared" si="6"/>
        <v>#VALUE!</v>
      </c>
      <c r="B8" s="4" t="str">
        <f t="shared" si="0"/>
        <v>3</v>
      </c>
      <c r="C8" s="8">
        <f t="shared" si="1"/>
        <v>2</v>
      </c>
      <c r="D8" s="8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1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2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2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.75" thickBot="1" x14ac:dyDescent="0.3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25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9</v>
      </c>
      <c r="I14" s="4" t="s">
        <v>13</v>
      </c>
      <c r="J14" s="4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2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25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9</v>
      </c>
      <c r="I18" s="8" t="s">
        <v>12</v>
      </c>
      <c r="J18" s="8">
        <f t="shared" ref="J18" si="20">WEEKDAY(F18)</f>
        <v>7</v>
      </c>
    </row>
    <row r="19" spans="1:10" x14ac:dyDescent="0.25">
      <c r="A19" s="7" t="e">
        <f t="shared" si="6"/>
        <v>#VALUE!</v>
      </c>
      <c r="B19" s="8" t="str">
        <f t="shared" ref="B19:B20" si="21">VLOOKUP(H19,field_id,2,FALSE)</f>
        <v>2</v>
      </c>
      <c r="C19" s="8">
        <f t="shared" ref="C19:C20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:G20" si="25">VLOOKUP(I19,GameDuration,2,FALSE)</f>
        <v>105</v>
      </c>
      <c r="H19" s="8" t="s">
        <v>9</v>
      </c>
      <c r="I19" s="8" t="s">
        <v>12</v>
      </c>
      <c r="J19" s="8">
        <f t="shared" ref="J19:J20" si="26">WEEKDAY(F19)</f>
        <v>7</v>
      </c>
    </row>
    <row r="20" spans="1:10" ht="15.75" thickBot="1" x14ac:dyDescent="0.3">
      <c r="A20" s="7" t="e">
        <f t="shared" si="6"/>
        <v>#VALUE!</v>
      </c>
      <c r="B20" s="8" t="str">
        <f t="shared" si="21"/>
        <v>2</v>
      </c>
      <c r="C20" s="8">
        <f t="shared" si="22"/>
        <v>4</v>
      </c>
      <c r="D20" s="8"/>
      <c r="E20" s="8"/>
      <c r="F20" s="9">
        <f t="shared" si="24"/>
        <v>43890.781249999985</v>
      </c>
      <c r="G20" s="8">
        <f t="shared" si="25"/>
        <v>105</v>
      </c>
      <c r="H20" s="8" t="s">
        <v>9</v>
      </c>
      <c r="I20" s="8" t="s">
        <v>12</v>
      </c>
      <c r="J20" s="8">
        <f t="shared" si="26"/>
        <v>7</v>
      </c>
    </row>
    <row r="21" spans="1:10" x14ac:dyDescent="0.25">
      <c r="A21" s="3" t="e">
        <f t="shared" si="6"/>
        <v>#VALUE!</v>
      </c>
      <c r="B21" s="4" t="str">
        <f t="shared" si="0"/>
        <v>1</v>
      </c>
      <c r="C21" s="4">
        <v>6</v>
      </c>
      <c r="D21" s="4"/>
      <c r="E21" s="4"/>
      <c r="F21" s="5">
        <f>F2</f>
        <v>43890.375</v>
      </c>
      <c r="G21" s="4">
        <f t="shared" si="3"/>
        <v>60</v>
      </c>
      <c r="H21" s="4" t="s">
        <v>15</v>
      </c>
      <c r="I21" s="4" t="s">
        <v>14</v>
      </c>
      <c r="J21" s="4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6</v>
      </c>
      <c r="D22" s="8"/>
      <c r="E22" s="8"/>
      <c r="F22" s="9">
        <f>F21+G21/60/24</f>
        <v>43890.416666666664</v>
      </c>
      <c r="G22" s="8">
        <f t="shared" si="3"/>
        <v>60</v>
      </c>
      <c r="H22" s="8" t="s">
        <v>15</v>
      </c>
      <c r="I22" s="8" t="s">
        <v>13</v>
      </c>
      <c r="J22" s="8">
        <f>WEEKDAY(F22)</f>
        <v>7</v>
      </c>
    </row>
    <row r="23" spans="1:10" x14ac:dyDescent="0.2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7" si="27">F22+G22/60/24</f>
        <v>43890.458333333328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43890.520833333328</v>
      </c>
      <c r="G24" s="8">
        <f t="shared" si="3"/>
        <v>90</v>
      </c>
      <c r="H24" s="8" t="s">
        <v>15</v>
      </c>
      <c r="I24" s="8" t="s">
        <v>10</v>
      </c>
      <c r="J24" s="8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43890.583333333328</v>
      </c>
      <c r="G25" s="8">
        <f t="shared" si="3"/>
        <v>90</v>
      </c>
      <c r="H25" s="8" t="s">
        <v>15</v>
      </c>
      <c r="I25" s="8" t="s">
        <v>10</v>
      </c>
      <c r="J25" s="8">
        <f t="shared" ref="J25:J27" si="28">WEEKDAY(F25)</f>
        <v>7</v>
      </c>
    </row>
    <row r="26" spans="1:10" x14ac:dyDescent="0.25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43890.645833333328</v>
      </c>
      <c r="G26" s="8">
        <f t="shared" si="3"/>
        <v>90</v>
      </c>
      <c r="H26" s="8" t="s">
        <v>15</v>
      </c>
      <c r="I26" s="8" t="s">
        <v>10</v>
      </c>
      <c r="J26" s="8">
        <f t="shared" si="28"/>
        <v>7</v>
      </c>
    </row>
    <row r="27" spans="1:10" ht="15.75" thickBot="1" x14ac:dyDescent="0.3">
      <c r="A27" s="10" t="e">
        <f t="shared" si="6"/>
        <v>#VALUE!</v>
      </c>
      <c r="B27" s="11" t="str">
        <f t="shared" si="0"/>
        <v>1</v>
      </c>
      <c r="C27" s="11">
        <f t="shared" si="1"/>
        <v>5</v>
      </c>
      <c r="D27" s="11"/>
      <c r="E27" s="11"/>
      <c r="F27" s="9">
        <f t="shared" si="27"/>
        <v>43890.708333333328</v>
      </c>
      <c r="G27" s="11">
        <f t="shared" si="3"/>
        <v>90</v>
      </c>
      <c r="H27" s="11" t="s">
        <v>15</v>
      </c>
      <c r="I27" s="11" t="s">
        <v>10</v>
      </c>
      <c r="J27" s="11">
        <f t="shared" si="28"/>
        <v>7</v>
      </c>
    </row>
    <row r="28" spans="1:10" x14ac:dyDescent="0.25">
      <c r="A28" s="3" t="e">
        <f t="shared" si="6"/>
        <v>#VALUE!</v>
      </c>
      <c r="B28" s="4" t="str">
        <f t="shared" si="0"/>
        <v>5</v>
      </c>
      <c r="C28" s="4">
        <f t="shared" si="1"/>
        <v>6</v>
      </c>
      <c r="D28" s="4"/>
      <c r="E28" s="4"/>
      <c r="F28" s="5">
        <f>F2</f>
        <v>43890.375</v>
      </c>
      <c r="G28" s="4">
        <f t="shared" si="3"/>
        <v>60</v>
      </c>
      <c r="H28" s="4" t="s">
        <v>16</v>
      </c>
      <c r="I28" s="4" t="s">
        <v>13</v>
      </c>
      <c r="J28" s="4">
        <f>WEEKDAY(F28)</f>
        <v>7</v>
      </c>
    </row>
    <row r="29" spans="1:10" x14ac:dyDescent="0.25">
      <c r="A29" s="7" t="e">
        <f t="shared" si="6"/>
        <v>#VALUE!</v>
      </c>
      <c r="B29" s="8" t="str">
        <f t="shared" si="0"/>
        <v>5</v>
      </c>
      <c r="C29" s="8">
        <f t="shared" si="1"/>
        <v>5</v>
      </c>
      <c r="D29" s="8">
        <v>6</v>
      </c>
      <c r="E29" s="8"/>
      <c r="F29" s="9">
        <f>F28+G28/60/24</f>
        <v>43890.416666666664</v>
      </c>
      <c r="G29" s="8">
        <f t="shared" si="3"/>
        <v>90</v>
      </c>
      <c r="H29" s="8" t="s">
        <v>16</v>
      </c>
      <c r="I29" s="8" t="s">
        <v>10</v>
      </c>
      <c r="J29" s="8">
        <f>WEEKDAY(F29)</f>
        <v>7</v>
      </c>
    </row>
    <row r="30" spans="1:10" x14ac:dyDescent="0.2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ref="D30:D32" si="29">VLOOKUP(H30,slot_compat,3,FALSE)</f>
        <v>5</v>
      </c>
      <c r="E30" s="8"/>
      <c r="F30" s="9">
        <f t="shared" ref="F30:F32" si="30">F29+G29/60/24</f>
        <v>43890.479166666664</v>
      </c>
      <c r="G30" s="8">
        <f t="shared" si="3"/>
        <v>105</v>
      </c>
      <c r="H30" s="8" t="s">
        <v>16</v>
      </c>
      <c r="I30" s="8" t="s">
        <v>12</v>
      </c>
      <c r="J30" s="8">
        <f>WEEKDAY(F30)</f>
        <v>7</v>
      </c>
    </row>
    <row r="31" spans="1:10" x14ac:dyDescent="0.25">
      <c r="A31" s="7" t="e">
        <f t="shared" si="6"/>
        <v>#VALUE!</v>
      </c>
      <c r="B31" s="8" t="str">
        <f t="shared" si="0"/>
        <v>5</v>
      </c>
      <c r="C31" s="8">
        <f t="shared" si="1"/>
        <v>4</v>
      </c>
      <c r="D31" s="8">
        <f t="shared" si="29"/>
        <v>5</v>
      </c>
      <c r="E31" s="8"/>
      <c r="F31" s="9">
        <f t="shared" si="30"/>
        <v>43890.552083333328</v>
      </c>
      <c r="G31" s="8">
        <f t="shared" si="3"/>
        <v>105</v>
      </c>
      <c r="H31" s="8" t="s">
        <v>16</v>
      </c>
      <c r="I31" s="8" t="s">
        <v>12</v>
      </c>
      <c r="J31" s="8">
        <f>WEEKDAY(F31)</f>
        <v>7</v>
      </c>
    </row>
    <row r="32" spans="1:10" x14ac:dyDescent="0.25">
      <c r="A32" s="7" t="e">
        <f t="shared" si="6"/>
        <v>#VALUE!</v>
      </c>
      <c r="B32" s="8" t="str">
        <f t="shared" si="0"/>
        <v>5</v>
      </c>
      <c r="C32" s="8">
        <f t="shared" si="1"/>
        <v>4</v>
      </c>
      <c r="D32" s="8">
        <f t="shared" si="29"/>
        <v>5</v>
      </c>
      <c r="E32" s="8"/>
      <c r="F32" s="9">
        <f t="shared" si="30"/>
        <v>43890.624999999993</v>
      </c>
      <c r="G32" s="8">
        <f t="shared" si="3"/>
        <v>105</v>
      </c>
      <c r="H32" s="8" t="s">
        <v>16</v>
      </c>
      <c r="I32" s="8" t="s">
        <v>12</v>
      </c>
      <c r="J32" s="8">
        <f t="shared" ref="J32" si="31">WEEKDAY(F32)</f>
        <v>7</v>
      </c>
    </row>
    <row r="33" spans="1:10" x14ac:dyDescent="0.25">
      <c r="A33" s="7" t="e">
        <f t="shared" si="6"/>
        <v>#VALUE!</v>
      </c>
      <c r="B33" s="8" t="str">
        <f t="shared" ref="B33:B34" si="32">VLOOKUP(H33,field_id,2,FALSE)</f>
        <v>5</v>
      </c>
      <c r="C33" s="8">
        <f t="shared" ref="C33:C34" si="33">VLOOKUP(I33,league_id,2,FALSE)</f>
        <v>4</v>
      </c>
      <c r="D33" s="8">
        <f t="shared" ref="D33" si="34">VLOOKUP(H33,slot_compat,3,FALSE)</f>
        <v>5</v>
      </c>
      <c r="E33" s="8"/>
      <c r="F33" s="9">
        <f t="shared" ref="F33:F34" si="35">F32+G32/60/24</f>
        <v>43890.697916666657</v>
      </c>
      <c r="G33" s="8">
        <f t="shared" ref="G33:G34" si="36">VLOOKUP(I33,GameDuration,2,FALSE)</f>
        <v>105</v>
      </c>
      <c r="H33" s="8" t="s">
        <v>16</v>
      </c>
      <c r="I33" s="8" t="s">
        <v>12</v>
      </c>
      <c r="J33" s="8">
        <f t="shared" ref="J33:J34" si="37">WEEKDAY(F33)</f>
        <v>7</v>
      </c>
    </row>
    <row r="34" spans="1:10" ht="15.75" thickBot="1" x14ac:dyDescent="0.3">
      <c r="A34" s="7" t="e">
        <f t="shared" si="6"/>
        <v>#VALUE!</v>
      </c>
      <c r="B34" s="8" t="str">
        <f t="shared" si="32"/>
        <v>5</v>
      </c>
      <c r="C34" s="8">
        <f t="shared" si="33"/>
        <v>4</v>
      </c>
      <c r="D34" s="8"/>
      <c r="E34" s="8"/>
      <c r="F34" s="9">
        <f t="shared" si="35"/>
        <v>43890.770833333321</v>
      </c>
      <c r="G34" s="8">
        <f t="shared" si="36"/>
        <v>105</v>
      </c>
      <c r="H34" s="8" t="s">
        <v>16</v>
      </c>
      <c r="I34" s="8" t="s">
        <v>12</v>
      </c>
      <c r="J34" s="8">
        <f t="shared" si="37"/>
        <v>7</v>
      </c>
    </row>
    <row r="35" spans="1:10" x14ac:dyDescent="0.25">
      <c r="A35" s="3" t="e">
        <f t="shared" si="6"/>
        <v>#VALUE!</v>
      </c>
      <c r="B35" s="4" t="str">
        <f t="shared" si="0"/>
        <v>6</v>
      </c>
      <c r="C35" s="4">
        <f t="shared" si="1"/>
        <v>4</v>
      </c>
      <c r="D35" s="4">
        <v>5</v>
      </c>
      <c r="E35" s="4"/>
      <c r="F35" s="5">
        <f>F2</f>
        <v>43890.375</v>
      </c>
      <c r="G35" s="4">
        <f t="shared" si="3"/>
        <v>105</v>
      </c>
      <c r="H35" s="4" t="s">
        <v>17</v>
      </c>
      <c r="I35" s="4" t="s">
        <v>12</v>
      </c>
      <c r="J35" s="4">
        <f t="shared" ref="J35:J52" si="38">WEEKDAY(F35)</f>
        <v>7</v>
      </c>
    </row>
    <row r="36" spans="1:10" x14ac:dyDescent="0.2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55</v>
      </c>
      <c r="E36" s="8"/>
      <c r="F36" s="9">
        <f>F35+G35/60/24</f>
        <v>43890.447916666664</v>
      </c>
      <c r="G36" s="8">
        <f t="shared" si="3"/>
        <v>105</v>
      </c>
      <c r="H36" s="8" t="s">
        <v>17</v>
      </c>
      <c r="I36" s="8" t="s">
        <v>11</v>
      </c>
      <c r="J36" s="8">
        <f t="shared" si="38"/>
        <v>7</v>
      </c>
    </row>
    <row r="37" spans="1:10" x14ac:dyDescent="0.25">
      <c r="A37" s="7" t="e">
        <f t="shared" si="6"/>
        <v>#VALUE!</v>
      </c>
      <c r="B37" s="8" t="str">
        <f t="shared" si="0"/>
        <v>6</v>
      </c>
      <c r="C37" s="8">
        <f t="shared" si="1"/>
        <v>3</v>
      </c>
      <c r="D37" s="8" t="s">
        <v>55</v>
      </c>
      <c r="E37" s="8"/>
      <c r="F37" s="9">
        <f t="shared" ref="F37:F38" si="39">F36+G36/60/24</f>
        <v>43890.520833333328</v>
      </c>
      <c r="G37" s="8">
        <f t="shared" si="3"/>
        <v>105</v>
      </c>
      <c r="H37" s="8" t="s">
        <v>17</v>
      </c>
      <c r="I37" s="8" t="s">
        <v>11</v>
      </c>
      <c r="J37" s="8">
        <f t="shared" si="38"/>
        <v>7</v>
      </c>
    </row>
    <row r="38" spans="1:10" x14ac:dyDescent="0.25">
      <c r="A38" s="7" t="e">
        <f t="shared" si="6"/>
        <v>#VALUE!</v>
      </c>
      <c r="B38" s="8" t="str">
        <f t="shared" si="0"/>
        <v>6</v>
      </c>
      <c r="C38" s="8">
        <f t="shared" si="1"/>
        <v>3</v>
      </c>
      <c r="D38" s="8" t="s">
        <v>55</v>
      </c>
      <c r="E38" s="8"/>
      <c r="F38" s="9">
        <f t="shared" si="39"/>
        <v>43890.593749999993</v>
      </c>
      <c r="G38" s="8">
        <f t="shared" si="3"/>
        <v>105</v>
      </c>
      <c r="H38" s="8" t="s">
        <v>17</v>
      </c>
      <c r="I38" s="8" t="s">
        <v>11</v>
      </c>
      <c r="J38" s="8">
        <f t="shared" si="38"/>
        <v>7</v>
      </c>
    </row>
    <row r="39" spans="1:10" x14ac:dyDescent="0.25">
      <c r="A39" s="7" t="e">
        <f t="shared" si="6"/>
        <v>#VALUE!</v>
      </c>
      <c r="B39" s="8" t="str">
        <f t="shared" ref="B39:B40" si="40">VLOOKUP(H39,field_id,2,FALSE)</f>
        <v>6</v>
      </c>
      <c r="C39" s="8">
        <f t="shared" ref="C39" si="41">VLOOKUP(I39,league_id,2,FALSE)</f>
        <v>3</v>
      </c>
      <c r="D39" s="8" t="s">
        <v>55</v>
      </c>
      <c r="E39" s="8"/>
      <c r="F39" s="9">
        <f t="shared" ref="F39:F40" si="42">F38+G38/60/24</f>
        <v>43890.666666666657</v>
      </c>
      <c r="G39" s="8">
        <f t="shared" ref="G39:G40" si="43">VLOOKUP(I39,GameDuration,2,FALSE)</f>
        <v>105</v>
      </c>
      <c r="H39" s="8" t="s">
        <v>17</v>
      </c>
      <c r="I39" s="8" t="s">
        <v>11</v>
      </c>
      <c r="J39" s="8">
        <f t="shared" si="38"/>
        <v>7</v>
      </c>
    </row>
    <row r="40" spans="1:10" ht="15.75" thickBot="1" x14ac:dyDescent="0.3">
      <c r="A40" s="7" t="e">
        <f t="shared" si="6"/>
        <v>#VALUE!</v>
      </c>
      <c r="B40" s="8" t="str">
        <f t="shared" si="40"/>
        <v>6</v>
      </c>
      <c r="C40" s="8">
        <v>2</v>
      </c>
      <c r="D40" s="14" t="s">
        <v>61</v>
      </c>
      <c r="E40" s="8"/>
      <c r="F40" s="9">
        <f t="shared" si="42"/>
        <v>43890.739583333321</v>
      </c>
      <c r="G40" s="8">
        <f t="shared" si="43"/>
        <v>105</v>
      </c>
      <c r="H40" s="8" t="s">
        <v>17</v>
      </c>
      <c r="I40" s="8" t="s">
        <v>11</v>
      </c>
      <c r="J40" s="8">
        <f t="shared" si="38"/>
        <v>7</v>
      </c>
    </row>
    <row r="41" spans="1:10" x14ac:dyDescent="0.25">
      <c r="A41" s="3" t="e">
        <f t="shared" si="6"/>
        <v>#VALUE!</v>
      </c>
      <c r="B41" s="4" t="str">
        <f t="shared" si="0"/>
        <v>7</v>
      </c>
      <c r="C41" s="4">
        <f t="shared" si="1"/>
        <v>6</v>
      </c>
      <c r="D41" s="4"/>
      <c r="E41" s="4"/>
      <c r="F41" s="5">
        <f>F2</f>
        <v>43890.375</v>
      </c>
      <c r="G41" s="4">
        <f t="shared" si="3"/>
        <v>60</v>
      </c>
      <c r="H41" s="4" t="s">
        <v>18</v>
      </c>
      <c r="I41" s="4" t="s">
        <v>13</v>
      </c>
      <c r="J41" s="4">
        <f t="shared" si="38"/>
        <v>7</v>
      </c>
    </row>
    <row r="42" spans="1:10" x14ac:dyDescent="0.25">
      <c r="A42" s="7" t="e">
        <f t="shared" si="6"/>
        <v>#VALUE!</v>
      </c>
      <c r="B42" s="8" t="str">
        <f t="shared" si="0"/>
        <v>7</v>
      </c>
      <c r="C42" s="8">
        <f t="shared" si="1"/>
        <v>3</v>
      </c>
      <c r="D42" s="8" t="s">
        <v>55</v>
      </c>
      <c r="E42" s="8"/>
      <c r="F42" s="9">
        <f>F41+G41/60/24</f>
        <v>43890.416666666664</v>
      </c>
      <c r="G42" s="8">
        <f t="shared" si="3"/>
        <v>105</v>
      </c>
      <c r="H42" s="8" t="s">
        <v>18</v>
      </c>
      <c r="I42" s="8" t="s">
        <v>11</v>
      </c>
      <c r="J42" s="8">
        <f t="shared" si="38"/>
        <v>7</v>
      </c>
    </row>
    <row r="43" spans="1:10" x14ac:dyDescent="0.25">
      <c r="A43" s="7" t="e">
        <f t="shared" si="6"/>
        <v>#VALUE!</v>
      </c>
      <c r="B43" s="8" t="str">
        <f t="shared" si="0"/>
        <v>7</v>
      </c>
      <c r="C43" s="8">
        <f t="shared" si="1"/>
        <v>3</v>
      </c>
      <c r="D43" s="8" t="s">
        <v>55</v>
      </c>
      <c r="E43" s="8"/>
      <c r="F43" s="9">
        <f t="shared" ref="F43:F44" si="44">F42+G42/60/24</f>
        <v>43890.489583333328</v>
      </c>
      <c r="G43" s="8">
        <f t="shared" si="3"/>
        <v>105</v>
      </c>
      <c r="H43" s="8" t="s">
        <v>18</v>
      </c>
      <c r="I43" s="8" t="s">
        <v>11</v>
      </c>
      <c r="J43" s="8">
        <f t="shared" si="38"/>
        <v>7</v>
      </c>
    </row>
    <row r="44" spans="1:10" x14ac:dyDescent="0.25">
      <c r="A44" s="7" t="e">
        <f t="shared" si="6"/>
        <v>#VALUE!</v>
      </c>
      <c r="B44" s="8" t="str">
        <f t="shared" si="0"/>
        <v>7</v>
      </c>
      <c r="C44" s="8">
        <f t="shared" si="1"/>
        <v>2</v>
      </c>
      <c r="D44" s="8" t="s">
        <v>56</v>
      </c>
      <c r="E44" s="8"/>
      <c r="F44" s="9">
        <f t="shared" si="44"/>
        <v>43890.562499999993</v>
      </c>
      <c r="G44" s="8">
        <f t="shared" si="3"/>
        <v>120</v>
      </c>
      <c r="H44" s="8" t="s">
        <v>18</v>
      </c>
      <c r="I44" s="8" t="s">
        <v>8</v>
      </c>
      <c r="J44" s="8">
        <f t="shared" si="38"/>
        <v>7</v>
      </c>
    </row>
    <row r="45" spans="1:10" x14ac:dyDescent="0.25">
      <c r="A45" s="7" t="e">
        <f t="shared" si="6"/>
        <v>#VALUE!</v>
      </c>
      <c r="B45" s="8" t="str">
        <f t="shared" ref="B45:B46" si="45">VLOOKUP(H45,field_id,2,FALSE)</f>
        <v>7</v>
      </c>
      <c r="C45" s="8">
        <f t="shared" ref="C45:C46" si="46">VLOOKUP(I45,league_id,2,FALSE)</f>
        <v>2</v>
      </c>
      <c r="D45" s="8" t="s">
        <v>56</v>
      </c>
      <c r="E45" s="8"/>
      <c r="F45" s="9">
        <f t="shared" ref="F45:F46" si="47">F44+G44/60/24</f>
        <v>43890.645833333328</v>
      </c>
      <c r="G45" s="8">
        <f t="shared" ref="G45:G46" si="48">VLOOKUP(I45,GameDuration,2,FALSE)</f>
        <v>120</v>
      </c>
      <c r="H45" s="8" t="s">
        <v>18</v>
      </c>
      <c r="I45" s="8" t="s">
        <v>8</v>
      </c>
      <c r="J45" s="8">
        <f t="shared" si="38"/>
        <v>7</v>
      </c>
    </row>
    <row r="46" spans="1:10" ht="15.75" thickBot="1" x14ac:dyDescent="0.3">
      <c r="A46" s="7" t="e">
        <f t="shared" si="6"/>
        <v>#VALUE!</v>
      </c>
      <c r="B46" s="8" t="str">
        <f t="shared" si="45"/>
        <v>7</v>
      </c>
      <c r="C46" s="8">
        <f t="shared" si="46"/>
        <v>2</v>
      </c>
      <c r="D46" s="8" t="s">
        <v>61</v>
      </c>
      <c r="E46" s="8"/>
      <c r="F46" s="9">
        <f t="shared" si="47"/>
        <v>43890.729166666664</v>
      </c>
      <c r="G46" s="8">
        <f t="shared" si="48"/>
        <v>120</v>
      </c>
      <c r="H46" s="8" t="s">
        <v>18</v>
      </c>
      <c r="I46" s="8" t="s">
        <v>8</v>
      </c>
      <c r="J46" s="8">
        <f t="shared" si="38"/>
        <v>7</v>
      </c>
    </row>
    <row r="47" spans="1:10" x14ac:dyDescent="0.25">
      <c r="A47" s="3" t="e">
        <f t="shared" si="6"/>
        <v>#VALUE!</v>
      </c>
      <c r="B47" s="4" t="str">
        <f t="shared" si="0"/>
        <v>8</v>
      </c>
      <c r="C47" s="4">
        <f t="shared" si="1"/>
        <v>5</v>
      </c>
      <c r="D47" s="4"/>
      <c r="E47" s="4"/>
      <c r="F47" s="5">
        <f>F2</f>
        <v>43890.375</v>
      </c>
      <c r="G47" s="4">
        <f t="shared" si="3"/>
        <v>90</v>
      </c>
      <c r="H47" s="4" t="s">
        <v>19</v>
      </c>
      <c r="I47" s="4" t="s">
        <v>10</v>
      </c>
      <c r="J47" s="4">
        <f t="shared" si="38"/>
        <v>7</v>
      </c>
    </row>
    <row r="48" spans="1:10" x14ac:dyDescent="0.25">
      <c r="A48" s="7" t="e">
        <f t="shared" si="6"/>
        <v>#VALUE!</v>
      </c>
      <c r="B48" s="8" t="str">
        <f t="shared" si="0"/>
        <v>8</v>
      </c>
      <c r="C48" s="8">
        <f t="shared" si="1"/>
        <v>5</v>
      </c>
      <c r="D48" s="8"/>
      <c r="E48" s="8"/>
      <c r="F48" s="9">
        <f>F47+G47/60/24</f>
        <v>43890.4375</v>
      </c>
      <c r="G48" s="8">
        <f t="shared" si="3"/>
        <v>90</v>
      </c>
      <c r="H48" s="8" t="s">
        <v>19</v>
      </c>
      <c r="I48" s="8" t="s">
        <v>10</v>
      </c>
      <c r="J48" s="8">
        <f t="shared" si="38"/>
        <v>7</v>
      </c>
    </row>
    <row r="49" spans="1:10" x14ac:dyDescent="0.25">
      <c r="A49" s="7" t="e">
        <f t="shared" si="6"/>
        <v>#VALUE!</v>
      </c>
      <c r="B49" s="8" t="str">
        <f t="shared" si="0"/>
        <v>8</v>
      </c>
      <c r="C49" s="8">
        <f t="shared" si="1"/>
        <v>3</v>
      </c>
      <c r="D49" s="8" t="s">
        <v>55</v>
      </c>
      <c r="E49" s="8"/>
      <c r="F49" s="9">
        <f t="shared" ref="F49:F50" si="49">F48+G48/60/24</f>
        <v>43890.5</v>
      </c>
      <c r="G49" s="8">
        <f t="shared" si="3"/>
        <v>105</v>
      </c>
      <c r="H49" s="8" t="s">
        <v>19</v>
      </c>
      <c r="I49" s="8" t="s">
        <v>11</v>
      </c>
      <c r="J49" s="8">
        <f t="shared" si="38"/>
        <v>7</v>
      </c>
    </row>
    <row r="50" spans="1:10" x14ac:dyDescent="0.25">
      <c r="A50" s="7" t="e">
        <f t="shared" si="6"/>
        <v>#VALUE!</v>
      </c>
      <c r="B50" s="8" t="str">
        <f t="shared" si="0"/>
        <v>8</v>
      </c>
      <c r="C50" s="8">
        <f t="shared" si="1"/>
        <v>2</v>
      </c>
      <c r="D50" s="8" t="s">
        <v>56</v>
      </c>
      <c r="E50" s="8"/>
      <c r="F50" s="9">
        <f t="shared" si="49"/>
        <v>43890.572916666664</v>
      </c>
      <c r="G50" s="8">
        <f t="shared" si="3"/>
        <v>120</v>
      </c>
      <c r="H50" s="8" t="s">
        <v>19</v>
      </c>
      <c r="I50" s="8" t="s">
        <v>8</v>
      </c>
      <c r="J50" s="8">
        <f t="shared" si="38"/>
        <v>7</v>
      </c>
    </row>
    <row r="51" spans="1:10" x14ac:dyDescent="0.25">
      <c r="A51" s="7" t="e">
        <f t="shared" si="6"/>
        <v>#VALUE!</v>
      </c>
      <c r="B51" s="8" t="str">
        <f t="shared" ref="B51:B52" si="50">VLOOKUP(H51,field_id,2,FALSE)</f>
        <v>8</v>
      </c>
      <c r="C51" s="8">
        <f t="shared" ref="C51:C52" si="51">VLOOKUP(I51,league_id,2,FALSE)</f>
        <v>2</v>
      </c>
      <c r="D51" s="8" t="s">
        <v>56</v>
      </c>
      <c r="E51" s="8"/>
      <c r="F51" s="9">
        <f t="shared" ref="F51:F52" si="52">F50+G50/60/24</f>
        <v>43890.65625</v>
      </c>
      <c r="G51" s="8">
        <f t="shared" ref="G51:G52" si="53">VLOOKUP(I51,GameDuration,2,FALSE)</f>
        <v>120</v>
      </c>
      <c r="H51" s="8" t="s">
        <v>19</v>
      </c>
      <c r="I51" s="8" t="s">
        <v>8</v>
      </c>
      <c r="J51" s="8">
        <f t="shared" si="38"/>
        <v>7</v>
      </c>
    </row>
    <row r="52" spans="1:10" x14ac:dyDescent="0.25">
      <c r="A52" s="7" t="e">
        <f t="shared" si="6"/>
        <v>#VALUE!</v>
      </c>
      <c r="B52" s="8" t="str">
        <f t="shared" si="50"/>
        <v>8</v>
      </c>
      <c r="C52" s="8">
        <f t="shared" si="51"/>
        <v>2</v>
      </c>
      <c r="D52" s="8" t="s">
        <v>61</v>
      </c>
      <c r="E52" s="8"/>
      <c r="F52" s="9">
        <f t="shared" si="52"/>
        <v>43890.739583333336</v>
      </c>
      <c r="G52" s="8">
        <f t="shared" si="53"/>
        <v>120</v>
      </c>
      <c r="H52" s="8" t="s">
        <v>19</v>
      </c>
      <c r="I52" s="8" t="s">
        <v>8</v>
      </c>
      <c r="J52" s="8">
        <f t="shared" si="38"/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M52"/>
  <sheetViews>
    <sheetView workbookViewId="0">
      <selection activeCell="D42" sqref="D42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51" si="0">VLOOKUP(H2,field_id,2,FALSE)</f>
        <v>4</v>
      </c>
      <c r="C2" s="4">
        <f t="shared" ref="C2:C51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51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COUNTIF(I$2:I$48,L2)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10</v>
      </c>
    </row>
    <row r="4" spans="1:13" x14ac:dyDescent="0.25">
      <c r="A4" s="7" t="e">
        <f t="shared" ref="A4:A48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7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12</v>
      </c>
    </row>
    <row r="6" spans="1:13" x14ac:dyDescent="0.25">
      <c r="A6" s="7" t="e">
        <f t="shared" si="6"/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7</v>
      </c>
      <c r="I6" s="8" t="s">
        <v>7</v>
      </c>
      <c r="J6" s="8">
        <f t="shared" ref="J6" si="11">WEEKDAY(F6)</f>
        <v>7</v>
      </c>
      <c r="L6" t="s">
        <v>10</v>
      </c>
      <c r="M6">
        <f t="shared" si="5"/>
        <v>8</v>
      </c>
    </row>
    <row r="7" spans="1:13" ht="15.75" thickBot="1" x14ac:dyDescent="0.3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7</v>
      </c>
      <c r="I7" s="11" t="s">
        <v>7</v>
      </c>
      <c r="J7" s="11">
        <f t="shared" si="4"/>
        <v>7</v>
      </c>
      <c r="L7" t="s">
        <v>13</v>
      </c>
      <c r="M7">
        <f t="shared" si="5"/>
        <v>4</v>
      </c>
    </row>
    <row r="8" spans="1:13" x14ac:dyDescent="0.2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0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2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25">
      <c r="A12" s="7" t="e">
        <f t="shared" si="6"/>
        <v>#VALUE!</v>
      </c>
      <c r="B12" s="8" t="str">
        <f t="shared" ref="B12" si="13">VLOOKUP(H12,field_id,2,FALSE)</f>
        <v>3</v>
      </c>
      <c r="C12" s="8">
        <f t="shared" ref="C12" si="14">VLOOKUP(I12,league_id,2,FALSE)</f>
        <v>2</v>
      </c>
      <c r="D12" s="8" t="str">
        <f t="shared" ref="D12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" si="17">VLOOKUP(I12,GameDuration,2,FALSE)</f>
        <v>120</v>
      </c>
      <c r="H12" s="8" t="s">
        <v>8</v>
      </c>
      <c r="I12" s="8" t="s">
        <v>8</v>
      </c>
      <c r="J12" s="8">
        <f t="shared" ref="J12" si="18">WEEKDAY(F12)</f>
        <v>7</v>
      </c>
    </row>
    <row r="13" spans="1:13" ht="15.75" thickBot="1" x14ac:dyDescent="0.3">
      <c r="A13" s="10" t="e">
        <f>A11+1</f>
        <v>#VALUE!</v>
      </c>
      <c r="B13" s="11" t="str">
        <f t="shared" si="0"/>
        <v>3</v>
      </c>
      <c r="C13" s="11">
        <f t="shared" si="1"/>
        <v>2</v>
      </c>
      <c r="D13" s="11" t="str">
        <f t="shared" si="2"/>
        <v>1,3</v>
      </c>
      <c r="E13" s="11"/>
      <c r="F13" s="9">
        <f t="shared" si="16"/>
        <v>43890.791666666679</v>
      </c>
      <c r="G13" s="11">
        <f t="shared" si="3"/>
        <v>120</v>
      </c>
      <c r="H13" s="11" t="s">
        <v>8</v>
      </c>
      <c r="I13" s="11" t="s">
        <v>8</v>
      </c>
      <c r="J13" s="11">
        <f t="shared" si="4"/>
        <v>7</v>
      </c>
    </row>
    <row r="14" spans="1:13" x14ac:dyDescent="0.25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9</v>
      </c>
      <c r="I14" s="4" t="s">
        <v>13</v>
      </c>
      <c r="J14" s="4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2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25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9</v>
      </c>
      <c r="I18" s="8" t="s">
        <v>12</v>
      </c>
      <c r="J18" s="8">
        <f t="shared" ref="J18:J20" si="20">WEEKDAY(F18)</f>
        <v>7</v>
      </c>
    </row>
    <row r="19" spans="1:10" x14ac:dyDescent="0.25">
      <c r="A19" s="7" t="e">
        <f t="shared" si="6"/>
        <v>#VALUE!</v>
      </c>
      <c r="B19" s="8" t="str">
        <f t="shared" ref="B19" si="21">VLOOKUP(H19,field_id,2,FALSE)</f>
        <v>2</v>
      </c>
      <c r="C19" s="8">
        <f t="shared" ref="C19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" si="25">VLOOKUP(I19,GameDuration,2,FALSE)</f>
        <v>105</v>
      </c>
      <c r="H19" s="8" t="s">
        <v>9</v>
      </c>
      <c r="I19" s="8" t="s">
        <v>12</v>
      </c>
      <c r="J19" s="8">
        <f t="shared" ref="J19" si="26">WEEKDAY(F19)</f>
        <v>7</v>
      </c>
    </row>
    <row r="20" spans="1:10" ht="15.75" thickBot="1" x14ac:dyDescent="0.3">
      <c r="A20" s="10" t="e">
        <f>A18+1</f>
        <v>#VALUE!</v>
      </c>
      <c r="B20" s="11" t="str">
        <f t="shared" si="0"/>
        <v>2</v>
      </c>
      <c r="C20" s="11">
        <f t="shared" si="1"/>
        <v>4</v>
      </c>
      <c r="D20" s="11"/>
      <c r="E20" s="11"/>
      <c r="F20" s="9">
        <f t="shared" si="24"/>
        <v>43890.781249999985</v>
      </c>
      <c r="G20" s="11">
        <f t="shared" si="3"/>
        <v>105</v>
      </c>
      <c r="H20" s="11" t="s">
        <v>9</v>
      </c>
      <c r="I20" s="11" t="s">
        <v>12</v>
      </c>
      <c r="J20" s="11">
        <f t="shared" si="20"/>
        <v>7</v>
      </c>
    </row>
    <row r="21" spans="1:10" x14ac:dyDescent="0.25">
      <c r="A21" s="3" t="e">
        <f t="shared" si="6"/>
        <v>#VALUE!</v>
      </c>
      <c r="B21" s="4" t="str">
        <f t="shared" si="0"/>
        <v>1</v>
      </c>
      <c r="C21" s="4">
        <f t="shared" si="1"/>
        <v>5</v>
      </c>
      <c r="D21" s="4">
        <v>6</v>
      </c>
      <c r="E21" s="4"/>
      <c r="F21" s="5">
        <f>F2</f>
        <v>43890.375</v>
      </c>
      <c r="G21" s="4">
        <f t="shared" si="3"/>
        <v>90</v>
      </c>
      <c r="H21" s="4" t="s">
        <v>15</v>
      </c>
      <c r="I21" s="4" t="s">
        <v>10</v>
      </c>
      <c r="J21" s="4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>
        <v>6</v>
      </c>
      <c r="E22" s="8"/>
      <c r="F22" s="9">
        <f>F21+G21/60/24</f>
        <v>43890.4375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2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6" si="27">F22+G22/60/24</f>
        <v>43890.5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43890.5625</v>
      </c>
      <c r="G24" s="8">
        <f t="shared" si="3"/>
        <v>90</v>
      </c>
      <c r="H24" s="8" t="s">
        <v>15</v>
      </c>
      <c r="I24" s="8" t="s">
        <v>10</v>
      </c>
      <c r="J24" s="8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43890.625</v>
      </c>
      <c r="G25" s="8">
        <f t="shared" si="3"/>
        <v>90</v>
      </c>
      <c r="H25" s="8" t="s">
        <v>15</v>
      </c>
      <c r="I25" s="8" t="s">
        <v>10</v>
      </c>
      <c r="J25" s="8">
        <f t="shared" ref="J25:J26" si="28">WEEKDAY(F25)</f>
        <v>7</v>
      </c>
    </row>
    <row r="26" spans="1:10" ht="15.75" thickBot="1" x14ac:dyDescent="0.3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43890.6875</v>
      </c>
      <c r="G26" s="8">
        <f t="shared" si="3"/>
        <v>90</v>
      </c>
      <c r="H26" s="8" t="s">
        <v>15</v>
      </c>
      <c r="I26" s="8" t="s">
        <v>10</v>
      </c>
      <c r="J26" s="8">
        <f t="shared" si="28"/>
        <v>7</v>
      </c>
    </row>
    <row r="27" spans="1:10" x14ac:dyDescent="0.25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16</v>
      </c>
      <c r="I27" s="4" t="s">
        <v>10</v>
      </c>
      <c r="J27" s="4">
        <f t="shared" ref="J27:J37" si="29">WEEKDAY(F27)</f>
        <v>7</v>
      </c>
    </row>
    <row r="28" spans="1:10" x14ac:dyDescent="0.2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v>5</v>
      </c>
      <c r="E28" s="8"/>
      <c r="F28" s="9">
        <f>F27+G27/60/24</f>
        <v>43890.4375</v>
      </c>
      <c r="G28" s="8">
        <f t="shared" si="3"/>
        <v>105</v>
      </c>
      <c r="H28" s="8" t="s">
        <v>16</v>
      </c>
      <c r="I28" s="8" t="s">
        <v>12</v>
      </c>
      <c r="J28" s="8">
        <f t="shared" si="29"/>
        <v>7</v>
      </c>
    </row>
    <row r="29" spans="1:10" x14ac:dyDescent="0.2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0">F28+G28/60/24</f>
        <v>43890.510416666664</v>
      </c>
      <c r="G29" s="8">
        <f t="shared" si="3"/>
        <v>105</v>
      </c>
      <c r="H29" s="8" t="s">
        <v>16</v>
      </c>
      <c r="I29" s="8" t="s">
        <v>12</v>
      </c>
      <c r="J29" s="8">
        <f t="shared" si="29"/>
        <v>7</v>
      </c>
    </row>
    <row r="30" spans="1:10" x14ac:dyDescent="0.2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0"/>
        <v>43890.583333333328</v>
      </c>
      <c r="G30" s="8">
        <f t="shared" si="3"/>
        <v>105</v>
      </c>
      <c r="H30" s="8" t="s">
        <v>16</v>
      </c>
      <c r="I30" s="8" t="s">
        <v>12</v>
      </c>
      <c r="J30" s="8">
        <f t="shared" si="29"/>
        <v>7</v>
      </c>
    </row>
    <row r="31" spans="1:10" x14ac:dyDescent="0.25">
      <c r="A31" s="7" t="e">
        <f t="shared" si="6"/>
        <v>#VALUE!</v>
      </c>
      <c r="B31" s="8" t="str">
        <f t="shared" ref="B31" si="31">VLOOKUP(H31,field_id,2,FALSE)</f>
        <v>5</v>
      </c>
      <c r="C31" s="8">
        <f t="shared" ref="C31" si="32">VLOOKUP(I31,league_id,2,FALSE)</f>
        <v>4</v>
      </c>
      <c r="D31" s="8">
        <f t="shared" ref="D31" si="33">VLOOKUP(H31,slot_compat,3,FALSE)</f>
        <v>5</v>
      </c>
      <c r="E31" s="8"/>
      <c r="F31" s="9">
        <f t="shared" ref="F31" si="34">F30+G30/60/24</f>
        <v>43890.656249999993</v>
      </c>
      <c r="G31" s="8">
        <f t="shared" ref="G31" si="35">VLOOKUP(I31,GameDuration,2,FALSE)</f>
        <v>105</v>
      </c>
      <c r="H31" s="8" t="s">
        <v>16</v>
      </c>
      <c r="I31" s="8" t="s">
        <v>12</v>
      </c>
      <c r="J31" s="8">
        <f t="shared" si="29"/>
        <v>7</v>
      </c>
    </row>
    <row r="32" spans="1:10" ht="15.75" thickBot="1" x14ac:dyDescent="0.3">
      <c r="A32" s="7" t="e">
        <f t="shared" si="6"/>
        <v>#VALUE!</v>
      </c>
      <c r="B32" s="8" t="str">
        <f t="shared" ref="B32" si="36">VLOOKUP(H32,field_id,2,FALSE)</f>
        <v>5</v>
      </c>
      <c r="C32" s="8">
        <f t="shared" ref="C32" si="37">VLOOKUP(I32,league_id,2,FALSE)</f>
        <v>4</v>
      </c>
      <c r="D32" s="8">
        <f t="shared" ref="D32" si="38">VLOOKUP(H32,slot_compat,3,FALSE)</f>
        <v>5</v>
      </c>
      <c r="E32" s="8"/>
      <c r="F32" s="9">
        <f t="shared" ref="F32" si="39">F31+G31/60/24</f>
        <v>43890.729166666657</v>
      </c>
      <c r="G32" s="8">
        <f t="shared" ref="G32" si="40">VLOOKUP(I32,GameDuration,2,FALSE)</f>
        <v>105</v>
      </c>
      <c r="H32" s="8" t="s">
        <v>16</v>
      </c>
      <c r="I32" s="8" t="s">
        <v>12</v>
      </c>
      <c r="J32" s="8">
        <f t="shared" si="29"/>
        <v>7</v>
      </c>
    </row>
    <row r="33" spans="1:10" x14ac:dyDescent="0.25">
      <c r="A33" s="7" t="e">
        <f t="shared" si="6"/>
        <v>#VALUE!</v>
      </c>
      <c r="B33" s="4" t="str">
        <f t="shared" si="0"/>
        <v>6</v>
      </c>
      <c r="C33" s="4">
        <f t="shared" si="1"/>
        <v>6</v>
      </c>
      <c r="D33" s="4"/>
      <c r="E33" s="4"/>
      <c r="F33" s="5">
        <f>F2</f>
        <v>43890.375</v>
      </c>
      <c r="G33" s="4">
        <f t="shared" si="3"/>
        <v>60</v>
      </c>
      <c r="H33" s="4" t="s">
        <v>17</v>
      </c>
      <c r="I33" s="4" t="s">
        <v>13</v>
      </c>
      <c r="J33" s="4">
        <f t="shared" si="29"/>
        <v>7</v>
      </c>
    </row>
    <row r="34" spans="1:10" x14ac:dyDescent="0.2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55</v>
      </c>
      <c r="E34" s="8"/>
      <c r="F34" s="9">
        <f>F33+G33/60/24</f>
        <v>43890.416666666664</v>
      </c>
      <c r="G34" s="8">
        <f t="shared" si="3"/>
        <v>105</v>
      </c>
      <c r="H34" s="8" t="s">
        <v>17</v>
      </c>
      <c r="I34" s="8" t="s">
        <v>11</v>
      </c>
      <c r="J34" s="8">
        <f t="shared" si="29"/>
        <v>7</v>
      </c>
    </row>
    <row r="35" spans="1:10" x14ac:dyDescent="0.2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55</v>
      </c>
      <c r="E35" s="8"/>
      <c r="F35" s="9">
        <f t="shared" ref="F35:F36" si="41">F34+G34/60/24</f>
        <v>43890.489583333328</v>
      </c>
      <c r="G35" s="8">
        <f t="shared" si="3"/>
        <v>105</v>
      </c>
      <c r="H35" s="8" t="s">
        <v>17</v>
      </c>
      <c r="I35" s="8" t="s">
        <v>11</v>
      </c>
      <c r="J35" s="8">
        <f t="shared" si="29"/>
        <v>7</v>
      </c>
    </row>
    <row r="36" spans="1:10" x14ac:dyDescent="0.2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55</v>
      </c>
      <c r="E36" s="8"/>
      <c r="F36" s="9">
        <f t="shared" si="41"/>
        <v>43890.562499999993</v>
      </c>
      <c r="G36" s="8">
        <f t="shared" si="3"/>
        <v>105</v>
      </c>
      <c r="H36" s="8" t="s">
        <v>17</v>
      </c>
      <c r="I36" s="8" t="s">
        <v>11</v>
      </c>
      <c r="J36" s="8">
        <f t="shared" si="29"/>
        <v>7</v>
      </c>
    </row>
    <row r="37" spans="1:10" x14ac:dyDescent="0.25">
      <c r="A37" s="7" t="e">
        <f t="shared" si="6"/>
        <v>#VALUE!</v>
      </c>
      <c r="B37" s="8" t="str">
        <f t="shared" ref="B37" si="42">VLOOKUP(H37,field_id,2,FALSE)</f>
        <v>6</v>
      </c>
      <c r="C37" s="8">
        <f t="shared" ref="C37" si="43">VLOOKUP(I37,league_id,2,FALSE)</f>
        <v>3</v>
      </c>
      <c r="D37" s="8" t="s">
        <v>55</v>
      </c>
      <c r="E37" s="8"/>
      <c r="F37" s="9">
        <f t="shared" ref="F37:F38" si="44">F36+G36/60/24</f>
        <v>43890.635416666657</v>
      </c>
      <c r="G37" s="8">
        <f t="shared" ref="G37" si="45">VLOOKUP(I37,GameDuration,2,FALSE)</f>
        <v>105</v>
      </c>
      <c r="H37" s="8" t="s">
        <v>17</v>
      </c>
      <c r="I37" s="8" t="s">
        <v>11</v>
      </c>
      <c r="J37" s="8">
        <f t="shared" si="29"/>
        <v>7</v>
      </c>
    </row>
    <row r="38" spans="1:10" ht="15.75" thickBot="1" x14ac:dyDescent="0.3">
      <c r="A38" s="10" t="e">
        <f>A36+1</f>
        <v>#VALUE!</v>
      </c>
      <c r="B38" s="11" t="str">
        <f t="shared" si="0"/>
        <v>6</v>
      </c>
      <c r="C38" s="11">
        <f t="shared" si="1"/>
        <v>3</v>
      </c>
      <c r="D38" s="11"/>
      <c r="E38" s="11"/>
      <c r="F38" s="9">
        <f t="shared" si="44"/>
        <v>43890.708333333321</v>
      </c>
      <c r="G38" s="11">
        <f t="shared" si="3"/>
        <v>105</v>
      </c>
      <c r="H38" s="11" t="s">
        <v>17</v>
      </c>
      <c r="I38" s="11" t="s">
        <v>11</v>
      </c>
      <c r="J38" s="11">
        <f t="shared" ref="J38" si="46">WEEKDAY(F38)</f>
        <v>7</v>
      </c>
    </row>
    <row r="39" spans="1:10" x14ac:dyDescent="0.25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18</v>
      </c>
      <c r="I39" s="4" t="s">
        <v>10</v>
      </c>
      <c r="J39" s="4">
        <f>WEEKDAY(F39)</f>
        <v>7</v>
      </c>
    </row>
    <row r="40" spans="1:10" x14ac:dyDescent="0.25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55</v>
      </c>
      <c r="E40" s="8"/>
      <c r="F40" s="9">
        <f>F39+G39/60/24</f>
        <v>43890.4375</v>
      </c>
      <c r="G40" s="8">
        <f t="shared" si="3"/>
        <v>105</v>
      </c>
      <c r="H40" s="8" t="s">
        <v>18</v>
      </c>
      <c r="I40" s="8" t="s">
        <v>11</v>
      </c>
      <c r="J40" s="8">
        <f>WEEKDAY(F40)</f>
        <v>7</v>
      </c>
    </row>
    <row r="41" spans="1:10" x14ac:dyDescent="0.25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55</v>
      </c>
      <c r="E41" s="8"/>
      <c r="F41" s="9">
        <f t="shared" ref="F41:F42" si="47">F40+G40/60/24</f>
        <v>43890.510416666664</v>
      </c>
      <c r="G41" s="8">
        <f t="shared" si="3"/>
        <v>120</v>
      </c>
      <c r="H41" s="8" t="s">
        <v>18</v>
      </c>
      <c r="I41" s="8" t="s">
        <v>8</v>
      </c>
      <c r="J41" s="8">
        <f>WEEKDAY(F41)</f>
        <v>7</v>
      </c>
    </row>
    <row r="42" spans="1:10" x14ac:dyDescent="0.25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56</v>
      </c>
      <c r="E42" s="8"/>
      <c r="F42" s="9">
        <f t="shared" si="47"/>
        <v>43890.59375</v>
      </c>
      <c r="G42" s="8">
        <f t="shared" si="3"/>
        <v>120</v>
      </c>
      <c r="H42" s="8" t="s">
        <v>18</v>
      </c>
      <c r="I42" s="8" t="s">
        <v>8</v>
      </c>
      <c r="J42" s="8">
        <f>WEEKDAY(F42)</f>
        <v>7</v>
      </c>
    </row>
    <row r="43" spans="1:10" x14ac:dyDescent="0.25">
      <c r="A43" s="7" t="e">
        <f t="shared" si="6"/>
        <v>#VALUE!</v>
      </c>
      <c r="B43" s="8" t="str">
        <f t="shared" ref="B43" si="48">VLOOKUP(H43,field_id,2,FALSE)</f>
        <v>7</v>
      </c>
      <c r="C43" s="8">
        <f t="shared" ref="C43" si="49">VLOOKUP(I43,league_id,2,FALSE)</f>
        <v>2</v>
      </c>
      <c r="D43" s="8" t="s">
        <v>56</v>
      </c>
      <c r="E43" s="8"/>
      <c r="F43" s="9">
        <f t="shared" ref="F43:F44" si="50">F42+G42/60/24</f>
        <v>43890.677083333336</v>
      </c>
      <c r="G43" s="8">
        <f t="shared" ref="G43" si="51">VLOOKUP(I43,GameDuration,2,FALSE)</f>
        <v>120</v>
      </c>
      <c r="H43" s="8" t="s">
        <v>18</v>
      </c>
      <c r="I43" s="8" t="s">
        <v>8</v>
      </c>
      <c r="J43" s="8">
        <f>WEEKDAY(F43)</f>
        <v>7</v>
      </c>
    </row>
    <row r="44" spans="1:10" ht="15.75" thickBot="1" x14ac:dyDescent="0.3">
      <c r="A44" s="10" t="e">
        <f>A42+1</f>
        <v>#VALUE!</v>
      </c>
      <c r="B44" s="11" t="str">
        <f t="shared" si="0"/>
        <v>7</v>
      </c>
      <c r="C44" s="11">
        <f t="shared" si="1"/>
        <v>2</v>
      </c>
      <c r="D44" s="11" t="s">
        <v>61</v>
      </c>
      <c r="E44" s="11"/>
      <c r="F44" s="9">
        <f t="shared" si="50"/>
        <v>43890.760416666672</v>
      </c>
      <c r="G44" s="11">
        <f t="shared" si="3"/>
        <v>120</v>
      </c>
      <c r="H44" s="11" t="s">
        <v>18</v>
      </c>
      <c r="I44" s="11" t="s">
        <v>8</v>
      </c>
      <c r="J44" s="11">
        <f t="shared" ref="J44" si="52">WEEKDAY(F44)</f>
        <v>7</v>
      </c>
    </row>
    <row r="45" spans="1:10" x14ac:dyDescent="0.25">
      <c r="A45" s="3" t="e">
        <f t="shared" si="6"/>
        <v>#VALUE!</v>
      </c>
      <c r="B45" s="4" t="str">
        <f t="shared" si="0"/>
        <v>8</v>
      </c>
      <c r="C45" s="4">
        <f t="shared" si="1"/>
        <v>6</v>
      </c>
      <c r="D45" s="4"/>
      <c r="E45" s="4"/>
      <c r="F45" s="5">
        <f>F2</f>
        <v>43890.375</v>
      </c>
      <c r="G45" s="4">
        <f t="shared" si="3"/>
        <v>60</v>
      </c>
      <c r="H45" s="4" t="s">
        <v>19</v>
      </c>
      <c r="I45" s="4" t="s">
        <v>13</v>
      </c>
      <c r="J45" s="4">
        <f t="shared" ref="J45:J50" si="53">WEEKDAY(F45)</f>
        <v>7</v>
      </c>
    </row>
    <row r="46" spans="1:10" x14ac:dyDescent="0.25">
      <c r="A46" s="7" t="e">
        <f t="shared" si="6"/>
        <v>#VALUE!</v>
      </c>
      <c r="B46" s="8" t="str">
        <f t="shared" si="0"/>
        <v>8</v>
      </c>
      <c r="C46" s="8">
        <f t="shared" si="1"/>
        <v>6</v>
      </c>
      <c r="D46" s="8"/>
      <c r="E46" s="8"/>
      <c r="F46" s="9">
        <f>F45+G45/60/24</f>
        <v>43890.416666666664</v>
      </c>
      <c r="G46" s="8">
        <f t="shared" si="3"/>
        <v>60</v>
      </c>
      <c r="H46" s="8" t="s">
        <v>19</v>
      </c>
      <c r="I46" s="8" t="s">
        <v>13</v>
      </c>
      <c r="J46" s="8">
        <f t="shared" si="53"/>
        <v>7</v>
      </c>
    </row>
    <row r="47" spans="1:10" x14ac:dyDescent="0.25">
      <c r="A47" s="7" t="e">
        <f t="shared" si="6"/>
        <v>#VALUE!</v>
      </c>
      <c r="B47" s="8" t="str">
        <f t="shared" si="0"/>
        <v>8</v>
      </c>
      <c r="C47" s="8">
        <f t="shared" si="1"/>
        <v>4</v>
      </c>
      <c r="D47" s="8" t="s">
        <v>60</v>
      </c>
      <c r="E47" s="8"/>
      <c r="F47" s="9">
        <f t="shared" ref="F47:F49" si="54">F46+G46/60/24</f>
        <v>43890.458333333328</v>
      </c>
      <c r="G47" s="8">
        <f t="shared" si="3"/>
        <v>105</v>
      </c>
      <c r="H47" s="8" t="s">
        <v>19</v>
      </c>
      <c r="I47" s="8" t="s">
        <v>12</v>
      </c>
      <c r="J47" s="8">
        <f t="shared" si="53"/>
        <v>7</v>
      </c>
    </row>
    <row r="48" spans="1:10" x14ac:dyDescent="0.25">
      <c r="A48" s="7" t="e">
        <f t="shared" si="6"/>
        <v>#VALUE!</v>
      </c>
      <c r="B48" s="8" t="str">
        <f t="shared" si="0"/>
        <v>8</v>
      </c>
      <c r="C48" s="8">
        <f t="shared" si="1"/>
        <v>3</v>
      </c>
      <c r="D48" s="8" t="s">
        <v>55</v>
      </c>
      <c r="E48" s="8"/>
      <c r="F48" s="9">
        <f t="shared" si="54"/>
        <v>43890.531249999993</v>
      </c>
      <c r="G48" s="8">
        <f t="shared" si="3"/>
        <v>105</v>
      </c>
      <c r="H48" s="8" t="s">
        <v>19</v>
      </c>
      <c r="I48" s="8" t="s">
        <v>11</v>
      </c>
      <c r="J48" s="8">
        <f t="shared" si="53"/>
        <v>7</v>
      </c>
    </row>
    <row r="49" spans="1:10" x14ac:dyDescent="0.25">
      <c r="A49" s="7" t="e">
        <f t="shared" ref="A49:A50" si="55">A48+1</f>
        <v>#VALUE!</v>
      </c>
      <c r="B49" s="8" t="str">
        <f t="shared" si="0"/>
        <v>8</v>
      </c>
      <c r="C49" s="8">
        <f t="shared" si="1"/>
        <v>3</v>
      </c>
      <c r="D49" s="8" t="s">
        <v>55</v>
      </c>
      <c r="E49" s="8"/>
      <c r="F49" s="9">
        <f t="shared" si="54"/>
        <v>43890.604166666657</v>
      </c>
      <c r="G49" s="8">
        <f t="shared" si="3"/>
        <v>105</v>
      </c>
      <c r="H49" s="8" t="s">
        <v>19</v>
      </c>
      <c r="I49" s="8" t="s">
        <v>11</v>
      </c>
      <c r="J49" s="8">
        <f t="shared" si="53"/>
        <v>7</v>
      </c>
    </row>
    <row r="50" spans="1:10" x14ac:dyDescent="0.25">
      <c r="A50" s="7" t="e">
        <f t="shared" si="55"/>
        <v>#VALUE!</v>
      </c>
      <c r="B50" s="8" t="str">
        <f t="shared" ref="B50" si="56">VLOOKUP(H50,field_id,2,FALSE)</f>
        <v>8</v>
      </c>
      <c r="C50" s="8">
        <f t="shared" ref="C50" si="57">VLOOKUP(I50,league_id,2,FALSE)</f>
        <v>3</v>
      </c>
      <c r="D50" s="8" t="s">
        <v>55</v>
      </c>
      <c r="E50" s="8"/>
      <c r="F50" s="9">
        <f t="shared" ref="F50:F51" si="58">F49+G49/60/24</f>
        <v>43890.677083333321</v>
      </c>
      <c r="G50" s="8">
        <f t="shared" ref="G50" si="59">VLOOKUP(I50,GameDuration,2,FALSE)</f>
        <v>105</v>
      </c>
      <c r="H50" s="8" t="s">
        <v>19</v>
      </c>
      <c r="I50" s="8" t="s">
        <v>11</v>
      </c>
      <c r="J50" s="8">
        <f t="shared" si="53"/>
        <v>7</v>
      </c>
    </row>
    <row r="51" spans="1:10" ht="15.75" thickBot="1" x14ac:dyDescent="0.3">
      <c r="A51" s="10" t="e">
        <f>A48+1</f>
        <v>#VALUE!</v>
      </c>
      <c r="B51" s="11" t="str">
        <f t="shared" si="0"/>
        <v>8</v>
      </c>
      <c r="C51" s="11">
        <f t="shared" si="1"/>
        <v>2</v>
      </c>
      <c r="D51" s="11" t="s">
        <v>61</v>
      </c>
      <c r="E51" s="11"/>
      <c r="F51" s="9">
        <f t="shared" si="58"/>
        <v>43890.749999999985</v>
      </c>
      <c r="G51" s="11">
        <f t="shared" si="3"/>
        <v>120</v>
      </c>
      <c r="H51" s="11" t="s">
        <v>19</v>
      </c>
      <c r="I51" s="11" t="s">
        <v>8</v>
      </c>
      <c r="J51" s="11">
        <f t="shared" ref="J51" si="60">WEEKDAY(F51)</f>
        <v>7</v>
      </c>
    </row>
    <row r="52" spans="1:10" x14ac:dyDescent="0.25">
      <c r="F52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M51"/>
  <sheetViews>
    <sheetView workbookViewId="0">
      <selection activeCell="D18" sqref="D18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8" si="0">VLOOKUP(H2,field_id,2,FALSE)</f>
        <v>4</v>
      </c>
      <c r="C2" s="4">
        <f t="shared" ref="C2:C48" si="1">VLOOKUP(I2,league_id,2,FALSE)</f>
        <v>1</v>
      </c>
      <c r="D2" s="4">
        <f t="shared" ref="D2:D17" si="2">VLOOKUP(H2,slot_compat,3,FALSE)</f>
        <v>2</v>
      </c>
      <c r="E2" s="4"/>
      <c r="F2" s="5">
        <v>43890.375</v>
      </c>
      <c r="G2" s="4">
        <f t="shared" ref="G2:G48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COUNTIF(I$2:I$50,L2)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12</v>
      </c>
    </row>
    <row r="4" spans="1:13" x14ac:dyDescent="0.25">
      <c r="A4" s="7" t="e">
        <f t="shared" ref="A4:A50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8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13</v>
      </c>
    </row>
    <row r="6" spans="1:13" x14ac:dyDescent="0.25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7</v>
      </c>
      <c r="I6" s="8" t="s">
        <v>7</v>
      </c>
      <c r="J6" s="8">
        <f t="shared" ref="J6:J7" si="11">WEEKDAY(F6)</f>
        <v>7</v>
      </c>
      <c r="L6" t="s">
        <v>10</v>
      </c>
      <c r="M6">
        <f t="shared" si="5"/>
        <v>9</v>
      </c>
    </row>
    <row r="7" spans="1:13" ht="15.75" thickBot="1" x14ac:dyDescent="0.3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7</v>
      </c>
      <c r="I7" s="8" t="s">
        <v>7</v>
      </c>
      <c r="J7" s="8">
        <f t="shared" si="11"/>
        <v>7</v>
      </c>
      <c r="L7" t="s">
        <v>13</v>
      </c>
      <c r="M7">
        <f t="shared" si="5"/>
        <v>0</v>
      </c>
    </row>
    <row r="8" spans="1:13" x14ac:dyDescent="0.2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1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2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2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.75" thickBot="1" x14ac:dyDescent="0.3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25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9</v>
      </c>
      <c r="I14" s="4" t="s">
        <v>12</v>
      </c>
      <c r="J14" s="4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2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25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9</v>
      </c>
      <c r="I18" s="8" t="s">
        <v>12</v>
      </c>
      <c r="J18" s="8">
        <f t="shared" ref="J18:J19" si="25">WEEKDAY(F18)</f>
        <v>7</v>
      </c>
    </row>
    <row r="19" spans="1:10" ht="15.75" thickBot="1" x14ac:dyDescent="0.3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9</v>
      </c>
      <c r="I19" s="8" t="s">
        <v>12</v>
      </c>
      <c r="J19" s="8">
        <f t="shared" si="25"/>
        <v>7</v>
      </c>
    </row>
    <row r="20" spans="1:10" x14ac:dyDescent="0.25">
      <c r="A20" s="3" t="e">
        <f t="shared" si="6"/>
        <v>#VALUE!</v>
      </c>
      <c r="B20" s="4" t="str">
        <f t="shared" si="0"/>
        <v>1</v>
      </c>
      <c r="C20" s="4">
        <f t="shared" si="1"/>
        <v>7</v>
      </c>
      <c r="D20" s="4"/>
      <c r="E20" s="4"/>
      <c r="F20" s="5">
        <f>F2</f>
        <v>43890.375</v>
      </c>
      <c r="G20" s="4">
        <f t="shared" si="3"/>
        <v>60</v>
      </c>
      <c r="H20" s="4" t="s">
        <v>15</v>
      </c>
      <c r="I20" s="4" t="s">
        <v>14</v>
      </c>
      <c r="J20" s="4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>
        <v>6</v>
      </c>
      <c r="E21" s="8"/>
      <c r="F21" s="9">
        <f>F20+G20/60/24</f>
        <v>43890.416666666664</v>
      </c>
      <c r="G21" s="8">
        <f t="shared" si="3"/>
        <v>90</v>
      </c>
      <c r="H21" s="8" t="s">
        <v>15</v>
      </c>
      <c r="I21" s="8" t="s">
        <v>10</v>
      </c>
      <c r="J21" s="8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43890.479166666664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2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43890.541666666664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43890.604166666664</v>
      </c>
      <c r="G24" s="8">
        <f t="shared" si="3"/>
        <v>90</v>
      </c>
      <c r="H24" s="8" t="s">
        <v>15</v>
      </c>
      <c r="I24" s="8" t="s">
        <v>10</v>
      </c>
      <c r="J24" s="8">
        <f t="shared" ref="J24" si="27">WEEKDAY(F24)</f>
        <v>7</v>
      </c>
    </row>
    <row r="25" spans="1:10" x14ac:dyDescent="0.25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43890.666666666664</v>
      </c>
      <c r="G25" s="8">
        <f t="shared" ref="G25:G26" si="31">VLOOKUP(I25,GameDuration,2,FALSE)</f>
        <v>90</v>
      </c>
      <c r="H25" s="8" t="s">
        <v>15</v>
      </c>
      <c r="I25" s="8" t="s">
        <v>10</v>
      </c>
      <c r="J25" s="8">
        <f t="shared" ref="J25:J26" si="32">WEEKDAY(F25)</f>
        <v>7</v>
      </c>
    </row>
    <row r="26" spans="1:10" ht="15.75" thickBot="1" x14ac:dyDescent="0.3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43890.729166666664</v>
      </c>
      <c r="G26" s="8">
        <f t="shared" si="31"/>
        <v>90</v>
      </c>
      <c r="H26" s="8" t="s">
        <v>15</v>
      </c>
      <c r="I26" s="8" t="s">
        <v>10</v>
      </c>
      <c r="J26" s="8">
        <f t="shared" si="32"/>
        <v>7</v>
      </c>
    </row>
    <row r="27" spans="1:10" x14ac:dyDescent="0.25">
      <c r="A27" s="3" t="e">
        <f t="shared" si="6"/>
        <v>#VALUE!</v>
      </c>
      <c r="B27" s="4" t="str">
        <f t="shared" si="0"/>
        <v>5</v>
      </c>
      <c r="C27" s="4">
        <f t="shared" si="1"/>
        <v>4</v>
      </c>
      <c r="D27" s="4">
        <f t="shared" ref="D27:D30" si="33">VLOOKUP(H27,slot_compat,3,FALSE)</f>
        <v>5</v>
      </c>
      <c r="E27" s="4"/>
      <c r="F27" s="5">
        <f>F2</f>
        <v>43890.375</v>
      </c>
      <c r="G27" s="4">
        <f t="shared" si="3"/>
        <v>105</v>
      </c>
      <c r="H27" s="4" t="s">
        <v>16</v>
      </c>
      <c r="I27" s="4" t="s">
        <v>12</v>
      </c>
      <c r="J27" s="4">
        <f t="shared" ref="J27:J50" si="34">WEEKDAY(F27)</f>
        <v>7</v>
      </c>
    </row>
    <row r="28" spans="1:10" x14ac:dyDescent="0.2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33"/>
        <v>5</v>
      </c>
      <c r="E28" s="8"/>
      <c r="F28" s="9">
        <f>F27+G27/60/24</f>
        <v>43890.447916666664</v>
      </c>
      <c r="G28" s="8">
        <f t="shared" si="3"/>
        <v>105</v>
      </c>
      <c r="H28" s="8" t="s">
        <v>16</v>
      </c>
      <c r="I28" s="8" t="s">
        <v>12</v>
      </c>
      <c r="J28" s="8">
        <f t="shared" si="34"/>
        <v>7</v>
      </c>
    </row>
    <row r="29" spans="1:10" x14ac:dyDescent="0.2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33"/>
        <v>5</v>
      </c>
      <c r="E29" s="8"/>
      <c r="F29" s="9">
        <f t="shared" ref="F29:F30" si="35">F28+G28/60/24</f>
        <v>43890.520833333328</v>
      </c>
      <c r="G29" s="8">
        <f t="shared" si="3"/>
        <v>105</v>
      </c>
      <c r="H29" s="8" t="s">
        <v>16</v>
      </c>
      <c r="I29" s="8" t="s">
        <v>12</v>
      </c>
      <c r="J29" s="8">
        <f t="shared" si="34"/>
        <v>7</v>
      </c>
    </row>
    <row r="30" spans="1:10" x14ac:dyDescent="0.2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33"/>
        <v>5</v>
      </c>
      <c r="E30" s="8"/>
      <c r="F30" s="9">
        <f t="shared" si="35"/>
        <v>43890.593749999993</v>
      </c>
      <c r="G30" s="8">
        <f t="shared" si="3"/>
        <v>105</v>
      </c>
      <c r="H30" s="8" t="s">
        <v>16</v>
      </c>
      <c r="I30" s="8" t="s">
        <v>12</v>
      </c>
      <c r="J30" s="8">
        <f t="shared" si="34"/>
        <v>7</v>
      </c>
    </row>
    <row r="31" spans="1:10" x14ac:dyDescent="0.25">
      <c r="A31" s="7" t="e">
        <f t="shared" si="6"/>
        <v>#VALUE!</v>
      </c>
      <c r="B31" s="8" t="str">
        <f t="shared" ref="B31:B32" si="36">VLOOKUP(H31,field_id,2,FALSE)</f>
        <v>5</v>
      </c>
      <c r="C31" s="8">
        <f t="shared" ref="C31:C32" si="37">VLOOKUP(I31,league_id,2,FALSE)</f>
        <v>4</v>
      </c>
      <c r="D31" s="8">
        <f t="shared" ref="D31" si="38">VLOOKUP(H31,slot_compat,3,FALSE)</f>
        <v>5</v>
      </c>
      <c r="E31" s="8"/>
      <c r="F31" s="9">
        <f t="shared" ref="F31:F32" si="39">F30+G30/60/24</f>
        <v>43890.666666666657</v>
      </c>
      <c r="G31" s="8">
        <f t="shared" ref="G31:G32" si="40">VLOOKUP(I31,GameDuration,2,FALSE)</f>
        <v>105</v>
      </c>
      <c r="H31" s="8" t="s">
        <v>16</v>
      </c>
      <c r="I31" s="8" t="s">
        <v>12</v>
      </c>
      <c r="J31" s="8">
        <f t="shared" si="34"/>
        <v>7</v>
      </c>
    </row>
    <row r="32" spans="1:10" ht="15.75" thickBot="1" x14ac:dyDescent="0.3">
      <c r="A32" s="7" t="e">
        <f t="shared" si="6"/>
        <v>#VALUE!</v>
      </c>
      <c r="B32" s="8" t="str">
        <f t="shared" si="36"/>
        <v>5</v>
      </c>
      <c r="C32" s="8">
        <f t="shared" si="37"/>
        <v>4</v>
      </c>
      <c r="D32" s="8"/>
      <c r="E32" s="8"/>
      <c r="F32" s="9">
        <f t="shared" si="39"/>
        <v>43890.739583333321</v>
      </c>
      <c r="G32" s="8">
        <f t="shared" si="40"/>
        <v>105</v>
      </c>
      <c r="H32" s="8" t="s">
        <v>16</v>
      </c>
      <c r="I32" s="8" t="s">
        <v>12</v>
      </c>
      <c r="J32" s="8">
        <f t="shared" si="34"/>
        <v>7</v>
      </c>
    </row>
    <row r="33" spans="1:10" x14ac:dyDescent="0.25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/>
      <c r="E33" s="4"/>
      <c r="F33" s="5">
        <f>F2</f>
        <v>43890.375</v>
      </c>
      <c r="G33" s="4">
        <f t="shared" si="3"/>
        <v>90</v>
      </c>
      <c r="H33" s="4" t="s">
        <v>17</v>
      </c>
      <c r="I33" s="4" t="s">
        <v>10</v>
      </c>
      <c r="J33" s="4">
        <f t="shared" si="34"/>
        <v>7</v>
      </c>
    </row>
    <row r="34" spans="1:10" x14ac:dyDescent="0.2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55</v>
      </c>
      <c r="E34" s="8"/>
      <c r="F34" s="9">
        <f>F33+G33/60/24</f>
        <v>43890.4375</v>
      </c>
      <c r="G34" s="8">
        <f t="shared" si="3"/>
        <v>105</v>
      </c>
      <c r="H34" s="8" t="s">
        <v>17</v>
      </c>
      <c r="I34" s="8" t="s">
        <v>11</v>
      </c>
      <c r="J34" s="8">
        <f t="shared" si="34"/>
        <v>7</v>
      </c>
    </row>
    <row r="35" spans="1:10" x14ac:dyDescent="0.2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55</v>
      </c>
      <c r="E35" s="8"/>
      <c r="F35" s="9">
        <f t="shared" ref="F35:F36" si="41">F34+G34/60/24</f>
        <v>43890.510416666664</v>
      </c>
      <c r="G35" s="8">
        <f t="shared" si="3"/>
        <v>105</v>
      </c>
      <c r="H35" s="8" t="s">
        <v>17</v>
      </c>
      <c r="I35" s="8" t="s">
        <v>11</v>
      </c>
      <c r="J35" s="8">
        <f t="shared" si="34"/>
        <v>7</v>
      </c>
    </row>
    <row r="36" spans="1:10" x14ac:dyDescent="0.2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55</v>
      </c>
      <c r="E36" s="8"/>
      <c r="F36" s="9">
        <f t="shared" si="41"/>
        <v>43890.583333333328</v>
      </c>
      <c r="G36" s="8">
        <f t="shared" si="3"/>
        <v>105</v>
      </c>
      <c r="H36" s="8" t="s">
        <v>17</v>
      </c>
      <c r="I36" s="8" t="s">
        <v>11</v>
      </c>
      <c r="J36" s="8">
        <f t="shared" si="34"/>
        <v>7</v>
      </c>
    </row>
    <row r="37" spans="1:10" x14ac:dyDescent="0.25">
      <c r="A37" s="7" t="e">
        <f t="shared" si="6"/>
        <v>#VALUE!</v>
      </c>
      <c r="B37" s="8" t="str">
        <f t="shared" ref="B37:B38" si="42">VLOOKUP(H37,field_id,2,FALSE)</f>
        <v>6</v>
      </c>
      <c r="C37" s="8">
        <f t="shared" ref="C37:C38" si="43">VLOOKUP(I37,league_id,2,FALSE)</f>
        <v>3</v>
      </c>
      <c r="D37" s="8" t="s">
        <v>55</v>
      </c>
      <c r="E37" s="8"/>
      <c r="F37" s="9">
        <f t="shared" ref="F37:F38" si="44">F36+G36/60/24</f>
        <v>43890.656249999993</v>
      </c>
      <c r="G37" s="8">
        <f t="shared" ref="G37:G38" si="45">VLOOKUP(I37,GameDuration,2,FALSE)</f>
        <v>105</v>
      </c>
      <c r="H37" s="8" t="s">
        <v>17</v>
      </c>
      <c r="I37" s="8" t="s">
        <v>11</v>
      </c>
      <c r="J37" s="8">
        <f t="shared" si="34"/>
        <v>7</v>
      </c>
    </row>
    <row r="38" spans="1:10" ht="15.75" thickBot="1" x14ac:dyDescent="0.3">
      <c r="A38" s="7" t="e">
        <f t="shared" si="6"/>
        <v>#VALUE!</v>
      </c>
      <c r="B38" s="8" t="str">
        <f t="shared" si="42"/>
        <v>6</v>
      </c>
      <c r="C38" s="8">
        <f t="shared" si="43"/>
        <v>3</v>
      </c>
      <c r="D38" s="8"/>
      <c r="E38" s="8"/>
      <c r="F38" s="9">
        <f t="shared" si="44"/>
        <v>43890.729166666657</v>
      </c>
      <c r="G38" s="8">
        <f t="shared" si="45"/>
        <v>105</v>
      </c>
      <c r="H38" s="8" t="s">
        <v>17</v>
      </c>
      <c r="I38" s="8" t="s">
        <v>11</v>
      </c>
      <c r="J38" s="8">
        <f t="shared" si="34"/>
        <v>7</v>
      </c>
    </row>
    <row r="39" spans="1:10" x14ac:dyDescent="0.25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18</v>
      </c>
      <c r="I39" s="4" t="s">
        <v>10</v>
      </c>
      <c r="J39" s="4">
        <f t="shared" si="34"/>
        <v>7</v>
      </c>
    </row>
    <row r="40" spans="1:10" x14ac:dyDescent="0.25">
      <c r="A40" s="7" t="e">
        <f t="shared" si="6"/>
        <v>#VALUE!</v>
      </c>
      <c r="B40" s="8" t="str">
        <f t="shared" si="0"/>
        <v>7</v>
      </c>
      <c r="C40" s="8">
        <f t="shared" si="1"/>
        <v>4</v>
      </c>
      <c r="D40" s="8">
        <v>5</v>
      </c>
      <c r="E40" s="8"/>
      <c r="F40" s="9">
        <f>F39+G39/60/24</f>
        <v>43890.4375</v>
      </c>
      <c r="G40" s="8">
        <f t="shared" si="3"/>
        <v>105</v>
      </c>
      <c r="H40" s="8" t="s">
        <v>18</v>
      </c>
      <c r="I40" s="8" t="s">
        <v>12</v>
      </c>
      <c r="J40" s="8">
        <f t="shared" si="34"/>
        <v>7</v>
      </c>
    </row>
    <row r="41" spans="1:10" x14ac:dyDescent="0.25">
      <c r="A41" s="7" t="e">
        <f t="shared" si="6"/>
        <v>#VALUE!</v>
      </c>
      <c r="B41" s="8" t="str">
        <f t="shared" si="0"/>
        <v>7</v>
      </c>
      <c r="C41" s="8">
        <f t="shared" si="1"/>
        <v>3</v>
      </c>
      <c r="D41" s="8" t="s">
        <v>55</v>
      </c>
      <c r="E41" s="8"/>
      <c r="F41" s="9">
        <f t="shared" ref="F41:F42" si="46">F40+G40/60/24</f>
        <v>43890.510416666664</v>
      </c>
      <c r="G41" s="8">
        <f t="shared" si="3"/>
        <v>105</v>
      </c>
      <c r="H41" s="8" t="s">
        <v>18</v>
      </c>
      <c r="I41" s="8" t="s">
        <v>11</v>
      </c>
      <c r="J41" s="8">
        <f t="shared" si="34"/>
        <v>7</v>
      </c>
    </row>
    <row r="42" spans="1:10" x14ac:dyDescent="0.25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56</v>
      </c>
      <c r="E42" s="8"/>
      <c r="F42" s="9">
        <f t="shared" si="46"/>
        <v>43890.583333333328</v>
      </c>
      <c r="G42" s="8">
        <f t="shared" si="3"/>
        <v>120</v>
      </c>
      <c r="H42" s="8" t="s">
        <v>18</v>
      </c>
      <c r="I42" s="8" t="s">
        <v>8</v>
      </c>
      <c r="J42" s="8">
        <f t="shared" si="34"/>
        <v>7</v>
      </c>
    </row>
    <row r="43" spans="1:10" x14ac:dyDescent="0.25">
      <c r="A43" s="7" t="e">
        <f t="shared" si="6"/>
        <v>#VALUE!</v>
      </c>
      <c r="B43" s="8" t="str">
        <f t="shared" ref="B43:B44" si="47">VLOOKUP(H43,field_id,2,FALSE)</f>
        <v>7</v>
      </c>
      <c r="C43" s="8">
        <f t="shared" ref="C43:C44" si="48">VLOOKUP(I43,league_id,2,FALSE)</f>
        <v>2</v>
      </c>
      <c r="D43" s="8" t="s">
        <v>56</v>
      </c>
      <c r="E43" s="8"/>
      <c r="F43" s="9">
        <f t="shared" ref="F43:F44" si="49">F42+G42/60/24</f>
        <v>43890.666666666664</v>
      </c>
      <c r="G43" s="8">
        <f t="shared" ref="G43:G44" si="50">VLOOKUP(I43,GameDuration,2,FALSE)</f>
        <v>120</v>
      </c>
      <c r="H43" s="8" t="s">
        <v>18</v>
      </c>
      <c r="I43" s="8" t="s">
        <v>8</v>
      </c>
      <c r="J43" s="8">
        <f t="shared" si="34"/>
        <v>7</v>
      </c>
    </row>
    <row r="44" spans="1:10" ht="15.75" thickBot="1" x14ac:dyDescent="0.3">
      <c r="A44" s="7" t="e">
        <f t="shared" si="6"/>
        <v>#VALUE!</v>
      </c>
      <c r="B44" s="8" t="str">
        <f t="shared" si="47"/>
        <v>7</v>
      </c>
      <c r="C44" s="8">
        <f t="shared" si="48"/>
        <v>2</v>
      </c>
      <c r="D44" s="8" t="s">
        <v>61</v>
      </c>
      <c r="E44" s="8"/>
      <c r="F44" s="9">
        <f t="shared" si="49"/>
        <v>43890.75</v>
      </c>
      <c r="G44" s="8">
        <f t="shared" si="50"/>
        <v>120</v>
      </c>
      <c r="H44" s="8" t="s">
        <v>18</v>
      </c>
      <c r="I44" s="8" t="s">
        <v>8</v>
      </c>
      <c r="J44" s="8">
        <f t="shared" si="34"/>
        <v>7</v>
      </c>
    </row>
    <row r="45" spans="1:10" x14ac:dyDescent="0.25">
      <c r="A45" s="3" t="e">
        <f t="shared" si="6"/>
        <v>#VALUE!</v>
      </c>
      <c r="B45" s="4" t="str">
        <f t="shared" si="0"/>
        <v>8</v>
      </c>
      <c r="C45" s="4">
        <f t="shared" si="1"/>
        <v>5</v>
      </c>
      <c r="D45" s="4"/>
      <c r="E45" s="4"/>
      <c r="F45" s="5">
        <f>F2</f>
        <v>43890.375</v>
      </c>
      <c r="G45" s="4">
        <f t="shared" si="3"/>
        <v>90</v>
      </c>
      <c r="H45" s="4" t="s">
        <v>19</v>
      </c>
      <c r="I45" s="4" t="s">
        <v>10</v>
      </c>
      <c r="J45" s="4">
        <f t="shared" si="34"/>
        <v>7</v>
      </c>
    </row>
    <row r="46" spans="1:10" x14ac:dyDescent="0.25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55</v>
      </c>
      <c r="E46" s="8"/>
      <c r="F46" s="9">
        <f>F45+G45/60/24</f>
        <v>43890.4375</v>
      </c>
      <c r="G46" s="8">
        <f t="shared" si="3"/>
        <v>105</v>
      </c>
      <c r="H46" s="8" t="s">
        <v>19</v>
      </c>
      <c r="I46" s="8" t="s">
        <v>11</v>
      </c>
      <c r="J46" s="8">
        <f t="shared" si="34"/>
        <v>7</v>
      </c>
    </row>
    <row r="47" spans="1:10" x14ac:dyDescent="0.25">
      <c r="A47" s="7" t="e">
        <f t="shared" si="6"/>
        <v>#VALUE!</v>
      </c>
      <c r="B47" s="8" t="str">
        <f t="shared" si="0"/>
        <v>8</v>
      </c>
      <c r="C47" s="8">
        <f t="shared" si="1"/>
        <v>3</v>
      </c>
      <c r="D47" s="8" t="s">
        <v>55</v>
      </c>
      <c r="E47" s="8"/>
      <c r="F47" s="9">
        <f t="shared" ref="F47:F48" si="51">F46+G46/60/24</f>
        <v>43890.510416666664</v>
      </c>
      <c r="G47" s="8">
        <f t="shared" si="3"/>
        <v>105</v>
      </c>
      <c r="H47" s="8" t="s">
        <v>19</v>
      </c>
      <c r="I47" s="8" t="s">
        <v>11</v>
      </c>
      <c r="J47" s="8">
        <f t="shared" si="34"/>
        <v>7</v>
      </c>
    </row>
    <row r="48" spans="1:10" x14ac:dyDescent="0.25">
      <c r="A48" s="7" t="e">
        <f t="shared" si="6"/>
        <v>#VALUE!</v>
      </c>
      <c r="B48" s="8" t="str">
        <f t="shared" si="0"/>
        <v>8</v>
      </c>
      <c r="C48" s="8">
        <f t="shared" si="1"/>
        <v>2</v>
      </c>
      <c r="D48" s="8" t="s">
        <v>56</v>
      </c>
      <c r="E48" s="8"/>
      <c r="F48" s="9">
        <f t="shared" si="51"/>
        <v>43890.583333333328</v>
      </c>
      <c r="G48" s="8">
        <f t="shared" si="3"/>
        <v>120</v>
      </c>
      <c r="H48" s="8" t="s">
        <v>19</v>
      </c>
      <c r="I48" s="8" t="s">
        <v>8</v>
      </c>
      <c r="J48" s="8">
        <f t="shared" si="34"/>
        <v>7</v>
      </c>
    </row>
    <row r="49" spans="1:10" x14ac:dyDescent="0.25">
      <c r="A49" s="7" t="e">
        <f t="shared" si="6"/>
        <v>#VALUE!</v>
      </c>
      <c r="B49" s="8" t="str">
        <f t="shared" ref="B49:B50" si="52">VLOOKUP(H49,field_id,2,FALSE)</f>
        <v>8</v>
      </c>
      <c r="C49" s="8">
        <f t="shared" ref="C49:C50" si="53">VLOOKUP(I49,league_id,2,FALSE)</f>
        <v>2</v>
      </c>
      <c r="D49" s="8" t="s">
        <v>56</v>
      </c>
      <c r="E49" s="8"/>
      <c r="F49" s="9">
        <f t="shared" ref="F49:F50" si="54">F48+G48/60/24</f>
        <v>43890.666666666664</v>
      </c>
      <c r="G49" s="8">
        <f t="shared" ref="G49:G50" si="55">VLOOKUP(I49,GameDuration,2,FALSE)</f>
        <v>120</v>
      </c>
      <c r="H49" s="8" t="s">
        <v>19</v>
      </c>
      <c r="I49" s="8" t="s">
        <v>8</v>
      </c>
      <c r="J49" s="8">
        <f t="shared" si="34"/>
        <v>7</v>
      </c>
    </row>
    <row r="50" spans="1:10" ht="15.75" thickBot="1" x14ac:dyDescent="0.3">
      <c r="A50" s="7" t="e">
        <f t="shared" si="6"/>
        <v>#VALUE!</v>
      </c>
      <c r="B50" s="8" t="str">
        <f t="shared" si="52"/>
        <v>8</v>
      </c>
      <c r="C50" s="8">
        <f t="shared" si="53"/>
        <v>2</v>
      </c>
      <c r="D50" s="8" t="s">
        <v>61</v>
      </c>
      <c r="E50" s="8"/>
      <c r="F50" s="9">
        <f t="shared" si="54"/>
        <v>43890.75</v>
      </c>
      <c r="G50" s="8">
        <f t="shared" si="55"/>
        <v>120</v>
      </c>
      <c r="H50" s="8" t="s">
        <v>19</v>
      </c>
      <c r="I50" s="8" t="s">
        <v>8</v>
      </c>
      <c r="J50" s="8">
        <f t="shared" si="34"/>
        <v>7</v>
      </c>
    </row>
    <row r="51" spans="1:10" x14ac:dyDescent="0.25">
      <c r="A51" s="3"/>
      <c r="B51" s="4"/>
      <c r="C51" s="4"/>
      <c r="D51" s="4"/>
      <c r="E51" s="4"/>
      <c r="F51" s="5"/>
      <c r="G51" s="4"/>
      <c r="H51" s="4"/>
      <c r="I51" s="4"/>
      <c r="J51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M49"/>
  <sheetViews>
    <sheetView topLeftCell="A13" workbookViewId="0">
      <selection activeCell="L34" sqref="L34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50</v>
      </c>
      <c r="D1" t="s">
        <v>51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7" si="0">VLOOKUP(H2,field_id,2,FALSE)</f>
        <v>4</v>
      </c>
      <c r="C2" s="4">
        <f t="shared" ref="C2:C47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47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COUNTIF(I$2:I$50,L2)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12</v>
      </c>
    </row>
    <row r="4" spans="1:13" x14ac:dyDescent="0.25">
      <c r="A4" s="7" t="e">
        <f t="shared" ref="A4:A49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8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13</v>
      </c>
    </row>
    <row r="6" spans="1:13" x14ac:dyDescent="0.25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7</v>
      </c>
      <c r="I6" s="8" t="s">
        <v>7</v>
      </c>
      <c r="J6" s="8">
        <f t="shared" ref="J6:J7" si="11">WEEKDAY(F6)</f>
        <v>7</v>
      </c>
      <c r="L6" t="s">
        <v>10</v>
      </c>
      <c r="M6">
        <f t="shared" si="5"/>
        <v>9</v>
      </c>
    </row>
    <row r="7" spans="1:13" ht="15.75" thickBot="1" x14ac:dyDescent="0.3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7</v>
      </c>
      <c r="I7" s="8" t="s">
        <v>7</v>
      </c>
      <c r="J7" s="8">
        <f t="shared" si="11"/>
        <v>7</v>
      </c>
      <c r="L7" t="s">
        <v>13</v>
      </c>
      <c r="M7">
        <f t="shared" si="5"/>
        <v>0</v>
      </c>
    </row>
    <row r="8" spans="1:13" x14ac:dyDescent="0.2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0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2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2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.75" thickBot="1" x14ac:dyDescent="0.3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25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9</v>
      </c>
      <c r="I14" s="4" t="s">
        <v>12</v>
      </c>
      <c r="J14" s="4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2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25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9</v>
      </c>
      <c r="I18" s="8" t="s">
        <v>12</v>
      </c>
      <c r="J18" s="8">
        <f t="shared" ref="J18:J19" si="25">WEEKDAY(F18)</f>
        <v>7</v>
      </c>
    </row>
    <row r="19" spans="1:10" ht="15.75" thickBot="1" x14ac:dyDescent="0.3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9</v>
      </c>
      <c r="I19" s="8" t="s">
        <v>12</v>
      </c>
      <c r="J19" s="8">
        <f t="shared" si="25"/>
        <v>7</v>
      </c>
    </row>
    <row r="20" spans="1:10" x14ac:dyDescent="0.25">
      <c r="A20" s="3" t="e">
        <f t="shared" si="6"/>
        <v>#VALUE!</v>
      </c>
      <c r="B20" s="4" t="str">
        <f t="shared" si="0"/>
        <v>1</v>
      </c>
      <c r="C20" s="4">
        <f t="shared" si="1"/>
        <v>5</v>
      </c>
      <c r="D20" s="4">
        <v>6</v>
      </c>
      <c r="E20" s="4"/>
      <c r="F20" s="5">
        <f>F2</f>
        <v>43890.375</v>
      </c>
      <c r="G20" s="4">
        <f t="shared" si="3"/>
        <v>90</v>
      </c>
      <c r="H20" s="4" t="s">
        <v>15</v>
      </c>
      <c r="I20" s="4" t="s">
        <v>10</v>
      </c>
      <c r="J20" s="4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>F20+G20/60/24</f>
        <v>43890.4375</v>
      </c>
      <c r="G21" s="8">
        <f t="shared" si="3"/>
        <v>90</v>
      </c>
      <c r="H21" s="8" t="s">
        <v>15</v>
      </c>
      <c r="I21" s="8" t="s">
        <v>10</v>
      </c>
      <c r="J21" s="8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43890.5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2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43890.5625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43890.625</v>
      </c>
      <c r="G24" s="8">
        <f t="shared" si="3"/>
        <v>90</v>
      </c>
      <c r="H24" s="8" t="s">
        <v>15</v>
      </c>
      <c r="I24" s="8" t="s">
        <v>10</v>
      </c>
      <c r="J24" s="8">
        <f t="shared" ref="J24" si="27">WEEKDAY(F24)</f>
        <v>7</v>
      </c>
    </row>
    <row r="25" spans="1:10" x14ac:dyDescent="0.25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43890.6875</v>
      </c>
      <c r="G25" s="8">
        <f t="shared" ref="G25:G26" si="31">VLOOKUP(I25,GameDuration,2,FALSE)</f>
        <v>90</v>
      </c>
      <c r="H25" s="8" t="s">
        <v>15</v>
      </c>
      <c r="I25" s="8" t="s">
        <v>10</v>
      </c>
      <c r="J25" s="8">
        <f t="shared" ref="J25:J26" si="32">WEEKDAY(F25)</f>
        <v>7</v>
      </c>
    </row>
    <row r="26" spans="1:10" ht="15.75" thickBot="1" x14ac:dyDescent="0.3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43890.75</v>
      </c>
      <c r="G26" s="8">
        <f t="shared" si="31"/>
        <v>90</v>
      </c>
      <c r="H26" s="8" t="s">
        <v>15</v>
      </c>
      <c r="I26" s="8" t="s">
        <v>10</v>
      </c>
      <c r="J26" s="8">
        <f t="shared" si="32"/>
        <v>7</v>
      </c>
    </row>
    <row r="27" spans="1:10" x14ac:dyDescent="0.25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16</v>
      </c>
      <c r="I27" s="4" t="s">
        <v>10</v>
      </c>
      <c r="J27" s="4">
        <f t="shared" ref="J27:J38" si="33">WEEKDAY(F27)</f>
        <v>7</v>
      </c>
    </row>
    <row r="28" spans="1:10" x14ac:dyDescent="0.2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2"/>
        <v>5</v>
      </c>
      <c r="E28" s="8"/>
      <c r="F28" s="9">
        <f>F27+G27/60/24</f>
        <v>43890.4375</v>
      </c>
      <c r="G28" s="8">
        <f t="shared" si="3"/>
        <v>105</v>
      </c>
      <c r="H28" s="8" t="s">
        <v>16</v>
      </c>
      <c r="I28" s="8" t="s">
        <v>12</v>
      </c>
      <c r="J28" s="8">
        <f t="shared" si="33"/>
        <v>7</v>
      </c>
    </row>
    <row r="29" spans="1:10" x14ac:dyDescent="0.2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4">F28+G28/60/24</f>
        <v>43890.510416666664</v>
      </c>
      <c r="G29" s="8">
        <f t="shared" si="3"/>
        <v>105</v>
      </c>
      <c r="H29" s="8" t="s">
        <v>16</v>
      </c>
      <c r="I29" s="8" t="s">
        <v>12</v>
      </c>
      <c r="J29" s="8">
        <f t="shared" si="33"/>
        <v>7</v>
      </c>
    </row>
    <row r="30" spans="1:10" x14ac:dyDescent="0.2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4"/>
        <v>43890.583333333328</v>
      </c>
      <c r="G30" s="8">
        <f t="shared" si="3"/>
        <v>105</v>
      </c>
      <c r="H30" s="8" t="s">
        <v>16</v>
      </c>
      <c r="I30" s="8" t="s">
        <v>12</v>
      </c>
      <c r="J30" s="8">
        <f t="shared" si="33"/>
        <v>7</v>
      </c>
    </row>
    <row r="31" spans="1:10" x14ac:dyDescent="0.25">
      <c r="A31" s="7" t="e">
        <f t="shared" si="6"/>
        <v>#VALUE!</v>
      </c>
      <c r="B31" s="8" t="str">
        <f t="shared" ref="B31:B32" si="35">VLOOKUP(H31,field_id,2,FALSE)</f>
        <v>5</v>
      </c>
      <c r="C31" s="8">
        <f t="shared" ref="C31:C32" si="36">VLOOKUP(I31,league_id,2,FALSE)</f>
        <v>4</v>
      </c>
      <c r="D31" s="8">
        <f t="shared" ref="D31" si="37">VLOOKUP(H31,slot_compat,3,FALSE)</f>
        <v>5</v>
      </c>
      <c r="E31" s="8"/>
      <c r="F31" s="9">
        <f t="shared" ref="F31:F32" si="38">F30+G30/60/24</f>
        <v>43890.656249999993</v>
      </c>
      <c r="G31" s="8">
        <f t="shared" ref="G31:G32" si="39">VLOOKUP(I31,GameDuration,2,FALSE)</f>
        <v>105</v>
      </c>
      <c r="H31" s="8" t="s">
        <v>16</v>
      </c>
      <c r="I31" s="8" t="s">
        <v>12</v>
      </c>
      <c r="J31" s="8">
        <f t="shared" si="33"/>
        <v>7</v>
      </c>
    </row>
    <row r="32" spans="1:10" ht="15.75" thickBot="1" x14ac:dyDescent="0.3">
      <c r="A32" s="7" t="e">
        <f t="shared" si="6"/>
        <v>#VALUE!</v>
      </c>
      <c r="B32" s="8" t="str">
        <f t="shared" si="35"/>
        <v>5</v>
      </c>
      <c r="C32" s="8">
        <f t="shared" si="36"/>
        <v>4</v>
      </c>
      <c r="D32" s="8"/>
      <c r="E32" s="8"/>
      <c r="F32" s="9">
        <f t="shared" si="38"/>
        <v>43890.729166666657</v>
      </c>
      <c r="G32" s="8">
        <f t="shared" si="39"/>
        <v>105</v>
      </c>
      <c r="H32" s="8" t="s">
        <v>16</v>
      </c>
      <c r="I32" s="8" t="s">
        <v>12</v>
      </c>
      <c r="J32" s="8">
        <f t="shared" si="33"/>
        <v>7</v>
      </c>
    </row>
    <row r="33" spans="1:10" x14ac:dyDescent="0.25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>
        <v>6</v>
      </c>
      <c r="E33" s="4"/>
      <c r="F33" s="5">
        <f>F2</f>
        <v>43890.375</v>
      </c>
      <c r="G33" s="4">
        <f t="shared" si="3"/>
        <v>90</v>
      </c>
      <c r="H33" s="4" t="s">
        <v>17</v>
      </c>
      <c r="I33" s="4" t="s">
        <v>10</v>
      </c>
      <c r="J33" s="4">
        <f t="shared" si="33"/>
        <v>7</v>
      </c>
    </row>
    <row r="34" spans="1:10" x14ac:dyDescent="0.2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55</v>
      </c>
      <c r="E34" s="8"/>
      <c r="F34" s="9">
        <f>F33+G33/60/24</f>
        <v>43890.4375</v>
      </c>
      <c r="G34" s="8">
        <f t="shared" si="3"/>
        <v>105</v>
      </c>
      <c r="H34" s="8" t="s">
        <v>17</v>
      </c>
      <c r="I34" s="8" t="s">
        <v>11</v>
      </c>
      <c r="J34" s="8">
        <f t="shared" si="33"/>
        <v>7</v>
      </c>
    </row>
    <row r="35" spans="1:10" x14ac:dyDescent="0.2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55</v>
      </c>
      <c r="E35" s="8"/>
      <c r="F35" s="9">
        <f t="shared" ref="F35:F36" si="40">F34+G34/60/24</f>
        <v>43890.510416666664</v>
      </c>
      <c r="G35" s="8">
        <f t="shared" si="3"/>
        <v>105</v>
      </c>
      <c r="H35" s="8" t="s">
        <v>17</v>
      </c>
      <c r="I35" s="8" t="s">
        <v>11</v>
      </c>
      <c r="J35" s="8">
        <f t="shared" si="33"/>
        <v>7</v>
      </c>
    </row>
    <row r="36" spans="1:10" x14ac:dyDescent="0.2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55</v>
      </c>
      <c r="E36" s="8"/>
      <c r="F36" s="9">
        <f t="shared" si="40"/>
        <v>43890.583333333328</v>
      </c>
      <c r="G36" s="8">
        <f t="shared" si="3"/>
        <v>105</v>
      </c>
      <c r="H36" s="8" t="s">
        <v>17</v>
      </c>
      <c r="I36" s="8" t="s">
        <v>11</v>
      </c>
      <c r="J36" s="8">
        <f t="shared" si="33"/>
        <v>7</v>
      </c>
    </row>
    <row r="37" spans="1:10" x14ac:dyDescent="0.25">
      <c r="A37" s="7" t="e">
        <f t="shared" si="6"/>
        <v>#VALUE!</v>
      </c>
      <c r="B37" s="8" t="str">
        <f t="shared" ref="B37:B38" si="41">VLOOKUP(H37,field_id,2,FALSE)</f>
        <v>6</v>
      </c>
      <c r="C37" s="8">
        <f t="shared" ref="C37:C38" si="42">VLOOKUP(I37,league_id,2,FALSE)</f>
        <v>3</v>
      </c>
      <c r="D37" s="8" t="s">
        <v>55</v>
      </c>
      <c r="E37" s="8"/>
      <c r="F37" s="9">
        <f t="shared" ref="F37:F38" si="43">F36+G36/60/24</f>
        <v>43890.656249999993</v>
      </c>
      <c r="G37" s="8">
        <f t="shared" ref="G37:G38" si="44">VLOOKUP(I37,GameDuration,2,FALSE)</f>
        <v>105</v>
      </c>
      <c r="H37" s="8" t="s">
        <v>17</v>
      </c>
      <c r="I37" s="8" t="s">
        <v>11</v>
      </c>
      <c r="J37" s="8">
        <f t="shared" si="33"/>
        <v>7</v>
      </c>
    </row>
    <row r="38" spans="1:10" ht="15.75" thickBot="1" x14ac:dyDescent="0.3">
      <c r="A38" s="7" t="e">
        <f t="shared" si="6"/>
        <v>#VALUE!</v>
      </c>
      <c r="B38" s="8" t="str">
        <f t="shared" si="41"/>
        <v>6</v>
      </c>
      <c r="C38" s="8">
        <f t="shared" si="42"/>
        <v>3</v>
      </c>
      <c r="D38" s="8"/>
      <c r="E38" s="8"/>
      <c r="F38" s="9">
        <f t="shared" si="43"/>
        <v>43890.729166666657</v>
      </c>
      <c r="G38" s="8">
        <f t="shared" si="44"/>
        <v>105</v>
      </c>
      <c r="H38" s="8" t="s">
        <v>17</v>
      </c>
      <c r="I38" s="8" t="s">
        <v>11</v>
      </c>
      <c r="J38" s="8">
        <f t="shared" si="33"/>
        <v>7</v>
      </c>
    </row>
    <row r="39" spans="1:10" x14ac:dyDescent="0.25">
      <c r="A39" s="3" t="e">
        <f t="shared" si="6"/>
        <v>#VALUE!</v>
      </c>
      <c r="B39" s="4" t="str">
        <f t="shared" si="0"/>
        <v>7</v>
      </c>
      <c r="C39" s="4">
        <f t="shared" si="1"/>
        <v>3</v>
      </c>
      <c r="D39" s="4" t="s">
        <v>55</v>
      </c>
      <c r="E39" s="4"/>
      <c r="F39" s="5">
        <f>F2</f>
        <v>43890.375</v>
      </c>
      <c r="G39" s="4">
        <f t="shared" si="3"/>
        <v>105</v>
      </c>
      <c r="H39" s="4" t="s">
        <v>18</v>
      </c>
      <c r="I39" s="4" t="s">
        <v>11</v>
      </c>
      <c r="J39" s="4">
        <f t="shared" ref="J39:J47" si="45">WEEKDAY(F39)</f>
        <v>7</v>
      </c>
    </row>
    <row r="40" spans="1:10" x14ac:dyDescent="0.25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55</v>
      </c>
      <c r="E40" s="8"/>
      <c r="F40" s="9">
        <f>F39+G39/60/24</f>
        <v>43890.447916666664</v>
      </c>
      <c r="G40" s="8">
        <f t="shared" si="3"/>
        <v>105</v>
      </c>
      <c r="H40" s="8" t="s">
        <v>18</v>
      </c>
      <c r="I40" s="8" t="s">
        <v>11</v>
      </c>
      <c r="J40" s="8">
        <f t="shared" si="45"/>
        <v>7</v>
      </c>
    </row>
    <row r="41" spans="1:10" x14ac:dyDescent="0.25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56</v>
      </c>
      <c r="E41" s="8"/>
      <c r="F41" s="9">
        <f t="shared" ref="F41" si="46">F40+G40/60/24</f>
        <v>43890.520833333328</v>
      </c>
      <c r="G41" s="8">
        <f t="shared" si="3"/>
        <v>120</v>
      </c>
      <c r="H41" s="8" t="s">
        <v>18</v>
      </c>
      <c r="I41" s="8" t="s">
        <v>8</v>
      </c>
      <c r="J41" s="8">
        <f t="shared" si="45"/>
        <v>7</v>
      </c>
    </row>
    <row r="42" spans="1:10" x14ac:dyDescent="0.25">
      <c r="A42" s="7" t="e">
        <f t="shared" si="6"/>
        <v>#VALUE!</v>
      </c>
      <c r="B42" s="8" t="str">
        <f t="shared" ref="B42:B43" si="47">VLOOKUP(H42,field_id,2,FALSE)</f>
        <v>7</v>
      </c>
      <c r="C42" s="8">
        <f t="shared" ref="C42:C43" si="48">VLOOKUP(I42,league_id,2,FALSE)</f>
        <v>2</v>
      </c>
      <c r="D42" s="8" t="s">
        <v>56</v>
      </c>
      <c r="E42" s="8"/>
      <c r="F42" s="9">
        <f t="shared" ref="F42:F43" si="49">F41+G41/60/24</f>
        <v>43890.604166666664</v>
      </c>
      <c r="G42" s="8">
        <f t="shared" ref="G42:G43" si="50">VLOOKUP(I42,GameDuration,2,FALSE)</f>
        <v>120</v>
      </c>
      <c r="H42" s="8" t="s">
        <v>18</v>
      </c>
      <c r="I42" s="8" t="s">
        <v>8</v>
      </c>
      <c r="J42" s="8">
        <f t="shared" ref="J42:J43" si="51">WEEKDAY(F42)</f>
        <v>7</v>
      </c>
    </row>
    <row r="43" spans="1:10" ht="15.75" thickBot="1" x14ac:dyDescent="0.3">
      <c r="A43" s="7" t="e">
        <f t="shared" si="6"/>
        <v>#VALUE!</v>
      </c>
      <c r="B43" s="8" t="str">
        <f t="shared" si="47"/>
        <v>7</v>
      </c>
      <c r="C43" s="8">
        <f t="shared" si="48"/>
        <v>2</v>
      </c>
      <c r="D43" s="8" t="s">
        <v>61</v>
      </c>
      <c r="E43" s="8"/>
      <c r="F43" s="9">
        <f t="shared" si="49"/>
        <v>43890.6875</v>
      </c>
      <c r="G43" s="8">
        <f t="shared" si="50"/>
        <v>120</v>
      </c>
      <c r="H43" s="8" t="s">
        <v>18</v>
      </c>
      <c r="I43" s="8" t="s">
        <v>8</v>
      </c>
      <c r="J43" s="8">
        <f t="shared" si="51"/>
        <v>7</v>
      </c>
    </row>
    <row r="44" spans="1:10" x14ac:dyDescent="0.25">
      <c r="A44" s="3" t="e">
        <f>A43+1</f>
        <v>#VALUE!</v>
      </c>
      <c r="B44" s="4" t="str">
        <f t="shared" si="0"/>
        <v>8</v>
      </c>
      <c r="C44" s="4">
        <f t="shared" si="1"/>
        <v>4</v>
      </c>
      <c r="D44" s="4">
        <v>5</v>
      </c>
      <c r="E44" s="4"/>
      <c r="F44" s="5">
        <f>F2</f>
        <v>43890.375</v>
      </c>
      <c r="G44" s="4">
        <f t="shared" si="3"/>
        <v>105</v>
      </c>
      <c r="H44" s="4" t="s">
        <v>19</v>
      </c>
      <c r="I44" s="4" t="s">
        <v>12</v>
      </c>
      <c r="J44" s="4">
        <f t="shared" si="45"/>
        <v>7</v>
      </c>
    </row>
    <row r="45" spans="1:10" x14ac:dyDescent="0.25">
      <c r="A45" s="7" t="e">
        <f t="shared" si="6"/>
        <v>#VALUE!</v>
      </c>
      <c r="B45" s="8" t="str">
        <f t="shared" si="0"/>
        <v>8</v>
      </c>
      <c r="C45" s="8">
        <f t="shared" si="1"/>
        <v>4</v>
      </c>
      <c r="D45" s="8">
        <v>5</v>
      </c>
      <c r="E45" s="8"/>
      <c r="F45" s="9">
        <f>F44+G44/60/24</f>
        <v>43890.447916666664</v>
      </c>
      <c r="G45" s="8">
        <f t="shared" si="3"/>
        <v>105</v>
      </c>
      <c r="H45" s="8" t="s">
        <v>19</v>
      </c>
      <c r="I45" s="8" t="s">
        <v>12</v>
      </c>
      <c r="J45" s="8">
        <f t="shared" si="45"/>
        <v>7</v>
      </c>
    </row>
    <row r="46" spans="1:10" x14ac:dyDescent="0.25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55</v>
      </c>
      <c r="E46" s="8"/>
      <c r="F46" s="9">
        <f t="shared" ref="F46:F47" si="52">F45+G45/60/24</f>
        <v>43890.520833333328</v>
      </c>
      <c r="G46" s="8">
        <f t="shared" si="3"/>
        <v>105</v>
      </c>
      <c r="H46" s="8" t="s">
        <v>19</v>
      </c>
      <c r="I46" s="8" t="s">
        <v>11</v>
      </c>
      <c r="J46" s="8">
        <f t="shared" si="45"/>
        <v>7</v>
      </c>
    </row>
    <row r="47" spans="1:10" x14ac:dyDescent="0.25">
      <c r="A47" s="7" t="e">
        <f t="shared" si="6"/>
        <v>#VALUE!</v>
      </c>
      <c r="B47" s="8" t="str">
        <f t="shared" si="0"/>
        <v>8</v>
      </c>
      <c r="C47" s="8">
        <f t="shared" si="1"/>
        <v>2</v>
      </c>
      <c r="D47" s="8" t="s">
        <v>56</v>
      </c>
      <c r="E47" s="8"/>
      <c r="F47" s="9">
        <f t="shared" si="52"/>
        <v>43890.593749999993</v>
      </c>
      <c r="G47" s="8">
        <f t="shared" si="3"/>
        <v>120</v>
      </c>
      <c r="H47" s="8" t="s">
        <v>19</v>
      </c>
      <c r="I47" s="8" t="s">
        <v>8</v>
      </c>
      <c r="J47" s="8">
        <f t="shared" si="45"/>
        <v>7</v>
      </c>
    </row>
    <row r="48" spans="1:10" x14ac:dyDescent="0.25">
      <c r="A48" s="7" t="e">
        <f t="shared" si="6"/>
        <v>#VALUE!</v>
      </c>
      <c r="B48" s="8" t="str">
        <f t="shared" ref="B48:B49" si="53">VLOOKUP(H48,field_id,2,FALSE)</f>
        <v>8</v>
      </c>
      <c r="C48" s="8">
        <f t="shared" ref="C48:C49" si="54">VLOOKUP(I48,league_id,2,FALSE)</f>
        <v>2</v>
      </c>
      <c r="D48" s="8" t="s">
        <v>56</v>
      </c>
      <c r="E48" s="8"/>
      <c r="F48" s="9">
        <f t="shared" ref="F48:F49" si="55">F47+G47/60/24</f>
        <v>43890.677083333328</v>
      </c>
      <c r="G48" s="8">
        <f t="shared" ref="G48:G49" si="56">VLOOKUP(I48,GameDuration,2,FALSE)</f>
        <v>120</v>
      </c>
      <c r="H48" s="8" t="s">
        <v>19</v>
      </c>
      <c r="I48" s="8" t="s">
        <v>8</v>
      </c>
      <c r="J48" s="8">
        <f t="shared" ref="J48:J49" si="57">WEEKDAY(F48)</f>
        <v>7</v>
      </c>
    </row>
    <row r="49" spans="1:10" x14ac:dyDescent="0.25">
      <c r="A49" s="7" t="e">
        <f t="shared" si="6"/>
        <v>#VALUE!</v>
      </c>
      <c r="B49" s="8" t="str">
        <f t="shared" si="53"/>
        <v>8</v>
      </c>
      <c r="C49" s="8">
        <f t="shared" si="54"/>
        <v>2</v>
      </c>
      <c r="D49" s="8" t="s">
        <v>61</v>
      </c>
      <c r="E49" s="8"/>
      <c r="F49" s="9">
        <f t="shared" si="55"/>
        <v>43890.760416666664</v>
      </c>
      <c r="G49" s="8">
        <f t="shared" si="56"/>
        <v>120</v>
      </c>
      <c r="H49" s="8" t="s">
        <v>19</v>
      </c>
      <c r="I49" s="8" t="s">
        <v>8</v>
      </c>
      <c r="J49" s="8">
        <f t="shared" si="57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workbookViewId="0">
      <selection activeCell="E29" sqref="E29"/>
    </sheetView>
  </sheetViews>
  <sheetFormatPr defaultRowHeight="15" x14ac:dyDescent="0.25"/>
  <sheetData>
    <row r="1" spans="1:2" x14ac:dyDescent="0.25">
      <c r="A1" t="s">
        <v>7</v>
      </c>
      <c r="B1">
        <v>120</v>
      </c>
    </row>
    <row r="2" spans="1:2" x14ac:dyDescent="0.25">
      <c r="A2" t="s">
        <v>8</v>
      </c>
      <c r="B2">
        <v>120</v>
      </c>
    </row>
    <row r="3" spans="1:2" x14ac:dyDescent="0.25">
      <c r="A3" t="s">
        <v>11</v>
      </c>
      <c r="B3">
        <v>105</v>
      </c>
    </row>
    <row r="4" spans="1:2" x14ac:dyDescent="0.25">
      <c r="A4" t="s">
        <v>12</v>
      </c>
      <c r="B4">
        <v>105</v>
      </c>
    </row>
    <row r="5" spans="1:2" x14ac:dyDescent="0.25">
      <c r="A5" t="s">
        <v>10</v>
      </c>
      <c r="B5">
        <v>90</v>
      </c>
    </row>
    <row r="6" spans="1:2" x14ac:dyDescent="0.25">
      <c r="A6" t="s">
        <v>13</v>
      </c>
      <c r="B6">
        <v>60</v>
      </c>
    </row>
    <row r="7" spans="1:2" x14ac:dyDescent="0.25">
      <c r="A7" t="s">
        <v>14</v>
      </c>
      <c r="B7">
        <v>60</v>
      </c>
    </row>
    <row r="11" spans="1:2" x14ac:dyDescent="0.25">
      <c r="A11" t="s">
        <v>7</v>
      </c>
      <c r="B11">
        <v>1</v>
      </c>
    </row>
    <row r="12" spans="1:2" x14ac:dyDescent="0.25">
      <c r="A12" t="s">
        <v>8</v>
      </c>
      <c r="B12">
        <v>2</v>
      </c>
    </row>
    <row r="13" spans="1:2" x14ac:dyDescent="0.25">
      <c r="A13" t="s">
        <v>11</v>
      </c>
      <c r="B13">
        <v>3</v>
      </c>
    </row>
    <row r="14" spans="1:2" x14ac:dyDescent="0.25">
      <c r="A14" t="s">
        <v>12</v>
      </c>
      <c r="B14">
        <v>4</v>
      </c>
    </row>
    <row r="15" spans="1:2" x14ac:dyDescent="0.25">
      <c r="A15" t="s">
        <v>10</v>
      </c>
      <c r="B15">
        <v>5</v>
      </c>
    </row>
    <row r="16" spans="1:2" x14ac:dyDescent="0.25">
      <c r="A16" t="s">
        <v>13</v>
      </c>
      <c r="B16">
        <v>6</v>
      </c>
    </row>
    <row r="17" spans="1:3" x14ac:dyDescent="0.25">
      <c r="A17" t="s">
        <v>14</v>
      </c>
      <c r="B17">
        <v>7</v>
      </c>
    </row>
    <row r="19" spans="1:3" x14ac:dyDescent="0.25">
      <c r="A19" t="s">
        <v>19</v>
      </c>
      <c r="B19" t="s">
        <v>40</v>
      </c>
    </row>
    <row r="20" spans="1:3" x14ac:dyDescent="0.25">
      <c r="A20" t="s">
        <v>18</v>
      </c>
      <c r="B20" t="s">
        <v>41</v>
      </c>
    </row>
    <row r="21" spans="1:3" x14ac:dyDescent="0.25">
      <c r="A21" t="s">
        <v>17</v>
      </c>
      <c r="B21" t="s">
        <v>42</v>
      </c>
    </row>
    <row r="22" spans="1:3" x14ac:dyDescent="0.25">
      <c r="A22" t="s">
        <v>16</v>
      </c>
      <c r="B22" t="s">
        <v>43</v>
      </c>
    </row>
    <row r="23" spans="1:3" x14ac:dyDescent="0.25">
      <c r="A23" t="s">
        <v>7</v>
      </c>
      <c r="B23" t="s">
        <v>44</v>
      </c>
    </row>
    <row r="24" spans="1:3" x14ac:dyDescent="0.25">
      <c r="A24" t="s">
        <v>8</v>
      </c>
      <c r="B24" t="s">
        <v>45</v>
      </c>
    </row>
    <row r="25" spans="1:3" x14ac:dyDescent="0.25">
      <c r="A25" t="s">
        <v>9</v>
      </c>
      <c r="B25" t="s">
        <v>46</v>
      </c>
    </row>
    <row r="26" spans="1:3" x14ac:dyDescent="0.25">
      <c r="A26" t="s">
        <v>15</v>
      </c>
      <c r="B26" t="s">
        <v>47</v>
      </c>
    </row>
    <row r="28" spans="1:3" x14ac:dyDescent="0.25">
      <c r="A28" t="s">
        <v>19</v>
      </c>
      <c r="B28">
        <v>6</v>
      </c>
      <c r="C28" t="s">
        <v>48</v>
      </c>
    </row>
    <row r="29" spans="1:3" x14ac:dyDescent="0.25">
      <c r="A29" t="s">
        <v>18</v>
      </c>
      <c r="B29">
        <v>6</v>
      </c>
      <c r="C29" t="s">
        <v>48</v>
      </c>
    </row>
    <row r="30" spans="1:3" x14ac:dyDescent="0.25">
      <c r="A30" t="s">
        <v>17</v>
      </c>
      <c r="B30">
        <v>3</v>
      </c>
      <c r="C30" t="s">
        <v>53</v>
      </c>
    </row>
    <row r="31" spans="1:3" x14ac:dyDescent="0.25">
      <c r="A31" t="s">
        <v>16</v>
      </c>
      <c r="B31">
        <v>4</v>
      </c>
      <c r="C31">
        <v>5</v>
      </c>
    </row>
    <row r="32" spans="1:3" x14ac:dyDescent="0.25">
      <c r="A32" t="s">
        <v>7</v>
      </c>
      <c r="B32">
        <v>1</v>
      </c>
      <c r="C32">
        <v>2</v>
      </c>
    </row>
    <row r="33" spans="1:3" x14ac:dyDescent="0.25">
      <c r="A33" t="s">
        <v>8</v>
      </c>
      <c r="B33">
        <v>2</v>
      </c>
      <c r="C33" t="s">
        <v>52</v>
      </c>
    </row>
    <row r="34" spans="1:3" x14ac:dyDescent="0.25">
      <c r="A34" t="s">
        <v>9</v>
      </c>
      <c r="B34">
        <v>2</v>
      </c>
      <c r="C34" t="s">
        <v>49</v>
      </c>
    </row>
    <row r="35" spans="1:3" x14ac:dyDescent="0.25">
      <c r="A35" t="s">
        <v>15</v>
      </c>
      <c r="B35">
        <v>5</v>
      </c>
      <c r="C35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2019-10-28T21:55:36Z</dcterms:modified>
</cp:coreProperties>
</file>