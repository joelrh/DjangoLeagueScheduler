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"/>
    </mc:Choice>
  </mc:AlternateContent>
  <xr:revisionPtr revIDLastSave="0" documentId="13_ncr:1_{55F7BB7B-CE10-4A79-B1EB-7D610B714B28}" xr6:coauthVersionLast="44" xr6:coauthVersionMax="44" xr10:uidLastSave="{00000000-0000-0000-0000-000000000000}"/>
  <bookViews>
    <workbookView xWindow="28680" yWindow="30" windowWidth="29040" windowHeight="17640" xr2:uid="{5CDA8E01-4421-4719-9944-95A6066B1E62}"/>
  </bookViews>
  <sheets>
    <sheet name="Schedule" sheetId="7" r:id="rId1"/>
    <sheet name="Dates" sheetId="9" r:id="rId2"/>
    <sheet name="Weeknights" sheetId="5" r:id="rId3"/>
    <sheet name="Friday Nights" sheetId="6" r:id="rId4"/>
    <sheet name="Sat" sheetId="1" r:id="rId5"/>
    <sheet name="Sat No CL" sheetId="3" r:id="rId6"/>
    <sheet name="Sat No ITB" sheetId="4" r:id="rId7"/>
    <sheet name="Sat No CL or ITB" sheetId="8" r:id="rId8"/>
    <sheet name="Tables" sheetId="2" r:id="rId9"/>
  </sheets>
  <definedNames>
    <definedName name="_xlnm._FilterDatabase" localSheetId="0" hidden="1">Schedule!$A$1:$I$698</definedName>
    <definedName name="field_id">Tables!$A$19:$B$26</definedName>
    <definedName name="FridayNights">'Friday Nights'!$A$2:$I$17</definedName>
    <definedName name="GameDays">Dates!$A$2:$B$62</definedName>
    <definedName name="GameDuration">Tables!$A$1:$B$7</definedName>
    <definedName name="generatedSchedule">Schedule!$A:$F</definedName>
    <definedName name="league_id">Tables!$A$11:$B$17</definedName>
    <definedName name="Sat">Sat!$A$2:$I$45</definedName>
    <definedName name="SatNoCL">'Sat No CL'!$A$2:$I$44</definedName>
    <definedName name="SatNoCLorITB">'Sat No CL or ITB'!$A$2:$I$41</definedName>
    <definedName name="SatNoITB">'Sat No ITB'!$A$2:$I$42</definedName>
    <definedName name="Weeknights">Weeknights!$A$2:$I$13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98" i="7" l="1"/>
  <c r="B698" i="7"/>
  <c r="F697" i="7"/>
  <c r="B697" i="7"/>
  <c r="F696" i="7"/>
  <c r="C696" i="7"/>
  <c r="B696" i="7"/>
  <c r="F695" i="7"/>
  <c r="C695" i="7"/>
  <c r="B695" i="7"/>
  <c r="F694" i="7"/>
  <c r="E694" i="7"/>
  <c r="E695" i="7" s="1"/>
  <c r="C694" i="7"/>
  <c r="B694" i="7"/>
  <c r="F693" i="7"/>
  <c r="B693" i="7"/>
  <c r="F692" i="7"/>
  <c r="B692" i="7"/>
  <c r="F691" i="7"/>
  <c r="C691" i="7"/>
  <c r="B691" i="7"/>
  <c r="F690" i="7"/>
  <c r="E690" i="7"/>
  <c r="E691" i="7" s="1"/>
  <c r="C690" i="7"/>
  <c r="B690" i="7"/>
  <c r="F689" i="7"/>
  <c r="E689" i="7"/>
  <c r="I689" i="7" s="1"/>
  <c r="C689" i="7"/>
  <c r="B689" i="7"/>
  <c r="F688" i="7"/>
  <c r="B688" i="7"/>
  <c r="F687" i="7"/>
  <c r="B687" i="7"/>
  <c r="F686" i="7"/>
  <c r="B686" i="7"/>
  <c r="F685" i="7"/>
  <c r="B685" i="7"/>
  <c r="F684" i="7"/>
  <c r="E684" i="7"/>
  <c r="E685" i="7" s="1"/>
  <c r="C684" i="7"/>
  <c r="B684" i="7"/>
  <c r="F683" i="7"/>
  <c r="C683" i="7"/>
  <c r="B683" i="7"/>
  <c r="F682" i="7"/>
  <c r="C682" i="7"/>
  <c r="B682" i="7"/>
  <c r="F681" i="7"/>
  <c r="C681" i="7"/>
  <c r="B681" i="7"/>
  <c r="F680" i="7"/>
  <c r="C680" i="7"/>
  <c r="B680" i="7"/>
  <c r="F679" i="7"/>
  <c r="C679" i="7"/>
  <c r="B679" i="7"/>
  <c r="I678" i="7"/>
  <c r="F678" i="7"/>
  <c r="E678" i="7"/>
  <c r="E679" i="7" s="1"/>
  <c r="C678" i="7"/>
  <c r="B678" i="7"/>
  <c r="F677" i="7"/>
  <c r="C677" i="7"/>
  <c r="B677" i="7"/>
  <c r="F676" i="7"/>
  <c r="C676" i="7"/>
  <c r="B676" i="7"/>
  <c r="F675" i="7"/>
  <c r="C675" i="7"/>
  <c r="B675" i="7"/>
  <c r="F674" i="7"/>
  <c r="C674" i="7"/>
  <c r="B674" i="7"/>
  <c r="F673" i="7"/>
  <c r="C673" i="7"/>
  <c r="B673" i="7"/>
  <c r="F672" i="7"/>
  <c r="C672" i="7"/>
  <c r="B672" i="7"/>
  <c r="F671" i="7"/>
  <c r="E671" i="7"/>
  <c r="I671" i="7" s="1"/>
  <c r="C671" i="7"/>
  <c r="B671" i="7"/>
  <c r="F670" i="7"/>
  <c r="C670" i="7"/>
  <c r="B670" i="7"/>
  <c r="F669" i="7"/>
  <c r="C669" i="7"/>
  <c r="B669" i="7"/>
  <c r="F668" i="7"/>
  <c r="C668" i="7"/>
  <c r="B668" i="7"/>
  <c r="F667" i="7"/>
  <c r="C667" i="7"/>
  <c r="B667" i="7"/>
  <c r="F666" i="7"/>
  <c r="C666" i="7"/>
  <c r="B666" i="7"/>
  <c r="I665" i="7"/>
  <c r="F665" i="7"/>
  <c r="E665" i="7"/>
  <c r="E666" i="7" s="1"/>
  <c r="C665" i="7"/>
  <c r="B665" i="7"/>
  <c r="F664" i="7"/>
  <c r="B664" i="7"/>
  <c r="F663" i="7"/>
  <c r="B663" i="7"/>
  <c r="F662" i="7"/>
  <c r="B662" i="7"/>
  <c r="F661" i="7"/>
  <c r="B661" i="7"/>
  <c r="F660" i="7"/>
  <c r="E660" i="7"/>
  <c r="E661" i="7" s="1"/>
  <c r="E662" i="7" s="1"/>
  <c r="B660" i="7"/>
  <c r="F659" i="7"/>
  <c r="C659" i="7"/>
  <c r="B659" i="7"/>
  <c r="F658" i="7"/>
  <c r="C658" i="7"/>
  <c r="B658" i="7"/>
  <c r="F657" i="7"/>
  <c r="C657" i="7"/>
  <c r="B657" i="7"/>
  <c r="F656" i="7"/>
  <c r="C656" i="7"/>
  <c r="B656" i="7"/>
  <c r="I655" i="7"/>
  <c r="F655" i="7"/>
  <c r="E656" i="7" s="1"/>
  <c r="C655" i="7"/>
  <c r="B655" i="7"/>
  <c r="A655" i="7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F654" i="7"/>
  <c r="C654" i="7"/>
  <c r="B654" i="7"/>
  <c r="F653" i="7"/>
  <c r="E653" i="7"/>
  <c r="I653" i="7" s="1"/>
  <c r="C653" i="7"/>
  <c r="B653" i="7"/>
  <c r="F652" i="7"/>
  <c r="C652" i="7"/>
  <c r="B652" i="7"/>
  <c r="F651" i="7"/>
  <c r="E651" i="7"/>
  <c r="I651" i="7" s="1"/>
  <c r="C651" i="7"/>
  <c r="B651" i="7"/>
  <c r="F650" i="7"/>
  <c r="C650" i="7"/>
  <c r="B650" i="7"/>
  <c r="F649" i="7"/>
  <c r="E649" i="7"/>
  <c r="E650" i="7" s="1"/>
  <c r="I650" i="7" s="1"/>
  <c r="C649" i="7"/>
  <c r="B649" i="7"/>
  <c r="F648" i="7"/>
  <c r="C648" i="7"/>
  <c r="B648" i="7"/>
  <c r="F647" i="7"/>
  <c r="E647" i="7"/>
  <c r="I647" i="7" s="1"/>
  <c r="C647" i="7"/>
  <c r="B647" i="7"/>
  <c r="F646" i="7"/>
  <c r="C646" i="7"/>
  <c r="B646" i="7"/>
  <c r="F645" i="7"/>
  <c r="E645" i="7"/>
  <c r="I645" i="7" s="1"/>
  <c r="C645" i="7"/>
  <c r="B645" i="7"/>
  <c r="F644" i="7"/>
  <c r="C644" i="7"/>
  <c r="B644" i="7"/>
  <c r="A644" i="7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I643" i="7"/>
  <c r="F643" i="7"/>
  <c r="E644" i="7" s="1"/>
  <c r="I644" i="7" s="1"/>
  <c r="C643" i="7"/>
  <c r="B643" i="7"/>
  <c r="A643" i="7"/>
  <c r="F642" i="7"/>
  <c r="B642" i="7"/>
  <c r="F641" i="7"/>
  <c r="B641" i="7"/>
  <c r="F640" i="7"/>
  <c r="C640" i="7"/>
  <c r="B640" i="7"/>
  <c r="F639" i="7"/>
  <c r="C639" i="7"/>
  <c r="B639" i="7"/>
  <c r="F638" i="7"/>
  <c r="E638" i="7"/>
  <c r="E639" i="7" s="1"/>
  <c r="C638" i="7"/>
  <c r="B638" i="7"/>
  <c r="F637" i="7"/>
  <c r="B637" i="7"/>
  <c r="F636" i="7"/>
  <c r="B636" i="7"/>
  <c r="F635" i="7"/>
  <c r="C635" i="7"/>
  <c r="B635" i="7"/>
  <c r="F634" i="7"/>
  <c r="E634" i="7"/>
  <c r="E635" i="7" s="1"/>
  <c r="C634" i="7"/>
  <c r="B634" i="7"/>
  <c r="F633" i="7"/>
  <c r="E633" i="7"/>
  <c r="I633" i="7" s="1"/>
  <c r="C633" i="7"/>
  <c r="B633" i="7"/>
  <c r="F632" i="7"/>
  <c r="B632" i="7"/>
  <c r="F631" i="7"/>
  <c r="B631" i="7"/>
  <c r="F630" i="7"/>
  <c r="B630" i="7"/>
  <c r="F629" i="7"/>
  <c r="B629" i="7"/>
  <c r="F628" i="7"/>
  <c r="E628" i="7"/>
  <c r="E629" i="7" s="1"/>
  <c r="C628" i="7"/>
  <c r="B628" i="7"/>
  <c r="F627" i="7"/>
  <c r="C627" i="7"/>
  <c r="B627" i="7"/>
  <c r="F626" i="7"/>
  <c r="C626" i="7"/>
  <c r="B626" i="7"/>
  <c r="F625" i="7"/>
  <c r="C625" i="7"/>
  <c r="B625" i="7"/>
  <c r="F624" i="7"/>
  <c r="C624" i="7"/>
  <c r="B624" i="7"/>
  <c r="F623" i="7"/>
  <c r="C623" i="7"/>
  <c r="B623" i="7"/>
  <c r="F622" i="7"/>
  <c r="E622" i="7"/>
  <c r="I622" i="7" s="1"/>
  <c r="C622" i="7"/>
  <c r="B622" i="7"/>
  <c r="F621" i="7"/>
  <c r="C621" i="7"/>
  <c r="B621" i="7"/>
  <c r="F620" i="7"/>
  <c r="C620" i="7"/>
  <c r="B620" i="7"/>
  <c r="F619" i="7"/>
  <c r="C619" i="7"/>
  <c r="B619" i="7"/>
  <c r="F618" i="7"/>
  <c r="C618" i="7"/>
  <c r="B618" i="7"/>
  <c r="F617" i="7"/>
  <c r="C617" i="7"/>
  <c r="B617" i="7"/>
  <c r="F616" i="7"/>
  <c r="E616" i="7"/>
  <c r="E617" i="7" s="1"/>
  <c r="C616" i="7"/>
  <c r="B616" i="7"/>
  <c r="F615" i="7"/>
  <c r="E615" i="7"/>
  <c r="I615" i="7" s="1"/>
  <c r="C615" i="7"/>
  <c r="B615" i="7"/>
  <c r="F614" i="7"/>
  <c r="C614" i="7"/>
  <c r="B614" i="7"/>
  <c r="F613" i="7"/>
  <c r="C613" i="7"/>
  <c r="B613" i="7"/>
  <c r="F612" i="7"/>
  <c r="C612" i="7"/>
  <c r="B612" i="7"/>
  <c r="F611" i="7"/>
  <c r="C611" i="7"/>
  <c r="B611" i="7"/>
  <c r="F610" i="7"/>
  <c r="C610" i="7"/>
  <c r="B610" i="7"/>
  <c r="F609" i="7"/>
  <c r="E609" i="7"/>
  <c r="E610" i="7" s="1"/>
  <c r="C609" i="7"/>
  <c r="B609" i="7"/>
  <c r="F608" i="7"/>
  <c r="B608" i="7"/>
  <c r="F607" i="7"/>
  <c r="B607" i="7"/>
  <c r="F606" i="7"/>
  <c r="B606" i="7"/>
  <c r="F605" i="7"/>
  <c r="B605" i="7"/>
  <c r="I604" i="7"/>
  <c r="F604" i="7"/>
  <c r="E604" i="7"/>
  <c r="E605" i="7" s="1"/>
  <c r="E606" i="7" s="1"/>
  <c r="B604" i="7"/>
  <c r="F603" i="7"/>
  <c r="C603" i="7"/>
  <c r="B603" i="7"/>
  <c r="F602" i="7"/>
  <c r="C602" i="7"/>
  <c r="B602" i="7"/>
  <c r="F601" i="7"/>
  <c r="C601" i="7"/>
  <c r="B601" i="7"/>
  <c r="F600" i="7"/>
  <c r="C600" i="7"/>
  <c r="B600" i="7"/>
  <c r="I599" i="7"/>
  <c r="F599" i="7"/>
  <c r="E600" i="7" s="1"/>
  <c r="C599" i="7"/>
  <c r="B599" i="7"/>
  <c r="A599" i="7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F598" i="7"/>
  <c r="C598" i="7"/>
  <c r="B598" i="7"/>
  <c r="F597" i="7"/>
  <c r="E597" i="7"/>
  <c r="E598" i="7" s="1"/>
  <c r="I598" i="7" s="1"/>
  <c r="C597" i="7"/>
  <c r="B597" i="7"/>
  <c r="F596" i="7"/>
  <c r="C596" i="7"/>
  <c r="B596" i="7"/>
  <c r="F595" i="7"/>
  <c r="E595" i="7"/>
  <c r="I595" i="7" s="1"/>
  <c r="C595" i="7"/>
  <c r="B595" i="7"/>
  <c r="F594" i="7"/>
  <c r="C594" i="7"/>
  <c r="B594" i="7"/>
  <c r="F593" i="7"/>
  <c r="E593" i="7"/>
  <c r="E594" i="7" s="1"/>
  <c r="I594" i="7" s="1"/>
  <c r="C593" i="7"/>
  <c r="B593" i="7"/>
  <c r="F592" i="7"/>
  <c r="C592" i="7"/>
  <c r="B592" i="7"/>
  <c r="F591" i="7"/>
  <c r="E591" i="7"/>
  <c r="I591" i="7" s="1"/>
  <c r="C591" i="7"/>
  <c r="B591" i="7"/>
  <c r="F590" i="7"/>
  <c r="C590" i="7"/>
  <c r="B590" i="7"/>
  <c r="F589" i="7"/>
  <c r="E589" i="7"/>
  <c r="E590" i="7" s="1"/>
  <c r="I590" i="7" s="1"/>
  <c r="C589" i="7"/>
  <c r="B589" i="7"/>
  <c r="F588" i="7"/>
  <c r="C588" i="7"/>
  <c r="B588" i="7"/>
  <c r="F587" i="7"/>
  <c r="E587" i="7"/>
  <c r="I587" i="7" s="1"/>
  <c r="C587" i="7"/>
  <c r="B587" i="7"/>
  <c r="F586" i="7"/>
  <c r="C586" i="7"/>
  <c r="B586" i="7"/>
  <c r="F585" i="7"/>
  <c r="E585" i="7"/>
  <c r="E586" i="7" s="1"/>
  <c r="I586" i="7" s="1"/>
  <c r="C585" i="7"/>
  <c r="B585" i="7"/>
  <c r="F584" i="7"/>
  <c r="E584" i="7"/>
  <c r="I584" i="7" s="1"/>
  <c r="C584" i="7"/>
  <c r="B584" i="7"/>
  <c r="I583" i="7"/>
  <c r="F583" i="7"/>
  <c r="C583" i="7"/>
  <c r="B583" i="7"/>
  <c r="A583" i="7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F582" i="7"/>
  <c r="C582" i="7"/>
  <c r="B582" i="7"/>
  <c r="F581" i="7"/>
  <c r="E581" i="7"/>
  <c r="E582" i="7" s="1"/>
  <c r="I582" i="7" s="1"/>
  <c r="C581" i="7"/>
  <c r="B581" i="7"/>
  <c r="F580" i="7"/>
  <c r="C580" i="7"/>
  <c r="B580" i="7"/>
  <c r="F579" i="7"/>
  <c r="E579" i="7"/>
  <c r="I579" i="7" s="1"/>
  <c r="C579" i="7"/>
  <c r="B579" i="7"/>
  <c r="F578" i="7"/>
  <c r="C578" i="7"/>
  <c r="B578" i="7"/>
  <c r="F577" i="7"/>
  <c r="E577" i="7"/>
  <c r="E578" i="7" s="1"/>
  <c r="I578" i="7" s="1"/>
  <c r="C577" i="7"/>
  <c r="B577" i="7"/>
  <c r="F576" i="7"/>
  <c r="C576" i="7"/>
  <c r="B576" i="7"/>
  <c r="F575" i="7"/>
  <c r="E575" i="7"/>
  <c r="I575" i="7" s="1"/>
  <c r="C575" i="7"/>
  <c r="B575" i="7"/>
  <c r="F574" i="7"/>
  <c r="C574" i="7"/>
  <c r="B574" i="7"/>
  <c r="F573" i="7"/>
  <c r="E573" i="7"/>
  <c r="E574" i="7" s="1"/>
  <c r="I574" i="7" s="1"/>
  <c r="C573" i="7"/>
  <c r="B573" i="7"/>
  <c r="F572" i="7"/>
  <c r="C572" i="7"/>
  <c r="B572" i="7"/>
  <c r="A572" i="7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I571" i="7"/>
  <c r="F571" i="7"/>
  <c r="E572" i="7" s="1"/>
  <c r="I572" i="7" s="1"/>
  <c r="C571" i="7"/>
  <c r="B571" i="7"/>
  <c r="A571" i="7"/>
  <c r="F570" i="7"/>
  <c r="B570" i="7"/>
  <c r="F569" i="7"/>
  <c r="B569" i="7"/>
  <c r="F568" i="7"/>
  <c r="C568" i="7"/>
  <c r="B568" i="7"/>
  <c r="F567" i="7"/>
  <c r="C567" i="7"/>
  <c r="B567" i="7"/>
  <c r="F566" i="7"/>
  <c r="E566" i="7"/>
  <c r="E567" i="7" s="1"/>
  <c r="C566" i="7"/>
  <c r="B566" i="7"/>
  <c r="F565" i="7"/>
  <c r="B565" i="7"/>
  <c r="F564" i="7"/>
  <c r="B564" i="7"/>
  <c r="F563" i="7"/>
  <c r="C563" i="7"/>
  <c r="B563" i="7"/>
  <c r="F562" i="7"/>
  <c r="E562" i="7"/>
  <c r="E563" i="7" s="1"/>
  <c r="C562" i="7"/>
  <c r="B562" i="7"/>
  <c r="F561" i="7"/>
  <c r="E561" i="7"/>
  <c r="I561" i="7" s="1"/>
  <c r="C561" i="7"/>
  <c r="B561" i="7"/>
  <c r="F560" i="7"/>
  <c r="B560" i="7"/>
  <c r="F559" i="7"/>
  <c r="B559" i="7"/>
  <c r="F558" i="7"/>
  <c r="B558" i="7"/>
  <c r="F557" i="7"/>
  <c r="B557" i="7"/>
  <c r="F556" i="7"/>
  <c r="E556" i="7"/>
  <c r="E557" i="7" s="1"/>
  <c r="C556" i="7"/>
  <c r="B556" i="7"/>
  <c r="F555" i="7"/>
  <c r="C555" i="7"/>
  <c r="B555" i="7"/>
  <c r="F554" i="7"/>
  <c r="C554" i="7"/>
  <c r="B554" i="7"/>
  <c r="F553" i="7"/>
  <c r="C553" i="7"/>
  <c r="B553" i="7"/>
  <c r="F552" i="7"/>
  <c r="C552" i="7"/>
  <c r="B552" i="7"/>
  <c r="F551" i="7"/>
  <c r="C551" i="7"/>
  <c r="B551" i="7"/>
  <c r="F550" i="7"/>
  <c r="E550" i="7"/>
  <c r="I550" i="7" s="1"/>
  <c r="C550" i="7"/>
  <c r="B550" i="7"/>
  <c r="F549" i="7"/>
  <c r="C549" i="7"/>
  <c r="B549" i="7"/>
  <c r="F548" i="7"/>
  <c r="C548" i="7"/>
  <c r="B548" i="7"/>
  <c r="F547" i="7"/>
  <c r="C547" i="7"/>
  <c r="B547" i="7"/>
  <c r="F546" i="7"/>
  <c r="C546" i="7"/>
  <c r="B546" i="7"/>
  <c r="F545" i="7"/>
  <c r="C545" i="7"/>
  <c r="B545" i="7"/>
  <c r="F544" i="7"/>
  <c r="C544" i="7"/>
  <c r="B544" i="7"/>
  <c r="F543" i="7"/>
  <c r="E543" i="7"/>
  <c r="I543" i="7" s="1"/>
  <c r="C543" i="7"/>
  <c r="B543" i="7"/>
  <c r="F542" i="7"/>
  <c r="C542" i="7"/>
  <c r="B542" i="7"/>
  <c r="F541" i="7"/>
  <c r="C541" i="7"/>
  <c r="B541" i="7"/>
  <c r="F540" i="7"/>
  <c r="C540" i="7"/>
  <c r="B540" i="7"/>
  <c r="F539" i="7"/>
  <c r="C539" i="7"/>
  <c r="B539" i="7"/>
  <c r="F538" i="7"/>
  <c r="C538" i="7"/>
  <c r="B538" i="7"/>
  <c r="F537" i="7"/>
  <c r="E537" i="7"/>
  <c r="E538" i="7" s="1"/>
  <c r="I538" i="7" s="1"/>
  <c r="C537" i="7"/>
  <c r="B537" i="7"/>
  <c r="F536" i="7"/>
  <c r="B536" i="7"/>
  <c r="F535" i="7"/>
  <c r="B535" i="7"/>
  <c r="F534" i="7"/>
  <c r="B534" i="7"/>
  <c r="F533" i="7"/>
  <c r="B533" i="7"/>
  <c r="F532" i="7"/>
  <c r="E532" i="7"/>
  <c r="I532" i="7" s="1"/>
  <c r="B532" i="7"/>
  <c r="F531" i="7"/>
  <c r="C531" i="7"/>
  <c r="B531" i="7"/>
  <c r="F530" i="7"/>
  <c r="C530" i="7"/>
  <c r="B530" i="7"/>
  <c r="F529" i="7"/>
  <c r="C529" i="7"/>
  <c r="B529" i="7"/>
  <c r="F528" i="7"/>
  <c r="C528" i="7"/>
  <c r="B528" i="7"/>
  <c r="I527" i="7"/>
  <c r="F527" i="7"/>
  <c r="E528" i="7" s="1"/>
  <c r="C527" i="7"/>
  <c r="B527" i="7"/>
  <c r="A527" i="7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F526" i="7"/>
  <c r="C526" i="7"/>
  <c r="B526" i="7"/>
  <c r="F525" i="7"/>
  <c r="E525" i="7"/>
  <c r="E526" i="7" s="1"/>
  <c r="I526" i="7" s="1"/>
  <c r="C525" i="7"/>
  <c r="B525" i="7"/>
  <c r="F524" i="7"/>
  <c r="C524" i="7"/>
  <c r="B524" i="7"/>
  <c r="F523" i="7"/>
  <c r="E523" i="7"/>
  <c r="I523" i="7" s="1"/>
  <c r="C523" i="7"/>
  <c r="B523" i="7"/>
  <c r="F522" i="7"/>
  <c r="C522" i="7"/>
  <c r="B522" i="7"/>
  <c r="F521" i="7"/>
  <c r="E521" i="7"/>
  <c r="E522" i="7" s="1"/>
  <c r="I522" i="7" s="1"/>
  <c r="C521" i="7"/>
  <c r="B521" i="7"/>
  <c r="F520" i="7"/>
  <c r="C520" i="7"/>
  <c r="B520" i="7"/>
  <c r="F519" i="7"/>
  <c r="E519" i="7"/>
  <c r="I519" i="7" s="1"/>
  <c r="C519" i="7"/>
  <c r="B519" i="7"/>
  <c r="F518" i="7"/>
  <c r="C518" i="7"/>
  <c r="B518" i="7"/>
  <c r="F517" i="7"/>
  <c r="E517" i="7"/>
  <c r="E518" i="7" s="1"/>
  <c r="I518" i="7" s="1"/>
  <c r="C517" i="7"/>
  <c r="B517" i="7"/>
  <c r="F516" i="7"/>
  <c r="C516" i="7"/>
  <c r="B516" i="7"/>
  <c r="F515" i="7"/>
  <c r="E515" i="7"/>
  <c r="I515" i="7" s="1"/>
  <c r="C515" i="7"/>
  <c r="B515" i="7"/>
  <c r="F514" i="7"/>
  <c r="C514" i="7"/>
  <c r="B514" i="7"/>
  <c r="F513" i="7"/>
  <c r="E513" i="7"/>
  <c r="E514" i="7" s="1"/>
  <c r="I514" i="7" s="1"/>
  <c r="C513" i="7"/>
  <c r="B513" i="7"/>
  <c r="F512" i="7"/>
  <c r="E512" i="7"/>
  <c r="I512" i="7" s="1"/>
  <c r="C512" i="7"/>
  <c r="B512" i="7"/>
  <c r="I511" i="7"/>
  <c r="F511" i="7"/>
  <c r="C511" i="7"/>
  <c r="B511" i="7"/>
  <c r="A511" i="7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F510" i="7"/>
  <c r="C510" i="7"/>
  <c r="B510" i="7"/>
  <c r="F509" i="7"/>
  <c r="E509" i="7"/>
  <c r="E510" i="7" s="1"/>
  <c r="I510" i="7" s="1"/>
  <c r="C509" i="7"/>
  <c r="B509" i="7"/>
  <c r="F508" i="7"/>
  <c r="C508" i="7"/>
  <c r="B508" i="7"/>
  <c r="F507" i="7"/>
  <c r="E507" i="7"/>
  <c r="E508" i="7" s="1"/>
  <c r="I508" i="7" s="1"/>
  <c r="C507" i="7"/>
  <c r="B507" i="7"/>
  <c r="F506" i="7"/>
  <c r="E506" i="7"/>
  <c r="I506" i="7" s="1"/>
  <c r="C506" i="7"/>
  <c r="B506" i="7"/>
  <c r="I505" i="7"/>
  <c r="F505" i="7"/>
  <c r="E505" i="7"/>
  <c r="C505" i="7"/>
  <c r="B505" i="7"/>
  <c r="F504" i="7"/>
  <c r="C504" i="7"/>
  <c r="B504" i="7"/>
  <c r="F503" i="7"/>
  <c r="E503" i="7"/>
  <c r="E504" i="7" s="1"/>
  <c r="I504" i="7" s="1"/>
  <c r="C503" i="7"/>
  <c r="B503" i="7"/>
  <c r="F502" i="7"/>
  <c r="E502" i="7"/>
  <c r="I502" i="7" s="1"/>
  <c r="C502" i="7"/>
  <c r="B502" i="7"/>
  <c r="F501" i="7"/>
  <c r="E501" i="7"/>
  <c r="I501" i="7" s="1"/>
  <c r="C501" i="7"/>
  <c r="B501" i="7"/>
  <c r="F500" i="7"/>
  <c r="E500" i="7"/>
  <c r="I500" i="7" s="1"/>
  <c r="C500" i="7"/>
  <c r="B500" i="7"/>
  <c r="I499" i="7"/>
  <c r="F499" i="7"/>
  <c r="C499" i="7"/>
  <c r="B499" i="7"/>
  <c r="A499" i="7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F498" i="7"/>
  <c r="B498" i="7"/>
  <c r="F497" i="7"/>
  <c r="B497" i="7"/>
  <c r="F496" i="7"/>
  <c r="C496" i="7"/>
  <c r="B496" i="7"/>
  <c r="F495" i="7"/>
  <c r="C495" i="7"/>
  <c r="B495" i="7"/>
  <c r="F494" i="7"/>
  <c r="E494" i="7"/>
  <c r="E495" i="7" s="1"/>
  <c r="C494" i="7"/>
  <c r="B494" i="7"/>
  <c r="F493" i="7"/>
  <c r="B493" i="7"/>
  <c r="F492" i="7"/>
  <c r="B492" i="7"/>
  <c r="F491" i="7"/>
  <c r="C491" i="7"/>
  <c r="B491" i="7"/>
  <c r="F490" i="7"/>
  <c r="E490" i="7"/>
  <c r="E491" i="7" s="1"/>
  <c r="C490" i="7"/>
  <c r="B490" i="7"/>
  <c r="F489" i="7"/>
  <c r="E489" i="7"/>
  <c r="I489" i="7" s="1"/>
  <c r="C489" i="7"/>
  <c r="B489" i="7"/>
  <c r="F488" i="7"/>
  <c r="B488" i="7"/>
  <c r="F487" i="7"/>
  <c r="B487" i="7"/>
  <c r="F486" i="7"/>
  <c r="B486" i="7"/>
  <c r="F485" i="7"/>
  <c r="B485" i="7"/>
  <c r="F484" i="7"/>
  <c r="E484" i="7"/>
  <c r="E485" i="7" s="1"/>
  <c r="C484" i="7"/>
  <c r="B484" i="7"/>
  <c r="F483" i="7"/>
  <c r="C483" i="7"/>
  <c r="B483" i="7"/>
  <c r="F482" i="7"/>
  <c r="C482" i="7"/>
  <c r="B482" i="7"/>
  <c r="F481" i="7"/>
  <c r="C481" i="7"/>
  <c r="B481" i="7"/>
  <c r="F480" i="7"/>
  <c r="C480" i="7"/>
  <c r="B480" i="7"/>
  <c r="F479" i="7"/>
  <c r="C479" i="7"/>
  <c r="B479" i="7"/>
  <c r="F478" i="7"/>
  <c r="E478" i="7"/>
  <c r="I478" i="7" s="1"/>
  <c r="C478" i="7"/>
  <c r="B478" i="7"/>
  <c r="F477" i="7"/>
  <c r="C477" i="7"/>
  <c r="B477" i="7"/>
  <c r="F476" i="7"/>
  <c r="C476" i="7"/>
  <c r="B476" i="7"/>
  <c r="F475" i="7"/>
  <c r="C475" i="7"/>
  <c r="B475" i="7"/>
  <c r="F474" i="7"/>
  <c r="C474" i="7"/>
  <c r="B474" i="7"/>
  <c r="F473" i="7"/>
  <c r="C473" i="7"/>
  <c r="B473" i="7"/>
  <c r="F472" i="7"/>
  <c r="E472" i="7"/>
  <c r="E473" i="7" s="1"/>
  <c r="C472" i="7"/>
  <c r="B472" i="7"/>
  <c r="F471" i="7"/>
  <c r="E471" i="7"/>
  <c r="I471" i="7" s="1"/>
  <c r="C471" i="7"/>
  <c r="B471" i="7"/>
  <c r="F470" i="7"/>
  <c r="C470" i="7"/>
  <c r="B470" i="7"/>
  <c r="F469" i="7"/>
  <c r="C469" i="7"/>
  <c r="B469" i="7"/>
  <c r="F468" i="7"/>
  <c r="C468" i="7"/>
  <c r="B468" i="7"/>
  <c r="F467" i="7"/>
  <c r="C467" i="7"/>
  <c r="B467" i="7"/>
  <c r="F466" i="7"/>
  <c r="C466" i="7"/>
  <c r="B466" i="7"/>
  <c r="F465" i="7"/>
  <c r="E465" i="7"/>
  <c r="E466" i="7" s="1"/>
  <c r="C465" i="7"/>
  <c r="B465" i="7"/>
  <c r="F464" i="7"/>
  <c r="B464" i="7"/>
  <c r="F463" i="7"/>
  <c r="B463" i="7"/>
  <c r="F462" i="7"/>
  <c r="B462" i="7"/>
  <c r="F461" i="7"/>
  <c r="B461" i="7"/>
  <c r="I460" i="7"/>
  <c r="F460" i="7"/>
  <c r="E460" i="7"/>
  <c r="E461" i="7" s="1"/>
  <c r="E462" i="7" s="1"/>
  <c r="B460" i="7"/>
  <c r="F459" i="7"/>
  <c r="C459" i="7"/>
  <c r="B459" i="7"/>
  <c r="F458" i="7"/>
  <c r="C458" i="7"/>
  <c r="B458" i="7"/>
  <c r="F457" i="7"/>
  <c r="C457" i="7"/>
  <c r="B457" i="7"/>
  <c r="F456" i="7"/>
  <c r="C456" i="7"/>
  <c r="B456" i="7"/>
  <c r="I455" i="7"/>
  <c r="F455" i="7"/>
  <c r="E456" i="7" s="1"/>
  <c r="C455" i="7"/>
  <c r="B455" i="7"/>
  <c r="A455" i="7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F454" i="7"/>
  <c r="C454" i="7"/>
  <c r="B454" i="7"/>
  <c r="F453" i="7"/>
  <c r="E453" i="7"/>
  <c r="I453" i="7" s="1"/>
  <c r="C453" i="7"/>
  <c r="B453" i="7"/>
  <c r="F452" i="7"/>
  <c r="C452" i="7"/>
  <c r="B452" i="7"/>
  <c r="F451" i="7"/>
  <c r="E451" i="7"/>
  <c r="I451" i="7" s="1"/>
  <c r="C451" i="7"/>
  <c r="B451" i="7"/>
  <c r="F450" i="7"/>
  <c r="C450" i="7"/>
  <c r="B450" i="7"/>
  <c r="F449" i="7"/>
  <c r="E449" i="7"/>
  <c r="E450" i="7" s="1"/>
  <c r="I450" i="7" s="1"/>
  <c r="C449" i="7"/>
  <c r="B449" i="7"/>
  <c r="F448" i="7"/>
  <c r="C448" i="7"/>
  <c r="B448" i="7"/>
  <c r="F447" i="7"/>
  <c r="E447" i="7"/>
  <c r="I447" i="7" s="1"/>
  <c r="C447" i="7"/>
  <c r="B447" i="7"/>
  <c r="F446" i="7"/>
  <c r="C446" i="7"/>
  <c r="B446" i="7"/>
  <c r="F445" i="7"/>
  <c r="E445" i="7"/>
  <c r="E446" i="7" s="1"/>
  <c r="I446" i="7" s="1"/>
  <c r="C445" i="7"/>
  <c r="B445" i="7"/>
  <c r="F444" i="7"/>
  <c r="C444" i="7"/>
  <c r="B444" i="7"/>
  <c r="F443" i="7"/>
  <c r="E443" i="7"/>
  <c r="I443" i="7" s="1"/>
  <c r="C443" i="7"/>
  <c r="B443" i="7"/>
  <c r="F442" i="7"/>
  <c r="C442" i="7"/>
  <c r="B442" i="7"/>
  <c r="F441" i="7"/>
  <c r="E441" i="7"/>
  <c r="E442" i="7" s="1"/>
  <c r="I442" i="7" s="1"/>
  <c r="C441" i="7"/>
  <c r="B441" i="7"/>
  <c r="F440" i="7"/>
  <c r="E440" i="7"/>
  <c r="I440" i="7" s="1"/>
  <c r="C440" i="7"/>
  <c r="B440" i="7"/>
  <c r="I439" i="7"/>
  <c r="F439" i="7"/>
  <c r="C439" i="7"/>
  <c r="B439" i="7"/>
  <c r="A439" i="7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F438" i="7"/>
  <c r="C438" i="7"/>
  <c r="B438" i="7"/>
  <c r="F437" i="7"/>
  <c r="E437" i="7"/>
  <c r="I437" i="7" s="1"/>
  <c r="C437" i="7"/>
  <c r="B437" i="7"/>
  <c r="F436" i="7"/>
  <c r="C436" i="7"/>
  <c r="B436" i="7"/>
  <c r="F435" i="7"/>
  <c r="E435" i="7"/>
  <c r="I435" i="7" s="1"/>
  <c r="C435" i="7"/>
  <c r="B435" i="7"/>
  <c r="F434" i="7"/>
  <c r="C434" i="7"/>
  <c r="B434" i="7"/>
  <c r="F433" i="7"/>
  <c r="E433" i="7"/>
  <c r="E434" i="7" s="1"/>
  <c r="I434" i="7" s="1"/>
  <c r="C433" i="7"/>
  <c r="B433" i="7"/>
  <c r="F432" i="7"/>
  <c r="C432" i="7"/>
  <c r="B432" i="7"/>
  <c r="F431" i="7"/>
  <c r="E431" i="7"/>
  <c r="I431" i="7" s="1"/>
  <c r="C431" i="7"/>
  <c r="B431" i="7"/>
  <c r="F430" i="7"/>
  <c r="C430" i="7"/>
  <c r="B430" i="7"/>
  <c r="F429" i="7"/>
  <c r="E429" i="7"/>
  <c r="E430" i="7" s="1"/>
  <c r="I430" i="7" s="1"/>
  <c r="C429" i="7"/>
  <c r="B429" i="7"/>
  <c r="F428" i="7"/>
  <c r="E428" i="7"/>
  <c r="I428" i="7" s="1"/>
  <c r="C428" i="7"/>
  <c r="B428" i="7"/>
  <c r="I427" i="7"/>
  <c r="F427" i="7"/>
  <c r="C427" i="7"/>
  <c r="B427" i="7"/>
  <c r="A427" i="7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F426" i="7"/>
  <c r="B426" i="7"/>
  <c r="F425" i="7"/>
  <c r="B425" i="7"/>
  <c r="F424" i="7"/>
  <c r="C424" i="7"/>
  <c r="B424" i="7"/>
  <c r="F423" i="7"/>
  <c r="C423" i="7"/>
  <c r="B423" i="7"/>
  <c r="F422" i="7"/>
  <c r="E422" i="7"/>
  <c r="E423" i="7" s="1"/>
  <c r="C422" i="7"/>
  <c r="B422" i="7"/>
  <c r="F421" i="7"/>
  <c r="B421" i="7"/>
  <c r="F420" i="7"/>
  <c r="B420" i="7"/>
  <c r="F419" i="7"/>
  <c r="C419" i="7"/>
  <c r="B419" i="7"/>
  <c r="F418" i="7"/>
  <c r="E418" i="7"/>
  <c r="E419" i="7" s="1"/>
  <c r="C418" i="7"/>
  <c r="B418" i="7"/>
  <c r="F417" i="7"/>
  <c r="E417" i="7"/>
  <c r="I417" i="7" s="1"/>
  <c r="C417" i="7"/>
  <c r="B417" i="7"/>
  <c r="F416" i="7"/>
  <c r="B416" i="7"/>
  <c r="F415" i="7"/>
  <c r="B415" i="7"/>
  <c r="F414" i="7"/>
  <c r="B414" i="7"/>
  <c r="F413" i="7"/>
  <c r="B413" i="7"/>
  <c r="F412" i="7"/>
  <c r="E412" i="7"/>
  <c r="E413" i="7" s="1"/>
  <c r="C412" i="7"/>
  <c r="B412" i="7"/>
  <c r="F411" i="7"/>
  <c r="C411" i="7"/>
  <c r="B411" i="7"/>
  <c r="F410" i="7"/>
  <c r="C410" i="7"/>
  <c r="B410" i="7"/>
  <c r="F409" i="7"/>
  <c r="C409" i="7"/>
  <c r="B409" i="7"/>
  <c r="F408" i="7"/>
  <c r="C408" i="7"/>
  <c r="B408" i="7"/>
  <c r="F407" i="7"/>
  <c r="C407" i="7"/>
  <c r="B407" i="7"/>
  <c r="F406" i="7"/>
  <c r="E406" i="7"/>
  <c r="I406" i="7" s="1"/>
  <c r="C406" i="7"/>
  <c r="B406" i="7"/>
  <c r="F405" i="7"/>
  <c r="C405" i="7"/>
  <c r="B405" i="7"/>
  <c r="F404" i="7"/>
  <c r="C404" i="7"/>
  <c r="B404" i="7"/>
  <c r="F403" i="7"/>
  <c r="C403" i="7"/>
  <c r="B403" i="7"/>
  <c r="F402" i="7"/>
  <c r="C402" i="7"/>
  <c r="B402" i="7"/>
  <c r="F401" i="7"/>
  <c r="C401" i="7"/>
  <c r="B401" i="7"/>
  <c r="F400" i="7"/>
  <c r="E400" i="7"/>
  <c r="E401" i="7" s="1"/>
  <c r="C400" i="7"/>
  <c r="B400" i="7"/>
  <c r="F399" i="7"/>
  <c r="E399" i="7"/>
  <c r="I399" i="7" s="1"/>
  <c r="C399" i="7"/>
  <c r="B399" i="7"/>
  <c r="F398" i="7"/>
  <c r="C398" i="7"/>
  <c r="B398" i="7"/>
  <c r="F397" i="7"/>
  <c r="C397" i="7"/>
  <c r="B397" i="7"/>
  <c r="F396" i="7"/>
  <c r="C396" i="7"/>
  <c r="B396" i="7"/>
  <c r="F395" i="7"/>
  <c r="C395" i="7"/>
  <c r="B395" i="7"/>
  <c r="F394" i="7"/>
  <c r="C394" i="7"/>
  <c r="B394" i="7"/>
  <c r="F393" i="7"/>
  <c r="E393" i="7"/>
  <c r="E394" i="7" s="1"/>
  <c r="C393" i="7"/>
  <c r="B393" i="7"/>
  <c r="F392" i="7"/>
  <c r="B392" i="7"/>
  <c r="F391" i="7"/>
  <c r="B391" i="7"/>
  <c r="F390" i="7"/>
  <c r="B390" i="7"/>
  <c r="F389" i="7"/>
  <c r="B389" i="7"/>
  <c r="F388" i="7"/>
  <c r="E388" i="7"/>
  <c r="I388" i="7" s="1"/>
  <c r="B388" i="7"/>
  <c r="F387" i="7"/>
  <c r="C387" i="7"/>
  <c r="B387" i="7"/>
  <c r="F386" i="7"/>
  <c r="C386" i="7"/>
  <c r="B386" i="7"/>
  <c r="F385" i="7"/>
  <c r="C385" i="7"/>
  <c r="B385" i="7"/>
  <c r="F384" i="7"/>
  <c r="E384" i="7"/>
  <c r="E385" i="7" s="1"/>
  <c r="C384" i="7"/>
  <c r="B384" i="7"/>
  <c r="I383" i="7"/>
  <c r="F383" i="7"/>
  <c r="C383" i="7"/>
  <c r="B383" i="7"/>
  <c r="A383" i="7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F382" i="7"/>
  <c r="C382" i="7"/>
  <c r="B382" i="7"/>
  <c r="F381" i="7"/>
  <c r="E381" i="7"/>
  <c r="I381" i="7" s="1"/>
  <c r="C381" i="7"/>
  <c r="B381" i="7"/>
  <c r="F380" i="7"/>
  <c r="C380" i="7"/>
  <c r="B380" i="7"/>
  <c r="F379" i="7"/>
  <c r="E379" i="7"/>
  <c r="I379" i="7" s="1"/>
  <c r="C379" i="7"/>
  <c r="B379" i="7"/>
  <c r="F378" i="7"/>
  <c r="C378" i="7"/>
  <c r="B378" i="7"/>
  <c r="F377" i="7"/>
  <c r="E377" i="7"/>
  <c r="E378" i="7" s="1"/>
  <c r="I378" i="7" s="1"/>
  <c r="C377" i="7"/>
  <c r="B377" i="7"/>
  <c r="F376" i="7"/>
  <c r="C376" i="7"/>
  <c r="B376" i="7"/>
  <c r="F375" i="7"/>
  <c r="E375" i="7"/>
  <c r="E376" i="7" s="1"/>
  <c r="I376" i="7" s="1"/>
  <c r="C375" i="7"/>
  <c r="B375" i="7"/>
  <c r="F374" i="7"/>
  <c r="C374" i="7"/>
  <c r="B374" i="7"/>
  <c r="I373" i="7"/>
  <c r="F373" i="7"/>
  <c r="E373" i="7"/>
  <c r="E374" i="7" s="1"/>
  <c r="I374" i="7" s="1"/>
  <c r="C373" i="7"/>
  <c r="B373" i="7"/>
  <c r="F372" i="7"/>
  <c r="E372" i="7"/>
  <c r="I372" i="7" s="1"/>
  <c r="C372" i="7"/>
  <c r="B372" i="7"/>
  <c r="I371" i="7"/>
  <c r="F371" i="7"/>
  <c r="E371" i="7"/>
  <c r="C371" i="7"/>
  <c r="B371" i="7"/>
  <c r="F370" i="7"/>
  <c r="E370" i="7"/>
  <c r="I370" i="7" s="1"/>
  <c r="C370" i="7"/>
  <c r="B370" i="7"/>
  <c r="I369" i="7"/>
  <c r="F369" i="7"/>
  <c r="E369" i="7"/>
  <c r="C369" i="7"/>
  <c r="B369" i="7"/>
  <c r="F368" i="7"/>
  <c r="E368" i="7"/>
  <c r="I368" i="7" s="1"/>
  <c r="C368" i="7"/>
  <c r="B368" i="7"/>
  <c r="I367" i="7"/>
  <c r="F367" i="7"/>
  <c r="C367" i="7"/>
  <c r="B367" i="7"/>
  <c r="A367" i="7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F366" i="7"/>
  <c r="C366" i="7"/>
  <c r="B366" i="7"/>
  <c r="F365" i="7"/>
  <c r="E365" i="7"/>
  <c r="E366" i="7" s="1"/>
  <c r="I366" i="7" s="1"/>
  <c r="C365" i="7"/>
  <c r="B365" i="7"/>
  <c r="F364" i="7"/>
  <c r="C364" i="7"/>
  <c r="B364" i="7"/>
  <c r="F363" i="7"/>
  <c r="E363" i="7"/>
  <c r="I363" i="7" s="1"/>
  <c r="C363" i="7"/>
  <c r="B363" i="7"/>
  <c r="F362" i="7"/>
  <c r="C362" i="7"/>
  <c r="B362" i="7"/>
  <c r="F361" i="7"/>
  <c r="E361" i="7"/>
  <c r="E362" i="7" s="1"/>
  <c r="I362" i="7" s="1"/>
  <c r="C361" i="7"/>
  <c r="B361" i="7"/>
  <c r="F360" i="7"/>
  <c r="C360" i="7"/>
  <c r="B360" i="7"/>
  <c r="F359" i="7"/>
  <c r="E359" i="7"/>
  <c r="I359" i="7" s="1"/>
  <c r="C359" i="7"/>
  <c r="B359" i="7"/>
  <c r="F358" i="7"/>
  <c r="C358" i="7"/>
  <c r="B358" i="7"/>
  <c r="F357" i="7"/>
  <c r="E357" i="7"/>
  <c r="E358" i="7" s="1"/>
  <c r="I358" i="7" s="1"/>
  <c r="C357" i="7"/>
  <c r="B357" i="7"/>
  <c r="A357" i="7"/>
  <c r="A358" i="7" s="1"/>
  <c r="A359" i="7" s="1"/>
  <c r="A360" i="7" s="1"/>
  <c r="A361" i="7" s="1"/>
  <c r="A362" i="7" s="1"/>
  <c r="A363" i="7" s="1"/>
  <c r="A364" i="7" s="1"/>
  <c r="A365" i="7" s="1"/>
  <c r="A366" i="7" s="1"/>
  <c r="F356" i="7"/>
  <c r="C356" i="7"/>
  <c r="B356" i="7"/>
  <c r="A356" i="7"/>
  <c r="I355" i="7"/>
  <c r="F355" i="7"/>
  <c r="E356" i="7" s="1"/>
  <c r="I356" i="7" s="1"/>
  <c r="C355" i="7"/>
  <c r="B355" i="7"/>
  <c r="A355" i="7"/>
  <c r="F354" i="7"/>
  <c r="C354" i="7"/>
  <c r="B354" i="7"/>
  <c r="F353" i="7"/>
  <c r="E353" i="7"/>
  <c r="E354" i="7" s="1"/>
  <c r="I354" i="7" s="1"/>
  <c r="C353" i="7"/>
  <c r="B353" i="7"/>
  <c r="F352" i="7"/>
  <c r="C352" i="7"/>
  <c r="B352" i="7"/>
  <c r="F351" i="7"/>
  <c r="E351" i="7"/>
  <c r="I351" i="7" s="1"/>
  <c r="C351" i="7"/>
  <c r="B351" i="7"/>
  <c r="F350" i="7"/>
  <c r="C350" i="7"/>
  <c r="B350" i="7"/>
  <c r="F349" i="7"/>
  <c r="E349" i="7"/>
  <c r="E350" i="7" s="1"/>
  <c r="I350" i="7" s="1"/>
  <c r="C349" i="7"/>
  <c r="B349" i="7"/>
  <c r="F348" i="7"/>
  <c r="C348" i="7"/>
  <c r="B348" i="7"/>
  <c r="F347" i="7"/>
  <c r="E347" i="7"/>
  <c r="I347" i="7" s="1"/>
  <c r="C347" i="7"/>
  <c r="B347" i="7"/>
  <c r="F346" i="7"/>
  <c r="C346" i="7"/>
  <c r="B346" i="7"/>
  <c r="F345" i="7"/>
  <c r="E345" i="7"/>
  <c r="E346" i="7" s="1"/>
  <c r="I346" i="7" s="1"/>
  <c r="C345" i="7"/>
  <c r="B345" i="7"/>
  <c r="F344" i="7"/>
  <c r="E344" i="7"/>
  <c r="I344" i="7" s="1"/>
  <c r="C344" i="7"/>
  <c r="B344" i="7"/>
  <c r="I343" i="7"/>
  <c r="F343" i="7"/>
  <c r="C343" i="7"/>
  <c r="B343" i="7"/>
  <c r="A343" i="7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F342" i="7"/>
  <c r="B342" i="7"/>
  <c r="F341" i="7"/>
  <c r="B341" i="7"/>
  <c r="F340" i="7"/>
  <c r="C340" i="7"/>
  <c r="B340" i="7"/>
  <c r="F339" i="7"/>
  <c r="C339" i="7"/>
  <c r="B339" i="7"/>
  <c r="F338" i="7"/>
  <c r="E338" i="7"/>
  <c r="E339" i="7" s="1"/>
  <c r="C338" i="7"/>
  <c r="B338" i="7"/>
  <c r="F337" i="7"/>
  <c r="B337" i="7"/>
  <c r="F336" i="7"/>
  <c r="B336" i="7"/>
  <c r="F335" i="7"/>
  <c r="C335" i="7"/>
  <c r="B335" i="7"/>
  <c r="F334" i="7"/>
  <c r="C334" i="7"/>
  <c r="B334" i="7"/>
  <c r="F333" i="7"/>
  <c r="E333" i="7"/>
  <c r="E334" i="7" s="1"/>
  <c r="C333" i="7"/>
  <c r="B333" i="7"/>
  <c r="F332" i="7"/>
  <c r="B332" i="7"/>
  <c r="F331" i="7"/>
  <c r="B331" i="7"/>
  <c r="F330" i="7"/>
  <c r="B330" i="7"/>
  <c r="F329" i="7"/>
  <c r="B329" i="7"/>
  <c r="F328" i="7"/>
  <c r="E328" i="7"/>
  <c r="E329" i="7" s="1"/>
  <c r="C328" i="7"/>
  <c r="B328" i="7"/>
  <c r="F327" i="7"/>
  <c r="C327" i="7"/>
  <c r="B327" i="7"/>
  <c r="F326" i="7"/>
  <c r="C326" i="7"/>
  <c r="B326" i="7"/>
  <c r="F325" i="7"/>
  <c r="C325" i="7"/>
  <c r="B325" i="7"/>
  <c r="F324" i="7"/>
  <c r="C324" i="7"/>
  <c r="B324" i="7"/>
  <c r="F323" i="7"/>
  <c r="C323" i="7"/>
  <c r="B323" i="7"/>
  <c r="F322" i="7"/>
  <c r="E322" i="7"/>
  <c r="I322" i="7" s="1"/>
  <c r="C322" i="7"/>
  <c r="B322" i="7"/>
  <c r="F321" i="7"/>
  <c r="C321" i="7"/>
  <c r="B321" i="7"/>
  <c r="F320" i="7"/>
  <c r="C320" i="7"/>
  <c r="B320" i="7"/>
  <c r="F319" i="7"/>
  <c r="C319" i="7"/>
  <c r="B319" i="7"/>
  <c r="F318" i="7"/>
  <c r="C318" i="7"/>
  <c r="B318" i="7"/>
  <c r="F317" i="7"/>
  <c r="C317" i="7"/>
  <c r="B317" i="7"/>
  <c r="F316" i="7"/>
  <c r="C316" i="7"/>
  <c r="B316" i="7"/>
  <c r="I315" i="7"/>
  <c r="F315" i="7"/>
  <c r="E316" i="7" s="1"/>
  <c r="E315" i="7"/>
  <c r="C315" i="7"/>
  <c r="B315" i="7"/>
  <c r="F314" i="7"/>
  <c r="C314" i="7"/>
  <c r="B314" i="7"/>
  <c r="F313" i="7"/>
  <c r="C313" i="7"/>
  <c r="B313" i="7"/>
  <c r="F312" i="7"/>
  <c r="C312" i="7"/>
  <c r="B312" i="7"/>
  <c r="F311" i="7"/>
  <c r="C311" i="7"/>
  <c r="B311" i="7"/>
  <c r="F310" i="7"/>
  <c r="C310" i="7"/>
  <c r="B310" i="7"/>
  <c r="F309" i="7"/>
  <c r="E309" i="7"/>
  <c r="I309" i="7" s="1"/>
  <c r="C309" i="7"/>
  <c r="B309" i="7"/>
  <c r="F308" i="7"/>
  <c r="B308" i="7"/>
  <c r="F307" i="7"/>
  <c r="B307" i="7"/>
  <c r="F306" i="7"/>
  <c r="B306" i="7"/>
  <c r="F305" i="7"/>
  <c r="B305" i="7"/>
  <c r="F304" i="7"/>
  <c r="E304" i="7"/>
  <c r="I304" i="7" s="1"/>
  <c r="B304" i="7"/>
  <c r="F303" i="7"/>
  <c r="C303" i="7"/>
  <c r="B303" i="7"/>
  <c r="F302" i="7"/>
  <c r="C302" i="7"/>
  <c r="B302" i="7"/>
  <c r="F301" i="7"/>
  <c r="C301" i="7"/>
  <c r="B301" i="7"/>
  <c r="F300" i="7"/>
  <c r="E300" i="7"/>
  <c r="E301" i="7" s="1"/>
  <c r="I301" i="7" s="1"/>
  <c r="C300" i="7"/>
  <c r="B300" i="7"/>
  <c r="I299" i="7"/>
  <c r="F299" i="7"/>
  <c r="C299" i="7"/>
  <c r="B299" i="7"/>
  <c r="A299" i="7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F298" i="7"/>
  <c r="C298" i="7"/>
  <c r="B298" i="7"/>
  <c r="F297" i="7"/>
  <c r="E297" i="7"/>
  <c r="E298" i="7" s="1"/>
  <c r="I298" i="7" s="1"/>
  <c r="C297" i="7"/>
  <c r="B297" i="7"/>
  <c r="F296" i="7"/>
  <c r="C296" i="7"/>
  <c r="B296" i="7"/>
  <c r="F295" i="7"/>
  <c r="E295" i="7"/>
  <c r="I295" i="7" s="1"/>
  <c r="C295" i="7"/>
  <c r="B295" i="7"/>
  <c r="F294" i="7"/>
  <c r="C294" i="7"/>
  <c r="B294" i="7"/>
  <c r="F293" i="7"/>
  <c r="E293" i="7"/>
  <c r="E294" i="7" s="1"/>
  <c r="I294" i="7" s="1"/>
  <c r="C293" i="7"/>
  <c r="B293" i="7"/>
  <c r="F292" i="7"/>
  <c r="C292" i="7"/>
  <c r="B292" i="7"/>
  <c r="F291" i="7"/>
  <c r="E291" i="7"/>
  <c r="I291" i="7" s="1"/>
  <c r="C291" i="7"/>
  <c r="B291" i="7"/>
  <c r="F290" i="7"/>
  <c r="C290" i="7"/>
  <c r="B290" i="7"/>
  <c r="F289" i="7"/>
  <c r="E289" i="7"/>
  <c r="E290" i="7" s="1"/>
  <c r="I290" i="7" s="1"/>
  <c r="C289" i="7"/>
  <c r="B289" i="7"/>
  <c r="F288" i="7"/>
  <c r="C288" i="7"/>
  <c r="B288" i="7"/>
  <c r="F287" i="7"/>
  <c r="E287" i="7"/>
  <c r="I287" i="7" s="1"/>
  <c r="C287" i="7"/>
  <c r="B287" i="7"/>
  <c r="F286" i="7"/>
  <c r="C286" i="7"/>
  <c r="B286" i="7"/>
  <c r="F285" i="7"/>
  <c r="E285" i="7"/>
  <c r="E286" i="7" s="1"/>
  <c r="I286" i="7" s="1"/>
  <c r="C285" i="7"/>
  <c r="B285" i="7"/>
  <c r="F284" i="7"/>
  <c r="E284" i="7"/>
  <c r="I284" i="7" s="1"/>
  <c r="C284" i="7"/>
  <c r="B284" i="7"/>
  <c r="A284" i="7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I283" i="7"/>
  <c r="F283" i="7"/>
  <c r="C283" i="7"/>
  <c r="B283" i="7"/>
  <c r="A283" i="7"/>
  <c r="F282" i="7"/>
  <c r="C282" i="7"/>
  <c r="B282" i="7"/>
  <c r="I281" i="7"/>
  <c r="F281" i="7"/>
  <c r="E282" i="7" s="1"/>
  <c r="I282" i="7" s="1"/>
  <c r="E281" i="7"/>
  <c r="C281" i="7"/>
  <c r="B281" i="7"/>
  <c r="F280" i="7"/>
  <c r="C280" i="7"/>
  <c r="B280" i="7"/>
  <c r="F279" i="7"/>
  <c r="E279" i="7"/>
  <c r="I279" i="7" s="1"/>
  <c r="C279" i="7"/>
  <c r="B279" i="7"/>
  <c r="F278" i="7"/>
  <c r="C278" i="7"/>
  <c r="B278" i="7"/>
  <c r="I277" i="7"/>
  <c r="F277" i="7"/>
  <c r="E277" i="7"/>
  <c r="E278" i="7" s="1"/>
  <c r="I278" i="7" s="1"/>
  <c r="C277" i="7"/>
  <c r="B277" i="7"/>
  <c r="F276" i="7"/>
  <c r="C276" i="7"/>
  <c r="B276" i="7"/>
  <c r="F275" i="7"/>
  <c r="E275" i="7"/>
  <c r="I275" i="7" s="1"/>
  <c r="C275" i="7"/>
  <c r="B275" i="7"/>
  <c r="F274" i="7"/>
  <c r="C274" i="7"/>
  <c r="B274" i="7"/>
  <c r="I273" i="7"/>
  <c r="F273" i="7"/>
  <c r="E273" i="7"/>
  <c r="E274" i="7" s="1"/>
  <c r="I274" i="7" s="1"/>
  <c r="C273" i="7"/>
  <c r="B273" i="7"/>
  <c r="F272" i="7"/>
  <c r="E272" i="7"/>
  <c r="I272" i="7" s="1"/>
  <c r="C272" i="7"/>
  <c r="B272" i="7"/>
  <c r="I271" i="7"/>
  <c r="F271" i="7"/>
  <c r="C271" i="7"/>
  <c r="B271" i="7"/>
  <c r="A271" i="7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F270" i="7"/>
  <c r="C270" i="7"/>
  <c r="B270" i="7"/>
  <c r="F269" i="7"/>
  <c r="E269" i="7"/>
  <c r="I269" i="7" s="1"/>
  <c r="C269" i="7"/>
  <c r="B269" i="7"/>
  <c r="F268" i="7"/>
  <c r="C268" i="7"/>
  <c r="B268" i="7"/>
  <c r="F267" i="7"/>
  <c r="E267" i="7"/>
  <c r="I267" i="7" s="1"/>
  <c r="C267" i="7"/>
  <c r="B267" i="7"/>
  <c r="F266" i="7"/>
  <c r="C266" i="7"/>
  <c r="B266" i="7"/>
  <c r="F265" i="7"/>
  <c r="E265" i="7"/>
  <c r="E266" i="7" s="1"/>
  <c r="I266" i="7" s="1"/>
  <c r="C265" i="7"/>
  <c r="B265" i="7"/>
  <c r="F264" i="7"/>
  <c r="C264" i="7"/>
  <c r="B264" i="7"/>
  <c r="F263" i="7"/>
  <c r="E263" i="7"/>
  <c r="I263" i="7" s="1"/>
  <c r="C263" i="7"/>
  <c r="B263" i="7"/>
  <c r="F262" i="7"/>
  <c r="C262" i="7"/>
  <c r="B262" i="7"/>
  <c r="F261" i="7"/>
  <c r="E261" i="7"/>
  <c r="E262" i="7" s="1"/>
  <c r="I262" i="7" s="1"/>
  <c r="C261" i="7"/>
  <c r="B261" i="7"/>
  <c r="F260" i="7"/>
  <c r="E260" i="7"/>
  <c r="I260" i="7" s="1"/>
  <c r="C260" i="7"/>
  <c r="B260" i="7"/>
  <c r="I259" i="7"/>
  <c r="F259" i="7"/>
  <c r="C259" i="7"/>
  <c r="B259" i="7"/>
  <c r="A259" i="7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F258" i="7"/>
  <c r="B258" i="7"/>
  <c r="F257" i="7"/>
  <c r="B257" i="7"/>
  <c r="F256" i="7"/>
  <c r="C256" i="7"/>
  <c r="B256" i="7"/>
  <c r="F255" i="7"/>
  <c r="C255" i="7"/>
  <c r="B255" i="7"/>
  <c r="F254" i="7"/>
  <c r="E254" i="7"/>
  <c r="E255" i="7" s="1"/>
  <c r="C254" i="7"/>
  <c r="B254" i="7"/>
  <c r="F253" i="7"/>
  <c r="B253" i="7"/>
  <c r="F252" i="7"/>
  <c r="B252" i="7"/>
  <c r="F251" i="7"/>
  <c r="C251" i="7"/>
  <c r="B251" i="7"/>
  <c r="F250" i="7"/>
  <c r="C250" i="7"/>
  <c r="B250" i="7"/>
  <c r="F249" i="7"/>
  <c r="E249" i="7"/>
  <c r="I249" i="7" s="1"/>
  <c r="C249" i="7"/>
  <c r="B249" i="7"/>
  <c r="F248" i="7"/>
  <c r="B248" i="7"/>
  <c r="F247" i="7"/>
  <c r="B247" i="7"/>
  <c r="F246" i="7"/>
  <c r="B246" i="7"/>
  <c r="F245" i="7"/>
  <c r="B245" i="7"/>
  <c r="F244" i="7"/>
  <c r="E244" i="7"/>
  <c r="E245" i="7" s="1"/>
  <c r="C244" i="7"/>
  <c r="B244" i="7"/>
  <c r="F243" i="7"/>
  <c r="C243" i="7"/>
  <c r="B243" i="7"/>
  <c r="F242" i="7"/>
  <c r="C242" i="7"/>
  <c r="B242" i="7"/>
  <c r="F241" i="7"/>
  <c r="C241" i="7"/>
  <c r="B241" i="7"/>
  <c r="F240" i="7"/>
  <c r="C240" i="7"/>
  <c r="B240" i="7"/>
  <c r="F239" i="7"/>
  <c r="C239" i="7"/>
  <c r="B239" i="7"/>
  <c r="F238" i="7"/>
  <c r="E238" i="7"/>
  <c r="I238" i="7" s="1"/>
  <c r="C238" i="7"/>
  <c r="B238" i="7"/>
  <c r="F237" i="7"/>
  <c r="C237" i="7"/>
  <c r="B237" i="7"/>
  <c r="F236" i="7"/>
  <c r="C236" i="7"/>
  <c r="B236" i="7"/>
  <c r="F235" i="7"/>
  <c r="C235" i="7"/>
  <c r="B235" i="7"/>
  <c r="F234" i="7"/>
  <c r="C234" i="7"/>
  <c r="B234" i="7"/>
  <c r="F233" i="7"/>
  <c r="C233" i="7"/>
  <c r="B233" i="7"/>
  <c r="F232" i="7"/>
  <c r="C232" i="7"/>
  <c r="B232" i="7"/>
  <c r="F231" i="7"/>
  <c r="E232" i="7" s="1"/>
  <c r="E231" i="7"/>
  <c r="I231" i="7" s="1"/>
  <c r="C231" i="7"/>
  <c r="B231" i="7"/>
  <c r="F230" i="7"/>
  <c r="C230" i="7"/>
  <c r="B230" i="7"/>
  <c r="F229" i="7"/>
  <c r="C229" i="7"/>
  <c r="B229" i="7"/>
  <c r="F228" i="7"/>
  <c r="C228" i="7"/>
  <c r="B228" i="7"/>
  <c r="F227" i="7"/>
  <c r="C227" i="7"/>
  <c r="B227" i="7"/>
  <c r="F226" i="7"/>
  <c r="C226" i="7"/>
  <c r="B226" i="7"/>
  <c r="F225" i="7"/>
  <c r="E225" i="7"/>
  <c r="E226" i="7" s="1"/>
  <c r="C225" i="7"/>
  <c r="B225" i="7"/>
  <c r="F224" i="7"/>
  <c r="B224" i="7"/>
  <c r="F223" i="7"/>
  <c r="B223" i="7"/>
  <c r="F222" i="7"/>
  <c r="B222" i="7"/>
  <c r="F221" i="7"/>
  <c r="E221" i="7"/>
  <c r="E222" i="7" s="1"/>
  <c r="B221" i="7"/>
  <c r="I220" i="7"/>
  <c r="F220" i="7"/>
  <c r="E220" i="7"/>
  <c r="B220" i="7"/>
  <c r="F219" i="7"/>
  <c r="C219" i="7"/>
  <c r="B219" i="7"/>
  <c r="F218" i="7"/>
  <c r="C218" i="7"/>
  <c r="B218" i="7"/>
  <c r="F217" i="7"/>
  <c r="E217" i="7"/>
  <c r="I217" i="7" s="1"/>
  <c r="C217" i="7"/>
  <c r="B217" i="7"/>
  <c r="F216" i="7"/>
  <c r="E216" i="7"/>
  <c r="I216" i="7" s="1"/>
  <c r="C216" i="7"/>
  <c r="B216" i="7"/>
  <c r="I215" i="7"/>
  <c r="F215" i="7"/>
  <c r="C215" i="7"/>
  <c r="B215" i="7"/>
  <c r="A215" i="7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F214" i="7"/>
  <c r="C214" i="7"/>
  <c r="B214" i="7"/>
  <c r="F213" i="7"/>
  <c r="E213" i="7"/>
  <c r="I213" i="7" s="1"/>
  <c r="C213" i="7"/>
  <c r="B213" i="7"/>
  <c r="F212" i="7"/>
  <c r="C212" i="7"/>
  <c r="B212" i="7"/>
  <c r="F211" i="7"/>
  <c r="E211" i="7"/>
  <c r="I211" i="7" s="1"/>
  <c r="C211" i="7"/>
  <c r="B211" i="7"/>
  <c r="F210" i="7"/>
  <c r="C210" i="7"/>
  <c r="B210" i="7"/>
  <c r="F209" i="7"/>
  <c r="E209" i="7"/>
  <c r="E210" i="7" s="1"/>
  <c r="I210" i="7" s="1"/>
  <c r="C209" i="7"/>
  <c r="B209" i="7"/>
  <c r="F208" i="7"/>
  <c r="C208" i="7"/>
  <c r="B208" i="7"/>
  <c r="F207" i="7"/>
  <c r="E207" i="7"/>
  <c r="I207" i="7" s="1"/>
  <c r="C207" i="7"/>
  <c r="B207" i="7"/>
  <c r="F206" i="7"/>
  <c r="C206" i="7"/>
  <c r="B206" i="7"/>
  <c r="F205" i="7"/>
  <c r="E205" i="7"/>
  <c r="E206" i="7" s="1"/>
  <c r="I206" i="7" s="1"/>
  <c r="C205" i="7"/>
  <c r="B205" i="7"/>
  <c r="F204" i="7"/>
  <c r="C204" i="7"/>
  <c r="B204" i="7"/>
  <c r="F203" i="7"/>
  <c r="E203" i="7"/>
  <c r="I203" i="7" s="1"/>
  <c r="C203" i="7"/>
  <c r="B203" i="7"/>
  <c r="F202" i="7"/>
  <c r="C202" i="7"/>
  <c r="B202" i="7"/>
  <c r="F201" i="7"/>
  <c r="E201" i="7"/>
  <c r="E202" i="7" s="1"/>
  <c r="I202" i="7" s="1"/>
  <c r="C201" i="7"/>
  <c r="B201" i="7"/>
  <c r="F200" i="7"/>
  <c r="C200" i="7"/>
  <c r="B200" i="7"/>
  <c r="I199" i="7"/>
  <c r="F199" i="7"/>
  <c r="E200" i="7" s="1"/>
  <c r="I200" i="7" s="1"/>
  <c r="C199" i="7"/>
  <c r="B199" i="7"/>
  <c r="A199" i="7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F198" i="7"/>
  <c r="C198" i="7"/>
  <c r="B198" i="7"/>
  <c r="F197" i="7"/>
  <c r="E197" i="7"/>
  <c r="I197" i="7" s="1"/>
  <c r="C197" i="7"/>
  <c r="B197" i="7"/>
  <c r="F196" i="7"/>
  <c r="C196" i="7"/>
  <c r="B196" i="7"/>
  <c r="F195" i="7"/>
  <c r="E195" i="7"/>
  <c r="I195" i="7" s="1"/>
  <c r="C195" i="7"/>
  <c r="B195" i="7"/>
  <c r="F194" i="7"/>
  <c r="C194" i="7"/>
  <c r="B194" i="7"/>
  <c r="F193" i="7"/>
  <c r="E193" i="7"/>
  <c r="E194" i="7" s="1"/>
  <c r="I194" i="7" s="1"/>
  <c r="C193" i="7"/>
  <c r="B193" i="7"/>
  <c r="F192" i="7"/>
  <c r="C192" i="7"/>
  <c r="B192" i="7"/>
  <c r="F191" i="7"/>
  <c r="E191" i="7"/>
  <c r="I191" i="7" s="1"/>
  <c r="C191" i="7"/>
  <c r="B191" i="7"/>
  <c r="F190" i="7"/>
  <c r="C190" i="7"/>
  <c r="B190" i="7"/>
  <c r="F189" i="7"/>
  <c r="E189" i="7"/>
  <c r="E190" i="7" s="1"/>
  <c r="I190" i="7" s="1"/>
  <c r="C189" i="7"/>
  <c r="B189" i="7"/>
  <c r="F188" i="7"/>
  <c r="E188" i="7"/>
  <c r="I188" i="7" s="1"/>
  <c r="C188" i="7"/>
  <c r="B188" i="7"/>
  <c r="I187" i="7"/>
  <c r="F187" i="7"/>
  <c r="C187" i="7"/>
  <c r="B187" i="7"/>
  <c r="A187" i="7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F186" i="7"/>
  <c r="C186" i="7"/>
  <c r="B186" i="7"/>
  <c r="F185" i="7"/>
  <c r="E185" i="7"/>
  <c r="E186" i="7" s="1"/>
  <c r="I186" i="7" s="1"/>
  <c r="C185" i="7"/>
  <c r="B185" i="7"/>
  <c r="F184" i="7"/>
  <c r="C184" i="7"/>
  <c r="B184" i="7"/>
  <c r="F183" i="7"/>
  <c r="E183" i="7"/>
  <c r="I183" i="7" s="1"/>
  <c r="C183" i="7"/>
  <c r="B183" i="7"/>
  <c r="F182" i="7"/>
  <c r="C182" i="7"/>
  <c r="B182" i="7"/>
  <c r="F181" i="7"/>
  <c r="E181" i="7"/>
  <c r="E182" i="7" s="1"/>
  <c r="I182" i="7" s="1"/>
  <c r="C181" i="7"/>
  <c r="B181" i="7"/>
  <c r="F180" i="7"/>
  <c r="C180" i="7"/>
  <c r="B180" i="7"/>
  <c r="F179" i="7"/>
  <c r="E179" i="7"/>
  <c r="E180" i="7" s="1"/>
  <c r="I180" i="7" s="1"/>
  <c r="C179" i="7"/>
  <c r="B179" i="7"/>
  <c r="F178" i="7"/>
  <c r="C178" i="7"/>
  <c r="B178" i="7"/>
  <c r="F177" i="7"/>
  <c r="E177" i="7"/>
  <c r="E178" i="7" s="1"/>
  <c r="I178" i="7" s="1"/>
  <c r="C177" i="7"/>
  <c r="B177" i="7"/>
  <c r="A177" i="7"/>
  <c r="A178" i="7" s="1"/>
  <c r="A179" i="7" s="1"/>
  <c r="A180" i="7" s="1"/>
  <c r="A181" i="7" s="1"/>
  <c r="A182" i="7" s="1"/>
  <c r="A183" i="7" s="1"/>
  <c r="A184" i="7" s="1"/>
  <c r="A185" i="7" s="1"/>
  <c r="A186" i="7" s="1"/>
  <c r="F176" i="7"/>
  <c r="C176" i="7"/>
  <c r="B176" i="7"/>
  <c r="A176" i="7"/>
  <c r="I175" i="7"/>
  <c r="F175" i="7"/>
  <c r="E176" i="7" s="1"/>
  <c r="I176" i="7" s="1"/>
  <c r="C175" i="7"/>
  <c r="B175" i="7"/>
  <c r="A175" i="7"/>
  <c r="F174" i="7"/>
  <c r="B174" i="7"/>
  <c r="F173" i="7"/>
  <c r="B173" i="7"/>
  <c r="F172" i="7"/>
  <c r="C172" i="7"/>
  <c r="B172" i="7"/>
  <c r="F171" i="7"/>
  <c r="C171" i="7"/>
  <c r="B171" i="7"/>
  <c r="F170" i="7"/>
  <c r="E170" i="7"/>
  <c r="E171" i="7" s="1"/>
  <c r="C170" i="7"/>
  <c r="B170" i="7"/>
  <c r="F169" i="7"/>
  <c r="B169" i="7"/>
  <c r="F168" i="7"/>
  <c r="B168" i="7"/>
  <c r="F167" i="7"/>
  <c r="C167" i="7"/>
  <c r="B167" i="7"/>
  <c r="F166" i="7"/>
  <c r="E166" i="7"/>
  <c r="E167" i="7" s="1"/>
  <c r="C166" i="7"/>
  <c r="B166" i="7"/>
  <c r="F165" i="7"/>
  <c r="E165" i="7"/>
  <c r="I165" i="7" s="1"/>
  <c r="C165" i="7"/>
  <c r="B165" i="7"/>
  <c r="F164" i="7"/>
  <c r="B164" i="7"/>
  <c r="F163" i="7"/>
  <c r="B163" i="7"/>
  <c r="F162" i="7"/>
  <c r="B162" i="7"/>
  <c r="F161" i="7"/>
  <c r="B161" i="7"/>
  <c r="F160" i="7"/>
  <c r="E160" i="7"/>
  <c r="E161" i="7" s="1"/>
  <c r="C160" i="7"/>
  <c r="B160" i="7"/>
  <c r="F159" i="7"/>
  <c r="C159" i="7"/>
  <c r="B159" i="7"/>
  <c r="F158" i="7"/>
  <c r="C158" i="7"/>
  <c r="B158" i="7"/>
  <c r="F157" i="7"/>
  <c r="C157" i="7"/>
  <c r="B157" i="7"/>
  <c r="F156" i="7"/>
  <c r="C156" i="7"/>
  <c r="B156" i="7"/>
  <c r="F155" i="7"/>
  <c r="C155" i="7"/>
  <c r="B155" i="7"/>
  <c r="F154" i="7"/>
  <c r="E154" i="7"/>
  <c r="I154" i="7" s="1"/>
  <c r="C154" i="7"/>
  <c r="B154" i="7"/>
  <c r="F153" i="7"/>
  <c r="C153" i="7"/>
  <c r="B153" i="7"/>
  <c r="F152" i="7"/>
  <c r="C152" i="7"/>
  <c r="B152" i="7"/>
  <c r="F151" i="7"/>
  <c r="C151" i="7"/>
  <c r="B151" i="7"/>
  <c r="F150" i="7"/>
  <c r="C150" i="7"/>
  <c r="B150" i="7"/>
  <c r="F149" i="7"/>
  <c r="C149" i="7"/>
  <c r="B149" i="7"/>
  <c r="F148" i="7"/>
  <c r="E148" i="7"/>
  <c r="E149" i="7" s="1"/>
  <c r="C148" i="7"/>
  <c r="B148" i="7"/>
  <c r="F147" i="7"/>
  <c r="E147" i="7"/>
  <c r="I147" i="7" s="1"/>
  <c r="C147" i="7"/>
  <c r="B147" i="7"/>
  <c r="F146" i="7"/>
  <c r="C146" i="7"/>
  <c r="B146" i="7"/>
  <c r="F145" i="7"/>
  <c r="C145" i="7"/>
  <c r="B145" i="7"/>
  <c r="F144" i="7"/>
  <c r="C144" i="7"/>
  <c r="B144" i="7"/>
  <c r="F143" i="7"/>
  <c r="C143" i="7"/>
  <c r="B143" i="7"/>
  <c r="F142" i="7"/>
  <c r="E142" i="7"/>
  <c r="I142" i="7" s="1"/>
  <c r="C142" i="7"/>
  <c r="B142" i="7"/>
  <c r="I141" i="7"/>
  <c r="F141" i="7"/>
  <c r="E141" i="7"/>
  <c r="C141" i="7"/>
  <c r="B141" i="7"/>
  <c r="F140" i="7"/>
  <c r="B140" i="7"/>
  <c r="F139" i="7"/>
  <c r="B139" i="7"/>
  <c r="F138" i="7"/>
  <c r="B138" i="7"/>
  <c r="F137" i="7"/>
  <c r="B137" i="7"/>
  <c r="F136" i="7"/>
  <c r="E136" i="7"/>
  <c r="I136" i="7" s="1"/>
  <c r="B136" i="7"/>
  <c r="F135" i="7"/>
  <c r="C135" i="7"/>
  <c r="B135" i="7"/>
  <c r="F134" i="7"/>
  <c r="C134" i="7"/>
  <c r="B134" i="7"/>
  <c r="F133" i="7"/>
  <c r="C133" i="7"/>
  <c r="B133" i="7"/>
  <c r="F132" i="7"/>
  <c r="C132" i="7"/>
  <c r="B132" i="7"/>
  <c r="I131" i="7"/>
  <c r="F131" i="7"/>
  <c r="E132" i="7" s="1"/>
  <c r="C131" i="7"/>
  <c r="B131" i="7"/>
  <c r="A131" i="7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F130" i="7"/>
  <c r="C130" i="7"/>
  <c r="B130" i="7"/>
  <c r="F129" i="7"/>
  <c r="E129" i="7"/>
  <c r="E130" i="7" s="1"/>
  <c r="I130" i="7" s="1"/>
  <c r="C129" i="7"/>
  <c r="B129" i="7"/>
  <c r="F128" i="7"/>
  <c r="C128" i="7"/>
  <c r="B128" i="7"/>
  <c r="F127" i="7"/>
  <c r="E127" i="7"/>
  <c r="E128" i="7" s="1"/>
  <c r="I128" i="7" s="1"/>
  <c r="C127" i="7"/>
  <c r="B127" i="7"/>
  <c r="F126" i="7"/>
  <c r="C126" i="7"/>
  <c r="B126" i="7"/>
  <c r="F125" i="7"/>
  <c r="E125" i="7"/>
  <c r="E126" i="7" s="1"/>
  <c r="I126" i="7" s="1"/>
  <c r="C125" i="7"/>
  <c r="B125" i="7"/>
  <c r="F124" i="7"/>
  <c r="E124" i="7"/>
  <c r="I124" i="7" s="1"/>
  <c r="C124" i="7"/>
  <c r="B124" i="7"/>
  <c r="I123" i="7"/>
  <c r="F123" i="7"/>
  <c r="E123" i="7"/>
  <c r="C123" i="7"/>
  <c r="B123" i="7"/>
  <c r="F122" i="7"/>
  <c r="E122" i="7"/>
  <c r="I122" i="7" s="1"/>
  <c r="C122" i="7"/>
  <c r="B122" i="7"/>
  <c r="I121" i="7"/>
  <c r="F121" i="7"/>
  <c r="E121" i="7"/>
  <c r="C121" i="7"/>
  <c r="B121" i="7"/>
  <c r="F120" i="7"/>
  <c r="E120" i="7"/>
  <c r="I120" i="7" s="1"/>
  <c r="C120" i="7"/>
  <c r="B120" i="7"/>
  <c r="F119" i="7"/>
  <c r="E119" i="7"/>
  <c r="I119" i="7" s="1"/>
  <c r="C119" i="7"/>
  <c r="B119" i="7"/>
  <c r="F118" i="7"/>
  <c r="E118" i="7"/>
  <c r="I118" i="7" s="1"/>
  <c r="C118" i="7"/>
  <c r="B118" i="7"/>
  <c r="F117" i="7"/>
  <c r="E117" i="7"/>
  <c r="I117" i="7" s="1"/>
  <c r="C117" i="7"/>
  <c r="B117" i="7"/>
  <c r="F116" i="7"/>
  <c r="E116" i="7"/>
  <c r="I116" i="7" s="1"/>
  <c r="C116" i="7"/>
  <c r="B116" i="7"/>
  <c r="I115" i="7"/>
  <c r="F115" i="7"/>
  <c r="C115" i="7"/>
  <c r="B115" i="7"/>
  <c r="A115" i="7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F114" i="7"/>
  <c r="C114" i="7"/>
  <c r="B114" i="7"/>
  <c r="F113" i="7"/>
  <c r="E113" i="7"/>
  <c r="E114" i="7" s="1"/>
  <c r="I114" i="7" s="1"/>
  <c r="C113" i="7"/>
  <c r="B113" i="7"/>
  <c r="F112" i="7"/>
  <c r="C112" i="7"/>
  <c r="B112" i="7"/>
  <c r="F111" i="7"/>
  <c r="E111" i="7"/>
  <c r="I111" i="7" s="1"/>
  <c r="C111" i="7"/>
  <c r="B111" i="7"/>
  <c r="F110" i="7"/>
  <c r="C110" i="7"/>
  <c r="B110" i="7"/>
  <c r="F109" i="7"/>
  <c r="E109" i="7"/>
  <c r="E110" i="7" s="1"/>
  <c r="I110" i="7" s="1"/>
  <c r="C109" i="7"/>
  <c r="B109" i="7"/>
  <c r="F108" i="7"/>
  <c r="C108" i="7"/>
  <c r="B108" i="7"/>
  <c r="F107" i="7"/>
  <c r="E107" i="7"/>
  <c r="I107" i="7" s="1"/>
  <c r="C107" i="7"/>
  <c r="B107" i="7"/>
  <c r="F106" i="7"/>
  <c r="C106" i="7"/>
  <c r="B106" i="7"/>
  <c r="F105" i="7"/>
  <c r="E105" i="7"/>
  <c r="I105" i="7" s="1"/>
  <c r="C105" i="7"/>
  <c r="B105" i="7"/>
  <c r="I104" i="7"/>
  <c r="F104" i="7"/>
  <c r="E104" i="7"/>
  <c r="C104" i="7"/>
  <c r="B104" i="7"/>
  <c r="I103" i="7"/>
  <c r="F103" i="7"/>
  <c r="C103" i="7"/>
  <c r="B103" i="7"/>
  <c r="A103" i="7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F102" i="7"/>
  <c r="C102" i="7"/>
  <c r="B102" i="7"/>
  <c r="F101" i="7"/>
  <c r="E102" i="7" s="1"/>
  <c r="I102" i="7" s="1"/>
  <c r="E101" i="7"/>
  <c r="I101" i="7" s="1"/>
  <c r="C101" i="7"/>
  <c r="B101" i="7"/>
  <c r="F100" i="7"/>
  <c r="C100" i="7"/>
  <c r="B100" i="7"/>
  <c r="F99" i="7"/>
  <c r="E99" i="7"/>
  <c r="I99" i="7" s="1"/>
  <c r="C99" i="7"/>
  <c r="B99" i="7"/>
  <c r="F98" i="7"/>
  <c r="C98" i="7"/>
  <c r="B98" i="7"/>
  <c r="F97" i="7"/>
  <c r="E98" i="7" s="1"/>
  <c r="I98" i="7" s="1"/>
  <c r="E97" i="7"/>
  <c r="I97" i="7" s="1"/>
  <c r="C97" i="7"/>
  <c r="B97" i="7"/>
  <c r="F96" i="7"/>
  <c r="C96" i="7"/>
  <c r="B96" i="7"/>
  <c r="F95" i="7"/>
  <c r="E95" i="7"/>
  <c r="I95" i="7" s="1"/>
  <c r="C95" i="7"/>
  <c r="B95" i="7"/>
  <c r="F94" i="7"/>
  <c r="C94" i="7"/>
  <c r="B94" i="7"/>
  <c r="F93" i="7"/>
  <c r="E93" i="7"/>
  <c r="E94" i="7" s="1"/>
  <c r="I94" i="7" s="1"/>
  <c r="C93" i="7"/>
  <c r="B93" i="7"/>
  <c r="F92" i="7"/>
  <c r="E92" i="7"/>
  <c r="I92" i="7" s="1"/>
  <c r="C92" i="7"/>
  <c r="B92" i="7"/>
  <c r="I91" i="7"/>
  <c r="F91" i="7"/>
  <c r="C91" i="7"/>
  <c r="B91" i="7"/>
  <c r="A91" i="7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F90" i="7"/>
  <c r="C90" i="7"/>
  <c r="B90" i="7"/>
  <c r="F89" i="7"/>
  <c r="E89" i="7"/>
  <c r="I89" i="7" s="1"/>
  <c r="C89" i="7"/>
  <c r="B89" i="7"/>
  <c r="F88" i="7"/>
  <c r="C88" i="7"/>
  <c r="B88" i="7"/>
  <c r="F87" i="7"/>
  <c r="E87" i="7"/>
  <c r="I87" i="7" s="1"/>
  <c r="C87" i="7"/>
  <c r="B87" i="7"/>
  <c r="F86" i="7"/>
  <c r="C86" i="7"/>
  <c r="B86" i="7"/>
  <c r="F85" i="7"/>
  <c r="E85" i="7"/>
  <c r="E86" i="7" s="1"/>
  <c r="I86" i="7" s="1"/>
  <c r="C85" i="7"/>
  <c r="B85" i="7"/>
  <c r="F84" i="7"/>
  <c r="C84" i="7"/>
  <c r="B84" i="7"/>
  <c r="F83" i="7"/>
  <c r="E83" i="7"/>
  <c r="I83" i="7" s="1"/>
  <c r="C83" i="7"/>
  <c r="B83" i="7"/>
  <c r="F82" i="7"/>
  <c r="C82" i="7"/>
  <c r="B82" i="7"/>
  <c r="F81" i="7"/>
  <c r="E81" i="7"/>
  <c r="E82" i="7" s="1"/>
  <c r="I82" i="7" s="1"/>
  <c r="C81" i="7"/>
  <c r="B81" i="7"/>
  <c r="F80" i="7"/>
  <c r="E80" i="7"/>
  <c r="I80" i="7" s="1"/>
  <c r="C80" i="7"/>
  <c r="B80" i="7"/>
  <c r="I79" i="7"/>
  <c r="F79" i="7"/>
  <c r="C79" i="7"/>
  <c r="B79" i="7"/>
  <c r="A79" i="7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F78" i="7"/>
  <c r="C78" i="7"/>
  <c r="B78" i="7"/>
  <c r="F77" i="7"/>
  <c r="E77" i="7"/>
  <c r="I77" i="7" s="1"/>
  <c r="C77" i="7"/>
  <c r="B77" i="7"/>
  <c r="F76" i="7"/>
  <c r="C76" i="7"/>
  <c r="B76" i="7"/>
  <c r="F75" i="7"/>
  <c r="E75" i="7"/>
  <c r="I75" i="7" s="1"/>
  <c r="C75" i="7"/>
  <c r="B75" i="7"/>
  <c r="F74" i="7"/>
  <c r="C74" i="7"/>
  <c r="B74" i="7"/>
  <c r="F73" i="7"/>
  <c r="E73" i="7"/>
  <c r="E74" i="7" s="1"/>
  <c r="I74" i="7" s="1"/>
  <c r="C73" i="7"/>
  <c r="B73" i="7"/>
  <c r="F72" i="7"/>
  <c r="C72" i="7"/>
  <c r="B72" i="7"/>
  <c r="F71" i="7"/>
  <c r="E71" i="7"/>
  <c r="I71" i="7" s="1"/>
  <c r="C71" i="7"/>
  <c r="B71" i="7"/>
  <c r="F70" i="7"/>
  <c r="C70" i="7"/>
  <c r="B70" i="7"/>
  <c r="F69" i="7"/>
  <c r="E69" i="7"/>
  <c r="E70" i="7" s="1"/>
  <c r="I70" i="7" s="1"/>
  <c r="C69" i="7"/>
  <c r="B69" i="7"/>
  <c r="F68" i="7"/>
  <c r="E68" i="7"/>
  <c r="I68" i="7" s="1"/>
  <c r="C68" i="7"/>
  <c r="B68" i="7"/>
  <c r="I67" i="7"/>
  <c r="F67" i="7"/>
  <c r="C67" i="7"/>
  <c r="B67" i="7"/>
  <c r="A67" i="7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F66" i="7"/>
  <c r="C66" i="7"/>
  <c r="B66" i="7"/>
  <c r="F65" i="7"/>
  <c r="E65" i="7"/>
  <c r="E66" i="7" s="1"/>
  <c r="I66" i="7" s="1"/>
  <c r="C65" i="7"/>
  <c r="B65" i="7"/>
  <c r="F64" i="7"/>
  <c r="C64" i="7"/>
  <c r="B64" i="7"/>
  <c r="F63" i="7"/>
  <c r="E63" i="7"/>
  <c r="I63" i="7" s="1"/>
  <c r="C63" i="7"/>
  <c r="B63" i="7"/>
  <c r="F62" i="7"/>
  <c r="C62" i="7"/>
  <c r="B62" i="7"/>
  <c r="F61" i="7"/>
  <c r="E61" i="7"/>
  <c r="E62" i="7" s="1"/>
  <c r="I62" i="7" s="1"/>
  <c r="C61" i="7"/>
  <c r="B61" i="7"/>
  <c r="F60" i="7"/>
  <c r="C60" i="7"/>
  <c r="B60" i="7"/>
  <c r="F59" i="7"/>
  <c r="E59" i="7"/>
  <c r="E60" i="7" s="1"/>
  <c r="I60" i="7" s="1"/>
  <c r="C59" i="7"/>
  <c r="B59" i="7"/>
  <c r="F58" i="7"/>
  <c r="C58" i="7"/>
  <c r="B58" i="7"/>
  <c r="F57" i="7"/>
  <c r="E57" i="7"/>
  <c r="I57" i="7" s="1"/>
  <c r="C57" i="7"/>
  <c r="B57" i="7"/>
  <c r="F56" i="7"/>
  <c r="E56" i="7"/>
  <c r="I56" i="7" s="1"/>
  <c r="C56" i="7"/>
  <c r="B56" i="7"/>
  <c r="I55" i="7"/>
  <c r="F55" i="7"/>
  <c r="C55" i="7"/>
  <c r="B55" i="7"/>
  <c r="A55" i="7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F54" i="7"/>
  <c r="C54" i="7"/>
  <c r="B54" i="7"/>
  <c r="F53" i="7"/>
  <c r="E53" i="7"/>
  <c r="E54" i="7" s="1"/>
  <c r="I54" i="7" s="1"/>
  <c r="C53" i="7"/>
  <c r="B53" i="7"/>
  <c r="F52" i="7"/>
  <c r="C52" i="7"/>
  <c r="B52" i="7"/>
  <c r="F51" i="7"/>
  <c r="E51" i="7"/>
  <c r="I51" i="7" s="1"/>
  <c r="C51" i="7"/>
  <c r="B51" i="7"/>
  <c r="F50" i="7"/>
  <c r="C50" i="7"/>
  <c r="B50" i="7"/>
  <c r="F49" i="7"/>
  <c r="E49" i="7"/>
  <c r="I49" i="7" s="1"/>
  <c r="C49" i="7"/>
  <c r="B49" i="7"/>
  <c r="F48" i="7"/>
  <c r="C48" i="7"/>
  <c r="B48" i="7"/>
  <c r="F47" i="7"/>
  <c r="E47" i="7"/>
  <c r="I47" i="7" s="1"/>
  <c r="C47" i="7"/>
  <c r="B47" i="7"/>
  <c r="F46" i="7"/>
  <c r="C46" i="7"/>
  <c r="B46" i="7"/>
  <c r="F45" i="7"/>
  <c r="E45" i="7"/>
  <c r="I45" i="7" s="1"/>
  <c r="C45" i="7"/>
  <c r="B45" i="7"/>
  <c r="F44" i="7"/>
  <c r="E44" i="7"/>
  <c r="I44" i="7" s="1"/>
  <c r="C44" i="7"/>
  <c r="B44" i="7"/>
  <c r="I43" i="7"/>
  <c r="F43" i="7"/>
  <c r="C43" i="7"/>
  <c r="B43" i="7"/>
  <c r="A43" i="7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F42" i="7"/>
  <c r="C42" i="7"/>
  <c r="B42" i="7"/>
  <c r="F41" i="7"/>
  <c r="C41" i="7"/>
  <c r="B41" i="7"/>
  <c r="F40" i="7"/>
  <c r="C40" i="7"/>
  <c r="B40" i="7"/>
  <c r="F39" i="7"/>
  <c r="C39" i="7"/>
  <c r="B39" i="7"/>
  <c r="F38" i="7"/>
  <c r="E38" i="7"/>
  <c r="I38" i="7" s="1"/>
  <c r="C38" i="7"/>
  <c r="B38" i="7"/>
  <c r="F37" i="7"/>
  <c r="C37" i="7"/>
  <c r="B37" i="7"/>
  <c r="F36" i="7"/>
  <c r="C36" i="7"/>
  <c r="B36" i="7"/>
  <c r="F35" i="7"/>
  <c r="C35" i="7"/>
  <c r="B35" i="7"/>
  <c r="F34" i="7"/>
  <c r="C34" i="7"/>
  <c r="B34" i="7"/>
  <c r="F33" i="7"/>
  <c r="E33" i="7"/>
  <c r="I33" i="7" s="1"/>
  <c r="C33" i="7"/>
  <c r="B33" i="7"/>
  <c r="F32" i="7"/>
  <c r="C32" i="7"/>
  <c r="B32" i="7"/>
  <c r="F31" i="7"/>
  <c r="C31" i="7"/>
  <c r="B31" i="7"/>
  <c r="F30" i="7"/>
  <c r="C30" i="7"/>
  <c r="B30" i="7"/>
  <c r="F29" i="7"/>
  <c r="C29" i="7"/>
  <c r="B29" i="7"/>
  <c r="F28" i="7"/>
  <c r="E28" i="7"/>
  <c r="E29" i="7" s="1"/>
  <c r="C28" i="7"/>
  <c r="B28" i="7"/>
  <c r="F27" i="7"/>
  <c r="C27" i="7"/>
  <c r="B27" i="7"/>
  <c r="F26" i="7"/>
  <c r="C26" i="7"/>
  <c r="B26" i="7"/>
  <c r="F25" i="7"/>
  <c r="C25" i="7"/>
  <c r="B25" i="7"/>
  <c r="F24" i="7"/>
  <c r="E24" i="7"/>
  <c r="E25" i="7" s="1"/>
  <c r="C24" i="7"/>
  <c r="B24" i="7"/>
  <c r="F23" i="7"/>
  <c r="E23" i="7"/>
  <c r="I23" i="7" s="1"/>
  <c r="C23" i="7"/>
  <c r="B23" i="7"/>
  <c r="F22" i="7"/>
  <c r="C22" i="7"/>
  <c r="B22" i="7"/>
  <c r="F21" i="7"/>
  <c r="C21" i="7"/>
  <c r="B21" i="7"/>
  <c r="F20" i="7"/>
  <c r="C20" i="7"/>
  <c r="B20" i="7"/>
  <c r="F19" i="7"/>
  <c r="C19" i="7"/>
  <c r="B19" i="7"/>
  <c r="F18" i="7"/>
  <c r="C18" i="7"/>
  <c r="B18" i="7"/>
  <c r="F17" i="7"/>
  <c r="E17" i="7"/>
  <c r="I17" i="7" s="1"/>
  <c r="C17" i="7"/>
  <c r="B17" i="7"/>
  <c r="F16" i="7"/>
  <c r="C16" i="7"/>
  <c r="B16" i="7"/>
  <c r="F15" i="7"/>
  <c r="C15" i="7"/>
  <c r="B15" i="7"/>
  <c r="F14" i="7"/>
  <c r="C14" i="7"/>
  <c r="B14" i="7"/>
  <c r="F13" i="7"/>
  <c r="C13" i="7"/>
  <c r="B13" i="7"/>
  <c r="F12" i="7"/>
  <c r="E12" i="7"/>
  <c r="E13" i="7" s="1"/>
  <c r="C12" i="7"/>
  <c r="B12" i="7"/>
  <c r="F11" i="7"/>
  <c r="C11" i="7"/>
  <c r="B11" i="7"/>
  <c r="F10" i="7"/>
  <c r="C10" i="7"/>
  <c r="B10" i="7"/>
  <c r="F9" i="7"/>
  <c r="C9" i="7"/>
  <c r="B9" i="7"/>
  <c r="F8" i="7"/>
  <c r="C8" i="7"/>
  <c r="B8" i="7"/>
  <c r="F7" i="7"/>
  <c r="E7" i="7"/>
  <c r="I7" i="7" s="1"/>
  <c r="C7" i="7"/>
  <c r="B7" i="7"/>
  <c r="F6" i="7"/>
  <c r="C6" i="7"/>
  <c r="B6" i="7"/>
  <c r="F5" i="7"/>
  <c r="C5" i="7"/>
  <c r="B5" i="7"/>
  <c r="F4" i="7"/>
  <c r="E4" i="7"/>
  <c r="E5" i="7" s="1"/>
  <c r="C4" i="7"/>
  <c r="B4" i="7"/>
  <c r="F3" i="7"/>
  <c r="E3" i="7"/>
  <c r="I3" i="7" s="1"/>
  <c r="C3" i="7"/>
  <c r="B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I2" i="7"/>
  <c r="F2" i="7"/>
  <c r="C2" i="7"/>
  <c r="B2" i="7"/>
  <c r="I679" i="7" l="1"/>
  <c r="E680" i="7"/>
  <c r="E681" i="7" s="1"/>
  <c r="I660" i="7"/>
  <c r="I694" i="7"/>
  <c r="E672" i="7"/>
  <c r="E673" i="7" s="1"/>
  <c r="E686" i="7"/>
  <c r="I685" i="7"/>
  <c r="E692" i="7"/>
  <c r="I691" i="7"/>
  <c r="E657" i="7"/>
  <c r="I656" i="7"/>
  <c r="E682" i="7"/>
  <c r="I681" i="7"/>
  <c r="I695" i="7"/>
  <c r="E696" i="7"/>
  <c r="E663" i="7"/>
  <c r="I662" i="7"/>
  <c r="I666" i="7"/>
  <c r="E667" i="7"/>
  <c r="E674" i="7"/>
  <c r="I673" i="7"/>
  <c r="I672" i="7"/>
  <c r="I680" i="7"/>
  <c r="I684" i="7"/>
  <c r="I690" i="7"/>
  <c r="I661" i="7"/>
  <c r="E654" i="7"/>
  <c r="I654" i="7" s="1"/>
  <c r="E646" i="7"/>
  <c r="I646" i="7" s="1"/>
  <c r="I649" i="7"/>
  <c r="E648" i="7"/>
  <c r="I648" i="7" s="1"/>
  <c r="E652" i="7"/>
  <c r="I652" i="7" s="1"/>
  <c r="I609" i="7"/>
  <c r="E623" i="7"/>
  <c r="I638" i="7"/>
  <c r="E636" i="7"/>
  <c r="I635" i="7"/>
  <c r="I617" i="7"/>
  <c r="E618" i="7"/>
  <c r="I639" i="7"/>
  <c r="E640" i="7"/>
  <c r="E601" i="7"/>
  <c r="I600" i="7"/>
  <c r="I623" i="7"/>
  <c r="E624" i="7"/>
  <c r="E630" i="7"/>
  <c r="I629" i="7"/>
  <c r="I610" i="7"/>
  <c r="E611" i="7"/>
  <c r="I606" i="7"/>
  <c r="E607" i="7"/>
  <c r="I616" i="7"/>
  <c r="I628" i="7"/>
  <c r="I634" i="7"/>
  <c r="I605" i="7"/>
  <c r="I585" i="7"/>
  <c r="I589" i="7"/>
  <c r="I593" i="7"/>
  <c r="I597" i="7"/>
  <c r="E588" i="7"/>
  <c r="I588" i="7" s="1"/>
  <c r="E592" i="7"/>
  <c r="I592" i="7" s="1"/>
  <c r="E596" i="7"/>
  <c r="I596" i="7" s="1"/>
  <c r="I573" i="7"/>
  <c r="E576" i="7"/>
  <c r="I576" i="7" s="1"/>
  <c r="I577" i="7"/>
  <c r="E580" i="7"/>
  <c r="I580" i="7" s="1"/>
  <c r="I581" i="7"/>
  <c r="I537" i="7"/>
  <c r="E544" i="7"/>
  <c r="E545" i="7" s="1"/>
  <c r="E533" i="7"/>
  <c r="E534" i="7" s="1"/>
  <c r="I566" i="7"/>
  <c r="E564" i="7"/>
  <c r="I563" i="7"/>
  <c r="E546" i="7"/>
  <c r="I545" i="7"/>
  <c r="E529" i="7"/>
  <c r="I528" i="7"/>
  <c r="I567" i="7"/>
  <c r="E568" i="7"/>
  <c r="I534" i="7"/>
  <c r="E535" i="7"/>
  <c r="E558" i="7"/>
  <c r="I557" i="7"/>
  <c r="E539" i="7"/>
  <c r="I544" i="7"/>
  <c r="E551" i="7"/>
  <c r="I556" i="7"/>
  <c r="I562" i="7"/>
  <c r="I533" i="7"/>
  <c r="I513" i="7"/>
  <c r="I517" i="7"/>
  <c r="I521" i="7"/>
  <c r="I525" i="7"/>
  <c r="E516" i="7"/>
  <c r="I516" i="7" s="1"/>
  <c r="E520" i="7"/>
  <c r="I520" i="7" s="1"/>
  <c r="E524" i="7"/>
  <c r="I524" i="7" s="1"/>
  <c r="I503" i="7"/>
  <c r="I507" i="7"/>
  <c r="I509" i="7"/>
  <c r="I465" i="7"/>
  <c r="E479" i="7"/>
  <c r="I494" i="7"/>
  <c r="I491" i="7"/>
  <c r="E492" i="7"/>
  <c r="E486" i="7"/>
  <c r="I485" i="7"/>
  <c r="I495" i="7"/>
  <c r="E496" i="7"/>
  <c r="E457" i="7"/>
  <c r="I456" i="7"/>
  <c r="I479" i="7"/>
  <c r="E480" i="7"/>
  <c r="I466" i="7"/>
  <c r="E467" i="7"/>
  <c r="E474" i="7"/>
  <c r="I473" i="7"/>
  <c r="E463" i="7"/>
  <c r="I462" i="7"/>
  <c r="I472" i="7"/>
  <c r="I484" i="7"/>
  <c r="I490" i="7"/>
  <c r="I461" i="7"/>
  <c r="E454" i="7"/>
  <c r="I454" i="7" s="1"/>
  <c r="I449" i="7"/>
  <c r="I445" i="7"/>
  <c r="I441" i="7"/>
  <c r="E444" i="7"/>
  <c r="I444" i="7" s="1"/>
  <c r="E448" i="7"/>
  <c r="I448" i="7" s="1"/>
  <c r="E452" i="7"/>
  <c r="I452" i="7" s="1"/>
  <c r="E438" i="7"/>
  <c r="I438" i="7" s="1"/>
  <c r="I429" i="7"/>
  <c r="I433" i="7"/>
  <c r="E432" i="7"/>
  <c r="I432" i="7" s="1"/>
  <c r="E436" i="7"/>
  <c r="I436" i="7" s="1"/>
  <c r="I393" i="7"/>
  <c r="E389" i="7"/>
  <c r="E407" i="7"/>
  <c r="E408" i="7" s="1"/>
  <c r="I422" i="7"/>
  <c r="I385" i="7"/>
  <c r="E386" i="7"/>
  <c r="I394" i="7"/>
  <c r="E395" i="7"/>
  <c r="E402" i="7"/>
  <c r="I401" i="7"/>
  <c r="E420" i="7"/>
  <c r="I419" i="7"/>
  <c r="I423" i="7"/>
  <c r="E424" i="7"/>
  <c r="E390" i="7"/>
  <c r="I389" i="7"/>
  <c r="I407" i="7"/>
  <c r="E414" i="7"/>
  <c r="I413" i="7"/>
  <c r="I384" i="7"/>
  <c r="I400" i="7"/>
  <c r="I412" i="7"/>
  <c r="I418" i="7"/>
  <c r="I375" i="7"/>
  <c r="E382" i="7"/>
  <c r="I382" i="7" s="1"/>
  <c r="I377" i="7"/>
  <c r="E380" i="7"/>
  <c r="I380" i="7" s="1"/>
  <c r="I357" i="7"/>
  <c r="E360" i="7"/>
  <c r="I360" i="7" s="1"/>
  <c r="I361" i="7"/>
  <c r="E364" i="7"/>
  <c r="I364" i="7" s="1"/>
  <c r="I365" i="7"/>
  <c r="I345" i="7"/>
  <c r="I349" i="7"/>
  <c r="I353" i="7"/>
  <c r="E348" i="7"/>
  <c r="I348" i="7" s="1"/>
  <c r="E352" i="7"/>
  <c r="I352" i="7" s="1"/>
  <c r="I300" i="7"/>
  <c r="E310" i="7"/>
  <c r="I333" i="7"/>
  <c r="E317" i="7"/>
  <c r="I316" i="7"/>
  <c r="I339" i="7"/>
  <c r="E340" i="7"/>
  <c r="I310" i="7"/>
  <c r="E311" i="7"/>
  <c r="E335" i="7"/>
  <c r="I334" i="7"/>
  <c r="E330" i="7"/>
  <c r="I329" i="7"/>
  <c r="I338" i="7"/>
  <c r="E302" i="7"/>
  <c r="E305" i="7"/>
  <c r="E323" i="7"/>
  <c r="I328" i="7"/>
  <c r="E288" i="7"/>
  <c r="I288" i="7" s="1"/>
  <c r="I285" i="7"/>
  <c r="I289" i="7"/>
  <c r="E292" i="7"/>
  <c r="I292" i="7" s="1"/>
  <c r="I293" i="7"/>
  <c r="E296" i="7"/>
  <c r="I296" i="7" s="1"/>
  <c r="I297" i="7"/>
  <c r="E276" i="7"/>
  <c r="I276" i="7" s="1"/>
  <c r="E280" i="7"/>
  <c r="I280" i="7" s="1"/>
  <c r="E270" i="7"/>
  <c r="I270" i="7" s="1"/>
  <c r="I265" i="7"/>
  <c r="I261" i="7"/>
  <c r="E264" i="7"/>
  <c r="I264" i="7" s="1"/>
  <c r="E268" i="7"/>
  <c r="I268" i="7" s="1"/>
  <c r="E218" i="7"/>
  <c r="I218" i="7" s="1"/>
  <c r="I254" i="7"/>
  <c r="E239" i="7"/>
  <c r="E233" i="7"/>
  <c r="I232" i="7"/>
  <c r="E246" i="7"/>
  <c r="I245" i="7"/>
  <c r="E223" i="7"/>
  <c r="I222" i="7"/>
  <c r="I255" i="7"/>
  <c r="E256" i="7"/>
  <c r="I226" i="7"/>
  <c r="E227" i="7"/>
  <c r="I239" i="7"/>
  <c r="E240" i="7"/>
  <c r="E219" i="7"/>
  <c r="I219" i="7" s="1"/>
  <c r="I225" i="7"/>
  <c r="E250" i="7"/>
  <c r="I244" i="7"/>
  <c r="I221" i="7"/>
  <c r="E214" i="7"/>
  <c r="I214" i="7" s="1"/>
  <c r="I209" i="7"/>
  <c r="I205" i="7"/>
  <c r="I201" i="7"/>
  <c r="E204" i="7"/>
  <c r="I204" i="7" s="1"/>
  <c r="E208" i="7"/>
  <c r="I208" i="7" s="1"/>
  <c r="E212" i="7"/>
  <c r="I212" i="7" s="1"/>
  <c r="E198" i="7"/>
  <c r="I198" i="7" s="1"/>
  <c r="I189" i="7"/>
  <c r="I193" i="7"/>
  <c r="E192" i="7"/>
  <c r="I192" i="7" s="1"/>
  <c r="E196" i="7"/>
  <c r="I196" i="7" s="1"/>
  <c r="I179" i="7"/>
  <c r="I177" i="7"/>
  <c r="I181" i="7"/>
  <c r="E184" i="7"/>
  <c r="I184" i="7" s="1"/>
  <c r="I185" i="7"/>
  <c r="E137" i="7"/>
  <c r="E138" i="7" s="1"/>
  <c r="I138" i="7" s="1"/>
  <c r="I170" i="7"/>
  <c r="E150" i="7"/>
  <c r="I149" i="7"/>
  <c r="E133" i="7"/>
  <c r="I132" i="7"/>
  <c r="I171" i="7"/>
  <c r="E172" i="7"/>
  <c r="E139" i="7"/>
  <c r="I167" i="7"/>
  <c r="E168" i="7"/>
  <c r="E162" i="7"/>
  <c r="I161" i="7"/>
  <c r="E143" i="7"/>
  <c r="I148" i="7"/>
  <c r="E155" i="7"/>
  <c r="I160" i="7"/>
  <c r="I166" i="7"/>
  <c r="I125" i="7"/>
  <c r="I129" i="7"/>
  <c r="I127" i="7"/>
  <c r="I113" i="7"/>
  <c r="E106" i="7"/>
  <c r="I106" i="7" s="1"/>
  <c r="I109" i="7"/>
  <c r="E108" i="7"/>
  <c r="I108" i="7" s="1"/>
  <c r="E112" i="7"/>
  <c r="I112" i="7" s="1"/>
  <c r="I93" i="7"/>
  <c r="E96" i="7"/>
  <c r="I96" i="7" s="1"/>
  <c r="E100" i="7"/>
  <c r="I100" i="7" s="1"/>
  <c r="E90" i="7"/>
  <c r="I90" i="7" s="1"/>
  <c r="I81" i="7"/>
  <c r="I85" i="7"/>
  <c r="E84" i="7"/>
  <c r="I84" i="7" s="1"/>
  <c r="E88" i="7"/>
  <c r="I88" i="7" s="1"/>
  <c r="E78" i="7"/>
  <c r="I78" i="7" s="1"/>
  <c r="I69" i="7"/>
  <c r="E76" i="7"/>
  <c r="I76" i="7" s="1"/>
  <c r="I73" i="7"/>
  <c r="E72" i="7"/>
  <c r="I72" i="7" s="1"/>
  <c r="I59" i="7"/>
  <c r="I65" i="7"/>
  <c r="I61" i="7"/>
  <c r="E58" i="7"/>
  <c r="I58" i="7" s="1"/>
  <c r="E64" i="7"/>
  <c r="I64" i="7" s="1"/>
  <c r="E46" i="7"/>
  <c r="I46" i="7" s="1"/>
  <c r="E50" i="7"/>
  <c r="I50" i="7" s="1"/>
  <c r="E52" i="7"/>
  <c r="I52" i="7" s="1"/>
  <c r="I53" i="7"/>
  <c r="E48" i="7"/>
  <c r="I48" i="7" s="1"/>
  <c r="E34" i="7"/>
  <c r="E39" i="7"/>
  <c r="I39" i="7" s="1"/>
  <c r="E8" i="7"/>
  <c r="E9" i="7" s="1"/>
  <c r="E10" i="7" s="1"/>
  <c r="E18" i="7"/>
  <c r="E6" i="7"/>
  <c r="I6" i="7" s="1"/>
  <c r="I5" i="7"/>
  <c r="E30" i="7"/>
  <c r="I29" i="7"/>
  <c r="I25" i="7"/>
  <c r="E26" i="7"/>
  <c r="I34" i="7"/>
  <c r="E35" i="7"/>
  <c r="I18" i="7"/>
  <c r="E19" i="7"/>
  <c r="E14" i="7"/>
  <c r="I13" i="7"/>
  <c r="E40" i="7"/>
  <c r="I8" i="7"/>
  <c r="I12" i="7"/>
  <c r="I28" i="7"/>
  <c r="I24" i="7"/>
  <c r="I4" i="7"/>
  <c r="I674" i="7" l="1"/>
  <c r="E675" i="7"/>
  <c r="I682" i="7"/>
  <c r="E683" i="7"/>
  <c r="I683" i="7" s="1"/>
  <c r="I667" i="7"/>
  <c r="E668" i="7"/>
  <c r="I657" i="7"/>
  <c r="E658" i="7"/>
  <c r="I663" i="7"/>
  <c r="E664" i="7"/>
  <c r="I664" i="7" s="1"/>
  <c r="I692" i="7"/>
  <c r="E693" i="7"/>
  <c r="I693" i="7" s="1"/>
  <c r="I696" i="7"/>
  <c r="E697" i="7"/>
  <c r="I686" i="7"/>
  <c r="E687" i="7"/>
  <c r="E608" i="7"/>
  <c r="I608" i="7" s="1"/>
  <c r="I607" i="7"/>
  <c r="I601" i="7"/>
  <c r="E602" i="7"/>
  <c r="I640" i="7"/>
  <c r="E641" i="7"/>
  <c r="I618" i="7"/>
  <c r="E619" i="7"/>
  <c r="I630" i="7"/>
  <c r="E631" i="7"/>
  <c r="E625" i="7"/>
  <c r="I624" i="7"/>
  <c r="I611" i="7"/>
  <c r="E612" i="7"/>
  <c r="I636" i="7"/>
  <c r="E637" i="7"/>
  <c r="I637" i="7" s="1"/>
  <c r="I568" i="7"/>
  <c r="E569" i="7"/>
  <c r="E552" i="7"/>
  <c r="I551" i="7"/>
  <c r="I539" i="7"/>
  <c r="E540" i="7"/>
  <c r="I529" i="7"/>
  <c r="E530" i="7"/>
  <c r="I558" i="7"/>
  <c r="E559" i="7"/>
  <c r="I546" i="7"/>
  <c r="E547" i="7"/>
  <c r="I535" i="7"/>
  <c r="E536" i="7"/>
  <c r="I536" i="7" s="1"/>
  <c r="I564" i="7"/>
  <c r="E565" i="7"/>
  <c r="I565" i="7" s="1"/>
  <c r="I463" i="7"/>
  <c r="E464" i="7"/>
  <c r="I464" i="7" s="1"/>
  <c r="E458" i="7"/>
  <c r="I457" i="7"/>
  <c r="I496" i="7"/>
  <c r="E497" i="7"/>
  <c r="I474" i="7"/>
  <c r="E475" i="7"/>
  <c r="E468" i="7"/>
  <c r="I467" i="7"/>
  <c r="I486" i="7"/>
  <c r="E487" i="7"/>
  <c r="E481" i="7"/>
  <c r="I480" i="7"/>
  <c r="I492" i="7"/>
  <c r="E493" i="7"/>
  <c r="I493" i="7" s="1"/>
  <c r="E391" i="7"/>
  <c r="I390" i="7"/>
  <c r="E421" i="7"/>
  <c r="I421" i="7" s="1"/>
  <c r="I420" i="7"/>
  <c r="I402" i="7"/>
  <c r="E403" i="7"/>
  <c r="I414" i="7"/>
  <c r="E415" i="7"/>
  <c r="E409" i="7"/>
  <c r="I408" i="7"/>
  <c r="I395" i="7"/>
  <c r="E396" i="7"/>
  <c r="I424" i="7"/>
  <c r="E425" i="7"/>
  <c r="I386" i="7"/>
  <c r="E387" i="7"/>
  <c r="I387" i="7" s="1"/>
  <c r="I330" i="7"/>
  <c r="E331" i="7"/>
  <c r="E318" i="7"/>
  <c r="I317" i="7"/>
  <c r="E336" i="7"/>
  <c r="I335" i="7"/>
  <c r="I323" i="7"/>
  <c r="E324" i="7"/>
  <c r="I311" i="7"/>
  <c r="E312" i="7"/>
  <c r="E306" i="7"/>
  <c r="I305" i="7"/>
  <c r="E303" i="7"/>
  <c r="I303" i="7" s="1"/>
  <c r="I302" i="7"/>
  <c r="I340" i="7"/>
  <c r="E341" i="7"/>
  <c r="I256" i="7"/>
  <c r="E257" i="7"/>
  <c r="E234" i="7"/>
  <c r="I233" i="7"/>
  <c r="E251" i="7"/>
  <c r="I250" i="7"/>
  <c r="I223" i="7"/>
  <c r="E224" i="7"/>
  <c r="I224" i="7" s="1"/>
  <c r="E241" i="7"/>
  <c r="I240" i="7"/>
  <c r="I246" i="7"/>
  <c r="E247" i="7"/>
  <c r="I227" i="7"/>
  <c r="E228" i="7"/>
  <c r="I137" i="7"/>
  <c r="I155" i="7"/>
  <c r="E156" i="7"/>
  <c r="I139" i="7"/>
  <c r="E140" i="7"/>
  <c r="I140" i="7" s="1"/>
  <c r="I172" i="7"/>
  <c r="E173" i="7"/>
  <c r="I162" i="7"/>
  <c r="E163" i="7"/>
  <c r="E134" i="7"/>
  <c r="I133" i="7"/>
  <c r="I168" i="7"/>
  <c r="E169" i="7"/>
  <c r="I169" i="7" s="1"/>
  <c r="I143" i="7"/>
  <c r="E144" i="7"/>
  <c r="I150" i="7"/>
  <c r="E151" i="7"/>
  <c r="I9" i="7"/>
  <c r="I35" i="7"/>
  <c r="E36" i="7"/>
  <c r="I26" i="7"/>
  <c r="E27" i="7"/>
  <c r="I27" i="7" s="1"/>
  <c r="I10" i="7"/>
  <c r="E11" i="7"/>
  <c r="I11" i="7" s="1"/>
  <c r="I14" i="7"/>
  <c r="E15" i="7"/>
  <c r="I30" i="7"/>
  <c r="E31" i="7"/>
  <c r="E41" i="7"/>
  <c r="I40" i="7"/>
  <c r="E20" i="7"/>
  <c r="I19" i="7"/>
  <c r="I658" i="7" l="1"/>
  <c r="E659" i="7"/>
  <c r="I659" i="7" s="1"/>
  <c r="E698" i="7"/>
  <c r="I698" i="7" s="1"/>
  <c r="I697" i="7"/>
  <c r="E669" i="7"/>
  <c r="I668" i="7"/>
  <c r="E688" i="7"/>
  <c r="I688" i="7" s="1"/>
  <c r="I687" i="7"/>
  <c r="I675" i="7"/>
  <c r="E676" i="7"/>
  <c r="E613" i="7"/>
  <c r="I612" i="7"/>
  <c r="E620" i="7"/>
  <c r="I619" i="7"/>
  <c r="E642" i="7"/>
  <c r="I642" i="7" s="1"/>
  <c r="I641" i="7"/>
  <c r="E632" i="7"/>
  <c r="I632" i="7" s="1"/>
  <c r="I631" i="7"/>
  <c r="I602" i="7"/>
  <c r="E603" i="7"/>
  <c r="I603" i="7" s="1"/>
  <c r="I625" i="7"/>
  <c r="E626" i="7"/>
  <c r="I530" i="7"/>
  <c r="E531" i="7"/>
  <c r="I531" i="7" s="1"/>
  <c r="E548" i="7"/>
  <c r="I547" i="7"/>
  <c r="E553" i="7"/>
  <c r="I552" i="7"/>
  <c r="E541" i="7"/>
  <c r="I540" i="7"/>
  <c r="E560" i="7"/>
  <c r="I560" i="7" s="1"/>
  <c r="I559" i="7"/>
  <c r="E570" i="7"/>
  <c r="I570" i="7" s="1"/>
  <c r="I569" i="7"/>
  <c r="E488" i="7"/>
  <c r="I488" i="7" s="1"/>
  <c r="I487" i="7"/>
  <c r="E498" i="7"/>
  <c r="I498" i="7" s="1"/>
  <c r="I497" i="7"/>
  <c r="I481" i="7"/>
  <c r="E482" i="7"/>
  <c r="I458" i="7"/>
  <c r="E459" i="7"/>
  <c r="I459" i="7" s="1"/>
  <c r="I475" i="7"/>
  <c r="E476" i="7"/>
  <c r="E469" i="7"/>
  <c r="I468" i="7"/>
  <c r="E426" i="7"/>
  <c r="I426" i="7" s="1"/>
  <c r="I425" i="7"/>
  <c r="E397" i="7"/>
  <c r="I396" i="7"/>
  <c r="E416" i="7"/>
  <c r="I416" i="7" s="1"/>
  <c r="I415" i="7"/>
  <c r="I403" i="7"/>
  <c r="E404" i="7"/>
  <c r="E410" i="7"/>
  <c r="I409" i="7"/>
  <c r="I391" i="7"/>
  <c r="E392" i="7"/>
  <c r="I392" i="7" s="1"/>
  <c r="E313" i="7"/>
  <c r="I312" i="7"/>
  <c r="E342" i="7"/>
  <c r="I342" i="7" s="1"/>
  <c r="I341" i="7"/>
  <c r="E325" i="7"/>
  <c r="I324" i="7"/>
  <c r="E332" i="7"/>
  <c r="I332" i="7" s="1"/>
  <c r="I331" i="7"/>
  <c r="I336" i="7"/>
  <c r="E337" i="7"/>
  <c r="I337" i="7" s="1"/>
  <c r="E307" i="7"/>
  <c r="I306" i="7"/>
  <c r="I318" i="7"/>
  <c r="E319" i="7"/>
  <c r="E248" i="7"/>
  <c r="I248" i="7" s="1"/>
  <c r="I247" i="7"/>
  <c r="E229" i="7"/>
  <c r="I228" i="7"/>
  <c r="E252" i="7"/>
  <c r="I251" i="7"/>
  <c r="I234" i="7"/>
  <c r="E235" i="7"/>
  <c r="E242" i="7"/>
  <c r="I241" i="7"/>
  <c r="E258" i="7"/>
  <c r="I258" i="7" s="1"/>
  <c r="I257" i="7"/>
  <c r="E145" i="7"/>
  <c r="I144" i="7"/>
  <c r="E174" i="7"/>
  <c r="I174" i="7" s="1"/>
  <c r="I173" i="7"/>
  <c r="E164" i="7"/>
  <c r="I164" i="7" s="1"/>
  <c r="I163" i="7"/>
  <c r="E157" i="7"/>
  <c r="I156" i="7"/>
  <c r="I151" i="7"/>
  <c r="E152" i="7"/>
  <c r="I134" i="7"/>
  <c r="E135" i="7"/>
  <c r="I135" i="7" s="1"/>
  <c r="E16" i="7"/>
  <c r="I16" i="7" s="1"/>
  <c r="I15" i="7"/>
  <c r="E21" i="7"/>
  <c r="I20" i="7"/>
  <c r="E42" i="7"/>
  <c r="I42" i="7" s="1"/>
  <c r="I41" i="7"/>
  <c r="I31" i="7"/>
  <c r="E32" i="7"/>
  <c r="I32" i="7" s="1"/>
  <c r="E37" i="7"/>
  <c r="I37" i="7" s="1"/>
  <c r="I36" i="7"/>
  <c r="E670" i="7" l="1"/>
  <c r="I670" i="7" s="1"/>
  <c r="I669" i="7"/>
  <c r="E677" i="7"/>
  <c r="I677" i="7" s="1"/>
  <c r="I676" i="7"/>
  <c r="I626" i="7"/>
  <c r="E627" i="7"/>
  <c r="I627" i="7" s="1"/>
  <c r="E621" i="7"/>
  <c r="I621" i="7" s="1"/>
  <c r="I620" i="7"/>
  <c r="E614" i="7"/>
  <c r="I614" i="7" s="1"/>
  <c r="I613" i="7"/>
  <c r="I541" i="7"/>
  <c r="E542" i="7"/>
  <c r="I542" i="7" s="1"/>
  <c r="E554" i="7"/>
  <c r="I553" i="7"/>
  <c r="E549" i="7"/>
  <c r="I549" i="7" s="1"/>
  <c r="I548" i="7"/>
  <c r="E470" i="7"/>
  <c r="I470" i="7" s="1"/>
  <c r="I469" i="7"/>
  <c r="I482" i="7"/>
  <c r="E483" i="7"/>
  <c r="I483" i="7" s="1"/>
  <c r="E477" i="7"/>
  <c r="I477" i="7" s="1"/>
  <c r="I476" i="7"/>
  <c r="E398" i="7"/>
  <c r="I398" i="7" s="1"/>
  <c r="I397" i="7"/>
  <c r="E405" i="7"/>
  <c r="I405" i="7" s="1"/>
  <c r="I404" i="7"/>
  <c r="I410" i="7"/>
  <c r="E411" i="7"/>
  <c r="I411" i="7" s="1"/>
  <c r="E314" i="7"/>
  <c r="I314" i="7" s="1"/>
  <c r="I313" i="7"/>
  <c r="I319" i="7"/>
  <c r="E320" i="7"/>
  <c r="E326" i="7"/>
  <c r="I325" i="7"/>
  <c r="I307" i="7"/>
  <c r="E308" i="7"/>
  <c r="I308" i="7" s="1"/>
  <c r="I235" i="7"/>
  <c r="E236" i="7"/>
  <c r="I252" i="7"/>
  <c r="E253" i="7"/>
  <c r="I253" i="7" s="1"/>
  <c r="E230" i="7"/>
  <c r="I230" i="7" s="1"/>
  <c r="I229" i="7"/>
  <c r="I242" i="7"/>
  <c r="E243" i="7"/>
  <c r="I243" i="7" s="1"/>
  <c r="I157" i="7"/>
  <c r="E158" i="7"/>
  <c r="E153" i="7"/>
  <c r="I153" i="7" s="1"/>
  <c r="I152" i="7"/>
  <c r="E146" i="7"/>
  <c r="I146" i="7" s="1"/>
  <c r="I145" i="7"/>
  <c r="E22" i="7"/>
  <c r="I22" i="7" s="1"/>
  <c r="I21" i="7"/>
  <c r="I554" i="7" l="1"/>
  <c r="E555" i="7"/>
  <c r="I555" i="7" s="1"/>
  <c r="I326" i="7"/>
  <c r="E327" i="7"/>
  <c r="I327" i="7" s="1"/>
  <c r="E321" i="7"/>
  <c r="I321" i="7" s="1"/>
  <c r="I320" i="7"/>
  <c r="E237" i="7"/>
  <c r="I237" i="7" s="1"/>
  <c r="I236" i="7"/>
  <c r="I158" i="7"/>
  <c r="E159" i="7"/>
  <c r="I159" i="7" s="1"/>
  <c r="M8" i="7" l="1"/>
  <c r="M7" i="7"/>
  <c r="M6" i="7"/>
  <c r="M5" i="7"/>
  <c r="M4" i="7"/>
  <c r="M3" i="7"/>
  <c r="M2" i="7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2" i="8"/>
  <c r="B2" i="4"/>
  <c r="B2" i="3"/>
  <c r="B2" i="1"/>
  <c r="B2" i="6"/>
  <c r="B3" i="5"/>
  <c r="B4" i="5"/>
  <c r="B5" i="5"/>
  <c r="B6" i="5"/>
  <c r="B7" i="5"/>
  <c r="B8" i="5"/>
  <c r="B9" i="5"/>
  <c r="B10" i="5"/>
  <c r="B11" i="5"/>
  <c r="B12" i="5"/>
  <c r="B13" i="5"/>
  <c r="B2" i="5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3" i="1"/>
  <c r="C4" i="1"/>
  <c r="C5" i="1"/>
  <c r="C6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6" i="1"/>
  <c r="C37" i="1"/>
  <c r="C38" i="1"/>
  <c r="C41" i="1"/>
  <c r="C42" i="1"/>
  <c r="C43" i="1"/>
  <c r="C2" i="8"/>
  <c r="C2" i="4"/>
  <c r="C2" i="3"/>
  <c r="C2" i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2" i="6"/>
  <c r="C3" i="5"/>
  <c r="C4" i="5"/>
  <c r="C5" i="5"/>
  <c r="C6" i="5"/>
  <c r="C7" i="5"/>
  <c r="C8" i="5"/>
  <c r="C9" i="5"/>
  <c r="C10" i="5"/>
  <c r="C11" i="5"/>
  <c r="C12" i="5"/>
  <c r="C13" i="5"/>
  <c r="C2" i="5"/>
  <c r="M9" i="7" l="1"/>
  <c r="A2" i="8"/>
  <c r="A2" i="4"/>
  <c r="A2" i="3"/>
  <c r="A2" i="1"/>
  <c r="A2" i="6"/>
  <c r="A2" i="5"/>
  <c r="E37" i="8"/>
  <c r="E33" i="8"/>
  <c r="E28" i="8"/>
  <c r="E23" i="8"/>
  <c r="E17" i="8"/>
  <c r="E12" i="8"/>
  <c r="E7" i="8"/>
  <c r="E38" i="4"/>
  <c r="E33" i="4"/>
  <c r="E28" i="4"/>
  <c r="E23" i="4"/>
  <c r="E17" i="4"/>
  <c r="E12" i="4"/>
  <c r="E7" i="4"/>
  <c r="E39" i="3"/>
  <c r="E34" i="3"/>
  <c r="E29" i="3"/>
  <c r="E24" i="3"/>
  <c r="E18" i="3"/>
  <c r="E12" i="3"/>
  <c r="E7" i="3"/>
  <c r="E41" i="1"/>
  <c r="E36" i="1"/>
  <c r="E31" i="1"/>
  <c r="E25" i="1"/>
  <c r="E18" i="1"/>
  <c r="E12" i="1"/>
  <c r="E7" i="1"/>
  <c r="E16" i="6"/>
  <c r="E14" i="6"/>
  <c r="E12" i="6"/>
  <c r="E10" i="6"/>
  <c r="E8" i="6"/>
  <c r="E6" i="6"/>
  <c r="E4" i="6"/>
  <c r="E6" i="5"/>
  <c r="E8" i="5"/>
  <c r="E10" i="5"/>
  <c r="E12" i="5"/>
  <c r="E4" i="5"/>
  <c r="AS1" i="7"/>
  <c r="AV1" i="7" s="1"/>
  <c r="AQ1" i="7"/>
  <c r="AT1" i="7" l="1"/>
  <c r="AU1" i="7"/>
  <c r="L8" i="5"/>
  <c r="L7" i="5"/>
  <c r="L6" i="5"/>
  <c r="L5" i="5"/>
  <c r="L4" i="5"/>
  <c r="L3" i="5"/>
  <c r="L2" i="5"/>
  <c r="L8" i="6"/>
  <c r="L7" i="6"/>
  <c r="L6" i="6"/>
  <c r="L5" i="6"/>
  <c r="L4" i="6"/>
  <c r="L3" i="6"/>
  <c r="L2" i="6"/>
  <c r="L8" i="1"/>
  <c r="L7" i="1"/>
  <c r="L6" i="1"/>
  <c r="L5" i="1"/>
  <c r="L4" i="1"/>
  <c r="L3" i="1"/>
  <c r="L2" i="1"/>
  <c r="L8" i="3"/>
  <c r="L7" i="3"/>
  <c r="L6" i="3"/>
  <c r="L5" i="3"/>
  <c r="L4" i="3"/>
  <c r="L3" i="3"/>
  <c r="L2" i="3"/>
  <c r="L8" i="8"/>
  <c r="L7" i="8"/>
  <c r="L6" i="8"/>
  <c r="L5" i="8"/>
  <c r="L4" i="8"/>
  <c r="L3" i="8"/>
  <c r="L2" i="8"/>
  <c r="L8" i="4"/>
  <c r="L7" i="4"/>
  <c r="L6" i="4"/>
  <c r="L5" i="4"/>
  <c r="L4" i="4"/>
  <c r="L3" i="4"/>
  <c r="L2" i="4"/>
  <c r="F41" i="8"/>
  <c r="F40" i="8"/>
  <c r="F39" i="8"/>
  <c r="F38" i="8"/>
  <c r="F37" i="8"/>
  <c r="F36" i="8"/>
  <c r="F35" i="8"/>
  <c r="F34" i="8"/>
  <c r="F33" i="8"/>
  <c r="E34" i="8" s="1"/>
  <c r="I34" i="8" s="1"/>
  <c r="I33" i="8"/>
  <c r="F32" i="8"/>
  <c r="F31" i="8"/>
  <c r="F30" i="8"/>
  <c r="F29" i="8"/>
  <c r="F28" i="8"/>
  <c r="E29" i="8" s="1"/>
  <c r="I29" i="8" s="1"/>
  <c r="I28" i="8"/>
  <c r="F27" i="8"/>
  <c r="F26" i="8"/>
  <c r="F25" i="8"/>
  <c r="F24" i="8"/>
  <c r="I23" i="8"/>
  <c r="F23" i="8"/>
  <c r="F22" i="8"/>
  <c r="F21" i="8"/>
  <c r="F20" i="8"/>
  <c r="F19" i="8"/>
  <c r="F18" i="8"/>
  <c r="F17" i="8"/>
  <c r="E18" i="8" s="1"/>
  <c r="I18" i="8" s="1"/>
  <c r="I17" i="8"/>
  <c r="F16" i="8"/>
  <c r="F15" i="8"/>
  <c r="F14" i="8"/>
  <c r="F13" i="8"/>
  <c r="I12" i="8"/>
  <c r="F12" i="8"/>
  <c r="E13" i="8" s="1"/>
  <c r="I13" i="8" s="1"/>
  <c r="F11" i="8"/>
  <c r="F10" i="8"/>
  <c r="F9" i="8"/>
  <c r="F8" i="8"/>
  <c r="I7" i="8"/>
  <c r="F7" i="8"/>
  <c r="E8" i="8" s="1"/>
  <c r="F6" i="8"/>
  <c r="F5" i="8"/>
  <c r="F4" i="8"/>
  <c r="F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I2" i="8"/>
  <c r="F2" i="8"/>
  <c r="E3" i="8" s="1"/>
  <c r="F17" i="6"/>
  <c r="F16" i="6"/>
  <c r="I16" i="6"/>
  <c r="F15" i="6"/>
  <c r="F14" i="6"/>
  <c r="I14" i="6"/>
  <c r="F13" i="6"/>
  <c r="F12" i="6"/>
  <c r="I12" i="6"/>
  <c r="F11" i="6"/>
  <c r="F10" i="6"/>
  <c r="I10" i="6"/>
  <c r="F9" i="6"/>
  <c r="F8" i="6"/>
  <c r="E9" i="6" s="1"/>
  <c r="I9" i="6" s="1"/>
  <c r="F7" i="6"/>
  <c r="F6" i="6"/>
  <c r="I6" i="6"/>
  <c r="F5" i="6"/>
  <c r="F4" i="6"/>
  <c r="I4" i="6"/>
  <c r="F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I2" i="6"/>
  <c r="F2" i="6"/>
  <c r="E3" i="6" s="1"/>
  <c r="I3" i="6" s="1"/>
  <c r="F13" i="5"/>
  <c r="F12" i="5"/>
  <c r="F11" i="5"/>
  <c r="F10" i="5"/>
  <c r="I10" i="5"/>
  <c r="F9" i="5"/>
  <c r="F8" i="5"/>
  <c r="I8" i="5"/>
  <c r="F7" i="5"/>
  <c r="F6" i="5"/>
  <c r="F5" i="5"/>
  <c r="F4" i="5"/>
  <c r="I4" i="5"/>
  <c r="F3" i="5"/>
  <c r="A3" i="5"/>
  <c r="A4" i="5" s="1"/>
  <c r="I2" i="5"/>
  <c r="F2" i="5"/>
  <c r="E3" i="5" s="1"/>
  <c r="F42" i="4"/>
  <c r="F41" i="4"/>
  <c r="F40" i="4"/>
  <c r="F39" i="4"/>
  <c r="F38" i="4"/>
  <c r="F37" i="4"/>
  <c r="F36" i="4"/>
  <c r="F35" i="4"/>
  <c r="F34" i="4"/>
  <c r="F33" i="4"/>
  <c r="I33" i="4"/>
  <c r="F32" i="4"/>
  <c r="F31" i="4"/>
  <c r="F30" i="4"/>
  <c r="F29" i="4"/>
  <c r="F28" i="4"/>
  <c r="I28" i="4"/>
  <c r="F27" i="4"/>
  <c r="F26" i="4"/>
  <c r="F25" i="4"/>
  <c r="F24" i="4"/>
  <c r="F23" i="4"/>
  <c r="F22" i="4"/>
  <c r="F21" i="4"/>
  <c r="F20" i="4"/>
  <c r="F19" i="4"/>
  <c r="F18" i="4"/>
  <c r="F17" i="4"/>
  <c r="I17" i="4"/>
  <c r="F16" i="4"/>
  <c r="F15" i="4"/>
  <c r="F14" i="4"/>
  <c r="F13" i="4"/>
  <c r="F12" i="4"/>
  <c r="I12" i="4"/>
  <c r="F11" i="4"/>
  <c r="F10" i="4"/>
  <c r="F9" i="4"/>
  <c r="F8" i="4"/>
  <c r="I7" i="4"/>
  <c r="F7" i="4"/>
  <c r="F6" i="4"/>
  <c r="F5" i="4"/>
  <c r="F4" i="4"/>
  <c r="F3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I2" i="4"/>
  <c r="F2" i="4"/>
  <c r="E3" i="4" s="1"/>
  <c r="I3" i="4" s="1"/>
  <c r="F43" i="3"/>
  <c r="F45" i="1"/>
  <c r="F44" i="1"/>
  <c r="F43" i="1"/>
  <c r="F42" i="1"/>
  <c r="I41" i="1"/>
  <c r="F41" i="1"/>
  <c r="F40" i="1"/>
  <c r="F39" i="1"/>
  <c r="F38" i="1"/>
  <c r="F37" i="1"/>
  <c r="F36" i="1"/>
  <c r="I36" i="1"/>
  <c r="F35" i="1"/>
  <c r="F34" i="1"/>
  <c r="F33" i="1"/>
  <c r="F32" i="1"/>
  <c r="F31" i="1"/>
  <c r="F30" i="1"/>
  <c r="F29" i="1"/>
  <c r="F28" i="1"/>
  <c r="F27" i="1"/>
  <c r="F26" i="1"/>
  <c r="I25" i="1"/>
  <c r="F25" i="1"/>
  <c r="F24" i="1"/>
  <c r="F23" i="1"/>
  <c r="F22" i="1"/>
  <c r="F21" i="1"/>
  <c r="F20" i="1"/>
  <c r="F19" i="1"/>
  <c r="I18" i="1"/>
  <c r="F18" i="1"/>
  <c r="E19" i="1" s="1"/>
  <c r="F17" i="1"/>
  <c r="F16" i="1"/>
  <c r="F15" i="1"/>
  <c r="F14" i="1"/>
  <c r="F13" i="1"/>
  <c r="F12" i="1"/>
  <c r="I12" i="1"/>
  <c r="F11" i="1"/>
  <c r="F10" i="1"/>
  <c r="F9" i="1"/>
  <c r="F8" i="1"/>
  <c r="F7" i="1"/>
  <c r="F6" i="1"/>
  <c r="F5" i="1"/>
  <c r="F4" i="1"/>
  <c r="F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I2" i="1"/>
  <c r="F2" i="1"/>
  <c r="E3" i="1" s="1"/>
  <c r="I39" i="3"/>
  <c r="I34" i="3"/>
  <c r="I24" i="3"/>
  <c r="I18" i="3"/>
  <c r="I12" i="3"/>
  <c r="I7" i="3"/>
  <c r="F44" i="3"/>
  <c r="F42" i="3"/>
  <c r="F41" i="3"/>
  <c r="F40" i="3"/>
  <c r="F39" i="3"/>
  <c r="F38" i="3"/>
  <c r="F37" i="3"/>
  <c r="F36" i="3"/>
  <c r="F35" i="3"/>
  <c r="F34" i="3"/>
  <c r="E35" i="3" s="1"/>
  <c r="I35" i="3" s="1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I2" i="3"/>
  <c r="F2" i="3"/>
  <c r="E3" i="3" s="1"/>
  <c r="I3" i="3" s="1"/>
  <c r="A38" i="8" l="1"/>
  <c r="A39" i="8" s="1"/>
  <c r="A40" i="8" s="1"/>
  <c r="A41" i="8" s="1"/>
  <c r="E14" i="8"/>
  <c r="E15" i="8" s="1"/>
  <c r="E16" i="8" s="1"/>
  <c r="I16" i="8" s="1"/>
  <c r="E38" i="8"/>
  <c r="I38" i="8" s="1"/>
  <c r="E30" i="8"/>
  <c r="E31" i="8" s="1"/>
  <c r="I31" i="8" s="1"/>
  <c r="E24" i="8"/>
  <c r="I24" i="8" s="1"/>
  <c r="I3" i="8"/>
  <c r="E4" i="8"/>
  <c r="I8" i="8"/>
  <c r="E9" i="8"/>
  <c r="E8" i="4"/>
  <c r="E9" i="4" s="1"/>
  <c r="I37" i="8"/>
  <c r="E19" i="8"/>
  <c r="E35" i="8"/>
  <c r="I8" i="6"/>
  <c r="E17" i="6"/>
  <c r="I17" i="6" s="1"/>
  <c r="E15" i="6"/>
  <c r="I15" i="6" s="1"/>
  <c r="E7" i="6"/>
  <c r="I7" i="6" s="1"/>
  <c r="E5" i="6"/>
  <c r="I5" i="6" s="1"/>
  <c r="E13" i="6"/>
  <c r="I13" i="6" s="1"/>
  <c r="E11" i="6"/>
  <c r="I11" i="6" s="1"/>
  <c r="E32" i="1"/>
  <c r="E33" i="1" s="1"/>
  <c r="A5" i="5"/>
  <c r="E13" i="5"/>
  <c r="I13" i="5" s="1"/>
  <c r="E7" i="5"/>
  <c r="I7" i="5" s="1"/>
  <c r="E11" i="5"/>
  <c r="E9" i="5"/>
  <c r="I9" i="5" s="1"/>
  <c r="E5" i="5"/>
  <c r="I5" i="5" s="1"/>
  <c r="I6" i="5"/>
  <c r="I12" i="5"/>
  <c r="I3" i="5"/>
  <c r="I19" i="1"/>
  <c r="E20" i="1"/>
  <c r="I20" i="1" s="1"/>
  <c r="E8" i="1"/>
  <c r="E9" i="1" s="1"/>
  <c r="A18" i="4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E13" i="4"/>
  <c r="I13" i="4" s="1"/>
  <c r="E29" i="4"/>
  <c r="E30" i="4" s="1"/>
  <c r="I30" i="4" s="1"/>
  <c r="E39" i="4"/>
  <c r="I39" i="4" s="1"/>
  <c r="E24" i="4"/>
  <c r="I24" i="4" s="1"/>
  <c r="I38" i="4"/>
  <c r="E34" i="4"/>
  <c r="I34" i="4" s="1"/>
  <c r="E18" i="4"/>
  <c r="I18" i="4" s="1"/>
  <c r="I23" i="4"/>
  <c r="I3" i="1"/>
  <c r="E4" i="1"/>
  <c r="I4" i="1" s="1"/>
  <c r="E42" i="1"/>
  <c r="I42" i="1" s="1"/>
  <c r="E4" i="4"/>
  <c r="E26" i="1"/>
  <c r="I26" i="1" s="1"/>
  <c r="E19" i="3"/>
  <c r="I19" i="3" s="1"/>
  <c r="E40" i="3"/>
  <c r="I40" i="3" s="1"/>
  <c r="E13" i="3"/>
  <c r="E14" i="3" s="1"/>
  <c r="A25" i="3"/>
  <c r="A26" i="3" s="1"/>
  <c r="A27" i="3" s="1"/>
  <c r="A28" i="3" s="1"/>
  <c r="E30" i="3"/>
  <c r="E31" i="3" s="1"/>
  <c r="I7" i="1"/>
  <c r="E13" i="1"/>
  <c r="I31" i="1"/>
  <c r="E37" i="1"/>
  <c r="I29" i="3"/>
  <c r="E25" i="3"/>
  <c r="E26" i="3" s="1"/>
  <c r="E27" i="3" s="1"/>
  <c r="E8" i="3"/>
  <c r="E9" i="3" s="1"/>
  <c r="E4" i="3"/>
  <c r="E36" i="3"/>
  <c r="E21" i="1" l="1"/>
  <c r="I8" i="4"/>
  <c r="I14" i="8"/>
  <c r="E31" i="4"/>
  <c r="E32" i="4" s="1"/>
  <c r="I32" i="4" s="1"/>
  <c r="I15" i="8"/>
  <c r="A29" i="3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6" i="5"/>
  <c r="A7" i="5" s="1"/>
  <c r="E39" i="8"/>
  <c r="I39" i="8" s="1"/>
  <c r="I30" i="8"/>
  <c r="I32" i="1"/>
  <c r="I8" i="1"/>
  <c r="E32" i="8"/>
  <c r="I32" i="8" s="1"/>
  <c r="E25" i="8"/>
  <c r="I25" i="8" s="1"/>
  <c r="I19" i="8"/>
  <c r="E20" i="8"/>
  <c r="I35" i="8"/>
  <c r="E36" i="8"/>
  <c r="I9" i="8"/>
  <c r="E10" i="8"/>
  <c r="E5" i="8"/>
  <c r="I4" i="8"/>
  <c r="E43" i="1"/>
  <c r="E44" i="1" s="1"/>
  <c r="I11" i="5"/>
  <c r="E27" i="1"/>
  <c r="I27" i="1" s="1"/>
  <c r="I29" i="4"/>
  <c r="E35" i="4"/>
  <c r="I35" i="4" s="1"/>
  <c r="E14" i="4"/>
  <c r="E15" i="4" s="1"/>
  <c r="E19" i="4"/>
  <c r="E20" i="4" s="1"/>
  <c r="E25" i="4"/>
  <c r="I25" i="4" s="1"/>
  <c r="E40" i="4"/>
  <c r="I40" i="4" s="1"/>
  <c r="I9" i="4"/>
  <c r="E10" i="4"/>
  <c r="E5" i="4"/>
  <c r="I4" i="4"/>
  <c r="I13" i="3"/>
  <c r="E5" i="1"/>
  <c r="I5" i="1" s="1"/>
  <c r="E41" i="3"/>
  <c r="I41" i="3" s="1"/>
  <c r="E20" i="3"/>
  <c r="E21" i="3" s="1"/>
  <c r="E22" i="3" s="1"/>
  <c r="I30" i="3"/>
  <c r="E32" i="3"/>
  <c r="E33" i="3" s="1"/>
  <c r="I33" i="3" s="1"/>
  <c r="I31" i="3"/>
  <c r="I21" i="1"/>
  <c r="E22" i="1"/>
  <c r="I33" i="1"/>
  <c r="E34" i="1"/>
  <c r="E14" i="1"/>
  <c r="I13" i="1"/>
  <c r="I9" i="1"/>
  <c r="E10" i="1"/>
  <c r="I37" i="1"/>
  <c r="E38" i="1"/>
  <c r="I26" i="3"/>
  <c r="I25" i="3"/>
  <c r="I8" i="3"/>
  <c r="I9" i="3"/>
  <c r="E10" i="3"/>
  <c r="I36" i="3"/>
  <c r="E37" i="3"/>
  <c r="I14" i="3"/>
  <c r="E15" i="3"/>
  <c r="E28" i="3"/>
  <c r="I27" i="3"/>
  <c r="E5" i="3"/>
  <c r="I4" i="3"/>
  <c r="I31" i="4" l="1"/>
  <c r="E28" i="1"/>
  <c r="E40" i="8"/>
  <c r="I40" i="8" s="1"/>
  <c r="E6" i="1"/>
  <c r="I6" i="1" s="1"/>
  <c r="A44" i="3"/>
  <c r="A43" i="3"/>
  <c r="A8" i="5"/>
  <c r="A9" i="5" s="1"/>
  <c r="I43" i="1"/>
  <c r="E26" i="8"/>
  <c r="I26" i="8" s="1"/>
  <c r="E36" i="4"/>
  <c r="I36" i="4" s="1"/>
  <c r="E6" i="8"/>
  <c r="I6" i="8" s="1"/>
  <c r="I5" i="8"/>
  <c r="I10" i="8"/>
  <c r="E11" i="8"/>
  <c r="I11" i="8" s="1"/>
  <c r="E21" i="8"/>
  <c r="I20" i="8"/>
  <c r="I36" i="8"/>
  <c r="I32" i="3"/>
  <c r="I19" i="4"/>
  <c r="I15" i="4"/>
  <c r="E16" i="4"/>
  <c r="I16" i="4" s="1"/>
  <c r="E26" i="4"/>
  <c r="E27" i="4" s="1"/>
  <c r="I27" i="4" s="1"/>
  <c r="I14" i="4"/>
  <c r="E41" i="4"/>
  <c r="I41" i="4" s="1"/>
  <c r="E6" i="4"/>
  <c r="I6" i="4" s="1"/>
  <c r="I5" i="4"/>
  <c r="I10" i="4"/>
  <c r="E11" i="4"/>
  <c r="I11" i="4" s="1"/>
  <c r="E21" i="4"/>
  <c r="I20" i="4"/>
  <c r="I20" i="3"/>
  <c r="E42" i="3"/>
  <c r="I21" i="3"/>
  <c r="I22" i="1"/>
  <c r="E23" i="1"/>
  <c r="I10" i="1"/>
  <c r="E11" i="1"/>
  <c r="I11" i="1" s="1"/>
  <c r="I14" i="1"/>
  <c r="E15" i="1"/>
  <c r="I38" i="1"/>
  <c r="E39" i="1"/>
  <c r="I34" i="1"/>
  <c r="E35" i="1"/>
  <c r="I35" i="1" s="1"/>
  <c r="I28" i="1"/>
  <c r="E29" i="1"/>
  <c r="I44" i="1"/>
  <c r="E45" i="1"/>
  <c r="I45" i="1" s="1"/>
  <c r="I28" i="3"/>
  <c r="I22" i="3"/>
  <c r="E23" i="3"/>
  <c r="I37" i="3"/>
  <c r="E38" i="3"/>
  <c r="I38" i="3" s="1"/>
  <c r="E6" i="3"/>
  <c r="I6" i="3" s="1"/>
  <c r="I5" i="3"/>
  <c r="I15" i="3"/>
  <c r="E16" i="3"/>
  <c r="I10" i="3"/>
  <c r="E11" i="3"/>
  <c r="I11" i="3" s="1"/>
  <c r="E37" i="4" l="1"/>
  <c r="I37" i="4" s="1"/>
  <c r="E41" i="8"/>
  <c r="I41" i="8" s="1"/>
  <c r="A10" i="5"/>
  <c r="A11" i="5" s="1"/>
  <c r="E27" i="8"/>
  <c r="I27" i="8" s="1"/>
  <c r="E22" i="8"/>
  <c r="I22" i="8" s="1"/>
  <c r="I21" i="8"/>
  <c r="I26" i="4"/>
  <c r="E42" i="4"/>
  <c r="I42" i="4" s="1"/>
  <c r="I42" i="3"/>
  <c r="E43" i="3"/>
  <c r="E22" i="4"/>
  <c r="I22" i="4" s="1"/>
  <c r="I21" i="4"/>
  <c r="I29" i="1"/>
  <c r="E30" i="1"/>
  <c r="I30" i="1" s="1"/>
  <c r="E16" i="1"/>
  <c r="I15" i="1"/>
  <c r="E24" i="1"/>
  <c r="I24" i="1" s="1"/>
  <c r="I23" i="1"/>
  <c r="E40" i="1"/>
  <c r="I40" i="1" s="1"/>
  <c r="I39" i="1"/>
  <c r="I23" i="3"/>
  <c r="I16" i="3"/>
  <c r="E17" i="3"/>
  <c r="I17" i="3" s="1"/>
  <c r="A12" i="5" l="1"/>
  <c r="A13" i="5" s="1"/>
  <c r="I43" i="3"/>
  <c r="E44" i="3"/>
  <c r="I44" i="3" s="1"/>
  <c r="E17" i="1"/>
  <c r="I17" i="1" s="1"/>
  <c r="I16" i="1"/>
</calcChain>
</file>

<file path=xl/sharedStrings.xml><?xml version="1.0" encoding="utf-8"?>
<sst xmlns="http://schemas.openxmlformats.org/spreadsheetml/2006/main" count="2097" uniqueCount="51">
  <si>
    <t>id</t>
  </si>
  <si>
    <t>field</t>
  </si>
  <si>
    <t>game</t>
  </si>
  <si>
    <t>time</t>
  </si>
  <si>
    <t>duration</t>
  </si>
  <si>
    <t>league</t>
  </si>
  <si>
    <t>weekday</t>
  </si>
  <si>
    <t>Saturday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</si>
  <si>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</si>
  <si>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</si>
  <si>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</si>
  <si>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</si>
  <si>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</si>
  <si>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</si>
  <si>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</si>
  <si>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</si>
  <si>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</si>
  <si>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</si>
  <si>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</si>
  <si>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</si>
  <si>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</si>
  <si>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</si>
  <si>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</si>
  <si>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Friday Nights</t>
  </si>
  <si>
    <t>Sat No ITB</t>
  </si>
  <si>
    <t>Weeknights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</si>
  <si>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</si>
  <si>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</si>
  <si>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</si>
  <si>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</si>
  <si>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</si>
  <si>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</si>
  <si>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</si>
  <si>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</si>
  <si>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</si>
  <si>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</si>
  <si>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</si>
  <si>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</si>
  <si>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</si>
  <si>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</si>
  <si>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</si>
  <si>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</si>
  <si>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</si>
  <si>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</si>
  <si>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</si>
  <si>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</si>
  <si>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</si>
  <si>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</si>
  <si>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</si>
  <si>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</si>
  <si>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1,2,3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</si>
</sst>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164" fontId="0" fillId="0" borderId="0" xfId="0" applyNumberFormat="1" applyBorder="1"/>
    <xf numFmtId="0" fontId="0" fillId="0" borderId="5" xfId="0" applyBorder="1"/>
    <xf numFmtId="0" fontId="0" fillId="0" borderId="6" xfId="0" applyBorder="1"/>
    <xf numFmtId="164" fontId="0" fillId="0" borderId="6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9</xdr:row>
          <xdr:rowOff>57150</xdr:rowOff>
        </xdr:from>
        <xdr:to>
          <xdr:col>11</xdr:col>
          <xdr:colOff>619125</xdr:colOff>
          <xdr:row>11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V698"/>
  <sheetViews>
    <sheetView tabSelected="1" topLeftCell="A664" workbookViewId="0">
      <selection activeCell="J689" sqref="J689"/>
    </sheetView>
  </sheetViews>
  <sheetFormatPr defaultRowHeight="15" x14ac:dyDescent="0.25"/>
  <cols>
    <col min="4" max="4" width="16.140625" bestFit="1" customWidth="1"/>
    <col min="5" max="5" width="15.5703125" bestFit="1" customWidth="1"/>
  </cols>
  <sheetData>
    <row r="1" spans="1:48" ht="15.75" thickBot="1" x14ac:dyDescent="0.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4</v>
      </c>
      <c r="G1" t="s">
        <v>1</v>
      </c>
      <c r="H1" t="s">
        <v>5</v>
      </c>
      <c r="I1" s="2" t="s">
        <v>6</v>
      </c>
      <c r="AM1" s="3">
        <v>1</v>
      </c>
      <c r="AN1" s="4" t="s">
        <v>8</v>
      </c>
      <c r="AO1" s="4"/>
      <c r="AP1" s="5">
        <v>43890.375</v>
      </c>
      <c r="AQ1" s="4">
        <f t="shared" ref="AQ1" si="0">VLOOKUP(AR1,GameDuration,2,FALSE)</f>
        <v>120</v>
      </c>
      <c r="AR1" s="4" t="s">
        <v>8</v>
      </c>
      <c r="AS1" s="4">
        <f t="shared" ref="AS1" si="1">WEEKDAY(AP1)</f>
        <v>7</v>
      </c>
      <c r="AT1" s="4">
        <f t="shared" ref="AT1" si="2">IF(AS1=7,10,0)</f>
        <v>10</v>
      </c>
      <c r="AU1" s="4">
        <f t="shared" ref="AU1" si="3">IF(AS1=1,8,0)</f>
        <v>0</v>
      </c>
      <c r="AV1" s="6">
        <f t="shared" ref="AV1" si="4">IF(AS1=6,5,0)</f>
        <v>0</v>
      </c>
    </row>
    <row r="2" spans="1:48" x14ac:dyDescent="0.25">
      <c r="A2" s="3">
        <v>1</v>
      </c>
      <c r="B2" s="4" t="str">
        <f t="shared" ref="B2:B65" si="5">VLOOKUP(G2,field_id,2,FALSE)</f>
        <v>4</v>
      </c>
      <c r="C2" s="4">
        <f t="shared" ref="C2:C65" si="6">VLOOKUP(H2,league_id,2,FALSE)</f>
        <v>1</v>
      </c>
      <c r="D2" s="4"/>
      <c r="E2" s="5">
        <v>43890.375</v>
      </c>
      <c r="F2" s="4">
        <f t="shared" ref="F2:F65" si="7">VLOOKUP(H2,GameDuration,2,FALSE)</f>
        <v>120</v>
      </c>
      <c r="G2" s="4" t="s">
        <v>8</v>
      </c>
      <c r="H2" s="4" t="s">
        <v>8</v>
      </c>
      <c r="I2" s="4">
        <f t="shared" ref="I2:I16" si="8">WEEKDAY(E2)</f>
        <v>7</v>
      </c>
      <c r="L2" t="s">
        <v>8</v>
      </c>
      <c r="M2">
        <f t="shared" ref="M2:M8" si="9">COUNTIF(H:H,L2)</f>
        <v>91</v>
      </c>
      <c r="O2">
        <v>11</v>
      </c>
      <c r="P2" t="s">
        <v>26</v>
      </c>
    </row>
    <row r="3" spans="1:48" x14ac:dyDescent="0.25">
      <c r="A3" s="7">
        <f>A2+1</f>
        <v>2</v>
      </c>
      <c r="B3" s="8" t="str">
        <f t="shared" si="5"/>
        <v>4</v>
      </c>
      <c r="C3" s="8">
        <f t="shared" si="6"/>
        <v>1</v>
      </c>
      <c r="D3" s="8"/>
      <c r="E3" s="9">
        <f>E2+F2/60/24</f>
        <v>43890.458333333336</v>
      </c>
      <c r="F3" s="8">
        <f t="shared" si="7"/>
        <v>120</v>
      </c>
      <c r="G3" s="8" t="s">
        <v>8</v>
      </c>
      <c r="H3" s="8" t="s">
        <v>8</v>
      </c>
      <c r="I3" s="8">
        <f t="shared" si="8"/>
        <v>7</v>
      </c>
      <c r="L3" t="s">
        <v>9</v>
      </c>
      <c r="M3">
        <f t="shared" si="9"/>
        <v>127</v>
      </c>
      <c r="O3">
        <v>19</v>
      </c>
      <c r="P3" t="s">
        <v>27</v>
      </c>
    </row>
    <row r="4" spans="1:48" x14ac:dyDescent="0.25">
      <c r="A4" s="7">
        <f t="shared" ref="A4:A42" si="10">A3+1</f>
        <v>3</v>
      </c>
      <c r="B4" s="8" t="str">
        <f t="shared" si="5"/>
        <v>4</v>
      </c>
      <c r="C4" s="8">
        <f t="shared" si="6"/>
        <v>1</v>
      </c>
      <c r="D4" s="8"/>
      <c r="E4" s="9">
        <f>E3+F3/60/24</f>
        <v>43890.541666666672</v>
      </c>
      <c r="F4" s="8">
        <f t="shared" si="7"/>
        <v>120</v>
      </c>
      <c r="G4" s="8" t="s">
        <v>8</v>
      </c>
      <c r="H4" s="8" t="s">
        <v>8</v>
      </c>
      <c r="I4" s="8">
        <f t="shared" si="8"/>
        <v>7</v>
      </c>
      <c r="L4" t="s">
        <v>12</v>
      </c>
      <c r="M4">
        <f t="shared" si="9"/>
        <v>109</v>
      </c>
      <c r="O4">
        <v>15</v>
      </c>
      <c r="P4" t="s">
        <v>28</v>
      </c>
    </row>
    <row r="5" spans="1:48" x14ac:dyDescent="0.25">
      <c r="A5" s="7">
        <f t="shared" si="10"/>
        <v>4</v>
      </c>
      <c r="B5" s="8" t="str">
        <f t="shared" si="5"/>
        <v>4</v>
      </c>
      <c r="C5" s="8">
        <f t="shared" si="6"/>
        <v>1</v>
      </c>
      <c r="D5" s="8"/>
      <c r="E5" s="9">
        <f>E4+F4/60/24</f>
        <v>43890.625000000007</v>
      </c>
      <c r="F5" s="8">
        <f t="shared" si="7"/>
        <v>120</v>
      </c>
      <c r="G5" s="8" t="s">
        <v>8</v>
      </c>
      <c r="H5" s="8" t="s">
        <v>8</v>
      </c>
      <c r="I5" s="8">
        <f t="shared" si="8"/>
        <v>7</v>
      </c>
      <c r="L5" t="s">
        <v>13</v>
      </c>
      <c r="M5">
        <f t="shared" si="9"/>
        <v>174</v>
      </c>
      <c r="O5">
        <v>22</v>
      </c>
      <c r="P5" t="s">
        <v>29</v>
      </c>
    </row>
    <row r="6" spans="1:48" ht="15.75" thickBot="1" x14ac:dyDescent="0.3">
      <c r="A6" s="10">
        <f t="shared" si="10"/>
        <v>5</v>
      </c>
      <c r="B6" s="11" t="str">
        <f t="shared" si="5"/>
        <v>4</v>
      </c>
      <c r="C6" s="11">
        <f t="shared" si="6"/>
        <v>1</v>
      </c>
      <c r="D6" s="11"/>
      <c r="E6" s="12">
        <f>E5+F5/60/24</f>
        <v>43890.708333333343</v>
      </c>
      <c r="F6" s="11">
        <f t="shared" si="7"/>
        <v>120</v>
      </c>
      <c r="G6" s="11" t="s">
        <v>8</v>
      </c>
      <c r="H6" s="11" t="s">
        <v>8</v>
      </c>
      <c r="I6" s="11">
        <f t="shared" si="8"/>
        <v>7</v>
      </c>
      <c r="L6" t="s">
        <v>11</v>
      </c>
      <c r="M6">
        <f t="shared" si="9"/>
        <v>155</v>
      </c>
      <c r="O6">
        <v>16</v>
      </c>
      <c r="P6" t="s">
        <v>30</v>
      </c>
    </row>
    <row r="7" spans="1:48" x14ac:dyDescent="0.25">
      <c r="A7" s="3">
        <f t="shared" si="10"/>
        <v>6</v>
      </c>
      <c r="B7" s="4" t="str">
        <f t="shared" si="5"/>
        <v>3</v>
      </c>
      <c r="C7" s="4">
        <f t="shared" si="6"/>
        <v>2</v>
      </c>
      <c r="D7" s="4"/>
      <c r="E7" s="5">
        <f>E2</f>
        <v>43890.375</v>
      </c>
      <c r="F7" s="4">
        <f t="shared" si="7"/>
        <v>120</v>
      </c>
      <c r="G7" s="4" t="s">
        <v>9</v>
      </c>
      <c r="H7" s="4" t="s">
        <v>9</v>
      </c>
      <c r="I7" s="4">
        <f t="shared" si="8"/>
        <v>7</v>
      </c>
      <c r="L7" t="s">
        <v>14</v>
      </c>
      <c r="M7">
        <f t="shared" si="9"/>
        <v>32</v>
      </c>
      <c r="O7">
        <v>9</v>
      </c>
      <c r="P7" t="s">
        <v>31</v>
      </c>
    </row>
    <row r="8" spans="1:48" x14ac:dyDescent="0.25">
      <c r="A8" s="7">
        <f t="shared" si="10"/>
        <v>7</v>
      </c>
      <c r="B8" s="8" t="str">
        <f t="shared" si="5"/>
        <v>3</v>
      </c>
      <c r="C8" s="8">
        <f t="shared" si="6"/>
        <v>2</v>
      </c>
      <c r="D8" s="8"/>
      <c r="E8" s="9">
        <f>E7+F7/60/24</f>
        <v>43890.458333333336</v>
      </c>
      <c r="F8" s="8">
        <f t="shared" si="7"/>
        <v>120</v>
      </c>
      <c r="G8" s="8" t="s">
        <v>9</v>
      </c>
      <c r="H8" s="8" t="s">
        <v>9</v>
      </c>
      <c r="I8" s="8">
        <f t="shared" si="8"/>
        <v>7</v>
      </c>
      <c r="L8" t="s">
        <v>15</v>
      </c>
      <c r="M8">
        <f t="shared" si="9"/>
        <v>9</v>
      </c>
      <c r="O8">
        <v>4</v>
      </c>
      <c r="P8" t="s">
        <v>32</v>
      </c>
    </row>
    <row r="9" spans="1:48" x14ac:dyDescent="0.25">
      <c r="A9" s="7">
        <f t="shared" si="10"/>
        <v>8</v>
      </c>
      <c r="B9" s="8" t="str">
        <f t="shared" si="5"/>
        <v>3</v>
      </c>
      <c r="C9" s="8">
        <f t="shared" si="6"/>
        <v>2</v>
      </c>
      <c r="D9" s="8"/>
      <c r="E9" s="9">
        <f t="shared" ref="E9:E11" si="11">E8+F8/60/24</f>
        <v>43890.541666666672</v>
      </c>
      <c r="F9" s="8">
        <f t="shared" si="7"/>
        <v>120</v>
      </c>
      <c r="G9" s="8" t="s">
        <v>9</v>
      </c>
      <c r="H9" s="8" t="s">
        <v>9</v>
      </c>
      <c r="I9" s="8">
        <f t="shared" si="8"/>
        <v>7</v>
      </c>
      <c r="M9">
        <f>SUM(M2:M8)</f>
        <v>697</v>
      </c>
    </row>
    <row r="10" spans="1:48" x14ac:dyDescent="0.25">
      <c r="A10" s="7">
        <f t="shared" si="10"/>
        <v>9</v>
      </c>
      <c r="B10" s="8" t="str">
        <f t="shared" si="5"/>
        <v>3</v>
      </c>
      <c r="C10" s="8">
        <f t="shared" si="6"/>
        <v>2</v>
      </c>
      <c r="D10" s="8"/>
      <c r="E10" s="9">
        <f t="shared" si="11"/>
        <v>43890.625000000007</v>
      </c>
      <c r="F10" s="8">
        <f t="shared" si="7"/>
        <v>120</v>
      </c>
      <c r="G10" s="8" t="s">
        <v>9</v>
      </c>
      <c r="H10" s="8" t="s">
        <v>9</v>
      </c>
      <c r="I10" s="8">
        <f t="shared" si="8"/>
        <v>7</v>
      </c>
      <c r="P10" t="s">
        <v>33</v>
      </c>
    </row>
    <row r="11" spans="1:48" ht="15.75" thickBot="1" x14ac:dyDescent="0.3">
      <c r="A11" s="10">
        <f t="shared" si="10"/>
        <v>10</v>
      </c>
      <c r="B11" s="11" t="str">
        <f t="shared" si="5"/>
        <v>3</v>
      </c>
      <c r="C11" s="11">
        <f t="shared" si="6"/>
        <v>2</v>
      </c>
      <c r="D11" s="11"/>
      <c r="E11" s="9">
        <f t="shared" si="11"/>
        <v>43890.708333333343</v>
      </c>
      <c r="F11" s="11">
        <f t="shared" si="7"/>
        <v>120</v>
      </c>
      <c r="G11" s="11" t="s">
        <v>9</v>
      </c>
      <c r="H11" s="11" t="s">
        <v>9</v>
      </c>
      <c r="I11" s="11">
        <f t="shared" si="8"/>
        <v>7</v>
      </c>
      <c r="P11" t="s">
        <v>34</v>
      </c>
    </row>
    <row r="12" spans="1:48" x14ac:dyDescent="0.25">
      <c r="A12" s="3">
        <f t="shared" si="10"/>
        <v>11</v>
      </c>
      <c r="B12" s="4" t="str">
        <f t="shared" si="5"/>
        <v>2</v>
      </c>
      <c r="C12" s="4">
        <f t="shared" si="6"/>
        <v>4</v>
      </c>
      <c r="D12" s="4"/>
      <c r="E12" s="5">
        <f>E2</f>
        <v>43890.375</v>
      </c>
      <c r="F12" s="4">
        <f t="shared" si="7"/>
        <v>105</v>
      </c>
      <c r="G12" s="4" t="s">
        <v>10</v>
      </c>
      <c r="H12" s="4" t="s">
        <v>13</v>
      </c>
      <c r="I12" s="4">
        <f t="shared" si="8"/>
        <v>7</v>
      </c>
      <c r="P12" t="s">
        <v>35</v>
      </c>
    </row>
    <row r="13" spans="1:48" x14ac:dyDescent="0.25">
      <c r="A13" s="7">
        <f t="shared" si="10"/>
        <v>12</v>
      </c>
      <c r="B13" s="8" t="str">
        <f t="shared" si="5"/>
        <v>2</v>
      </c>
      <c r="C13" s="8">
        <f t="shared" si="6"/>
        <v>4</v>
      </c>
      <c r="D13" s="8"/>
      <c r="E13" s="9">
        <f>E12+F12/60/24</f>
        <v>43890.447916666664</v>
      </c>
      <c r="F13" s="8">
        <f t="shared" si="7"/>
        <v>105</v>
      </c>
      <c r="G13" s="8" t="s">
        <v>10</v>
      </c>
      <c r="H13" s="8" t="s">
        <v>13</v>
      </c>
      <c r="I13" s="8">
        <f t="shared" si="8"/>
        <v>7</v>
      </c>
      <c r="P13" t="s">
        <v>36</v>
      </c>
    </row>
    <row r="14" spans="1:48" x14ac:dyDescent="0.25">
      <c r="A14" s="7">
        <f t="shared" si="10"/>
        <v>13</v>
      </c>
      <c r="B14" s="8" t="str">
        <f t="shared" si="5"/>
        <v>2</v>
      </c>
      <c r="C14" s="8">
        <f t="shared" si="6"/>
        <v>4</v>
      </c>
      <c r="D14" s="8"/>
      <c r="E14" s="9">
        <f t="shared" ref="E14:E16" si="12">E13+F13/60/24</f>
        <v>43890.520833333328</v>
      </c>
      <c r="F14" s="8">
        <f t="shared" si="7"/>
        <v>105</v>
      </c>
      <c r="G14" s="8" t="s">
        <v>10</v>
      </c>
      <c r="H14" s="8" t="s">
        <v>13</v>
      </c>
      <c r="I14" s="8">
        <f t="shared" si="8"/>
        <v>7</v>
      </c>
      <c r="P14" t="s">
        <v>37</v>
      </c>
    </row>
    <row r="15" spans="1:48" x14ac:dyDescent="0.25">
      <c r="A15" s="7">
        <f t="shared" si="10"/>
        <v>14</v>
      </c>
      <c r="B15" s="8" t="str">
        <f t="shared" si="5"/>
        <v>2</v>
      </c>
      <c r="C15" s="8">
        <f t="shared" si="6"/>
        <v>4</v>
      </c>
      <c r="D15" s="8"/>
      <c r="E15" s="9">
        <f t="shared" si="12"/>
        <v>43890.593749999993</v>
      </c>
      <c r="F15" s="8">
        <f t="shared" si="7"/>
        <v>105</v>
      </c>
      <c r="G15" s="8" t="s">
        <v>10</v>
      </c>
      <c r="H15" s="8" t="s">
        <v>13</v>
      </c>
      <c r="I15" s="8">
        <f t="shared" si="8"/>
        <v>7</v>
      </c>
      <c r="P15" t="s">
        <v>38</v>
      </c>
    </row>
    <row r="16" spans="1:48" ht="15.75" thickBot="1" x14ac:dyDescent="0.3">
      <c r="A16" s="7">
        <f t="shared" si="10"/>
        <v>15</v>
      </c>
      <c r="B16" s="8" t="str">
        <f t="shared" si="5"/>
        <v>2</v>
      </c>
      <c r="C16" s="8">
        <f t="shared" si="6"/>
        <v>4</v>
      </c>
      <c r="D16" s="8"/>
      <c r="E16" s="9">
        <f t="shared" si="12"/>
        <v>43890.666666666657</v>
      </c>
      <c r="F16" s="8">
        <f t="shared" si="7"/>
        <v>105</v>
      </c>
      <c r="G16" s="8" t="s">
        <v>10</v>
      </c>
      <c r="H16" s="8" t="s">
        <v>13</v>
      </c>
      <c r="I16" s="8">
        <f t="shared" si="8"/>
        <v>7</v>
      </c>
      <c r="P16" t="s">
        <v>39</v>
      </c>
    </row>
    <row r="17" spans="1:16" x14ac:dyDescent="0.25">
      <c r="A17" s="3">
        <f t="shared" si="10"/>
        <v>16</v>
      </c>
      <c r="B17" s="4" t="str">
        <f t="shared" si="5"/>
        <v>1</v>
      </c>
      <c r="C17" s="4">
        <f t="shared" si="6"/>
        <v>7</v>
      </c>
      <c r="D17" s="4"/>
      <c r="E17" s="5">
        <f>E2</f>
        <v>43890.375</v>
      </c>
      <c r="F17" s="4">
        <f t="shared" si="7"/>
        <v>60</v>
      </c>
      <c r="G17" s="4" t="s">
        <v>16</v>
      </c>
      <c r="H17" s="4" t="s">
        <v>15</v>
      </c>
      <c r="I17" s="4">
        <f>WEEKDAY(E17)</f>
        <v>7</v>
      </c>
      <c r="P17" t="s">
        <v>40</v>
      </c>
    </row>
    <row r="18" spans="1:16" x14ac:dyDescent="0.25">
      <c r="A18" s="7">
        <f t="shared" si="10"/>
        <v>17</v>
      </c>
      <c r="B18" s="8" t="str">
        <f t="shared" si="5"/>
        <v>1</v>
      </c>
      <c r="C18" s="8">
        <f t="shared" si="6"/>
        <v>5</v>
      </c>
      <c r="D18" s="8"/>
      <c r="E18" s="9">
        <f>E17+F17/60/24</f>
        <v>43890.416666666664</v>
      </c>
      <c r="F18" s="8">
        <f t="shared" si="7"/>
        <v>90</v>
      </c>
      <c r="G18" s="8" t="s">
        <v>16</v>
      </c>
      <c r="H18" s="8" t="s">
        <v>11</v>
      </c>
      <c r="I18" s="8">
        <f>WEEKDAY(E18)</f>
        <v>7</v>
      </c>
      <c r="P18" t="s">
        <v>41</v>
      </c>
    </row>
    <row r="19" spans="1:16" x14ac:dyDescent="0.25">
      <c r="A19" s="7">
        <f t="shared" si="10"/>
        <v>18</v>
      </c>
      <c r="B19" s="8" t="str">
        <f t="shared" si="5"/>
        <v>1</v>
      </c>
      <c r="C19" s="8">
        <f t="shared" si="6"/>
        <v>5</v>
      </c>
      <c r="D19" s="8"/>
      <c r="E19" s="9">
        <f t="shared" ref="E19:E22" si="13">E18+F18/60/24</f>
        <v>43890.479166666664</v>
      </c>
      <c r="F19" s="8">
        <f t="shared" si="7"/>
        <v>90</v>
      </c>
      <c r="G19" s="8" t="s">
        <v>16</v>
      </c>
      <c r="H19" s="8" t="s">
        <v>11</v>
      </c>
      <c r="I19" s="8">
        <f>WEEKDAY(E19)</f>
        <v>7</v>
      </c>
    </row>
    <row r="20" spans="1:16" x14ac:dyDescent="0.25">
      <c r="A20" s="7">
        <f t="shared" si="10"/>
        <v>19</v>
      </c>
      <c r="B20" s="8" t="str">
        <f t="shared" si="5"/>
        <v>1</v>
      </c>
      <c r="C20" s="8">
        <f t="shared" si="6"/>
        <v>5</v>
      </c>
      <c r="D20" s="8"/>
      <c r="E20" s="9">
        <f t="shared" si="13"/>
        <v>43890.541666666664</v>
      </c>
      <c r="F20" s="8">
        <f t="shared" si="7"/>
        <v>90</v>
      </c>
      <c r="G20" s="8" t="s">
        <v>16</v>
      </c>
      <c r="H20" s="8" t="s">
        <v>11</v>
      </c>
      <c r="I20" s="8">
        <f>WEEKDAY(E20)</f>
        <v>7</v>
      </c>
    </row>
    <row r="21" spans="1:16" x14ac:dyDescent="0.25">
      <c r="A21" s="7">
        <f t="shared" si="10"/>
        <v>20</v>
      </c>
      <c r="B21" s="8" t="str">
        <f t="shared" si="5"/>
        <v>1</v>
      </c>
      <c r="C21" s="8">
        <f t="shared" si="6"/>
        <v>5</v>
      </c>
      <c r="D21" s="8"/>
      <c r="E21" s="9">
        <f t="shared" si="13"/>
        <v>43890.604166666664</v>
      </c>
      <c r="F21" s="8">
        <f t="shared" si="7"/>
        <v>90</v>
      </c>
      <c r="G21" s="8" t="s">
        <v>16</v>
      </c>
      <c r="H21" s="8" t="s">
        <v>11</v>
      </c>
      <c r="I21" s="8">
        <f t="shared" ref="I21:I22" si="14">WEEKDAY(E21)</f>
        <v>7</v>
      </c>
    </row>
    <row r="22" spans="1:16" ht="15.75" thickBot="1" x14ac:dyDescent="0.3">
      <c r="A22" s="7">
        <f t="shared" si="10"/>
        <v>21</v>
      </c>
      <c r="B22" s="8" t="str">
        <f t="shared" si="5"/>
        <v>1</v>
      </c>
      <c r="C22" s="8">
        <f t="shared" si="6"/>
        <v>5</v>
      </c>
      <c r="D22" s="8"/>
      <c r="E22" s="9">
        <f t="shared" si="13"/>
        <v>43890.666666666664</v>
      </c>
      <c r="F22" s="8">
        <f t="shared" si="7"/>
        <v>90</v>
      </c>
      <c r="G22" s="8" t="s">
        <v>16</v>
      </c>
      <c r="H22" s="8" t="s">
        <v>11</v>
      </c>
      <c r="I22" s="8">
        <f t="shared" si="14"/>
        <v>7</v>
      </c>
    </row>
    <row r="23" spans="1:16" x14ac:dyDescent="0.25">
      <c r="A23" s="3">
        <f t="shared" si="10"/>
        <v>22</v>
      </c>
      <c r="B23" s="4" t="str">
        <f t="shared" si="5"/>
        <v>5</v>
      </c>
      <c r="C23" s="4">
        <f t="shared" si="6"/>
        <v>4</v>
      </c>
      <c r="D23" s="4"/>
      <c r="E23" s="5">
        <f>E2</f>
        <v>43890.375</v>
      </c>
      <c r="F23" s="4">
        <f t="shared" si="7"/>
        <v>105</v>
      </c>
      <c r="G23" s="4" t="s">
        <v>17</v>
      </c>
      <c r="H23" s="4" t="s">
        <v>13</v>
      </c>
      <c r="I23" s="4">
        <f>WEEKDAY(E23)</f>
        <v>7</v>
      </c>
    </row>
    <row r="24" spans="1:16" x14ac:dyDescent="0.25">
      <c r="A24" s="7">
        <f t="shared" si="10"/>
        <v>23</v>
      </c>
      <c r="B24" s="8" t="str">
        <f t="shared" si="5"/>
        <v>5</v>
      </c>
      <c r="C24" s="8">
        <f t="shared" si="6"/>
        <v>4</v>
      </c>
      <c r="D24" s="8"/>
      <c r="E24" s="9">
        <f>E23+F23/60/24</f>
        <v>43890.447916666664</v>
      </c>
      <c r="F24" s="8">
        <f t="shared" si="7"/>
        <v>105</v>
      </c>
      <c r="G24" s="8" t="s">
        <v>17</v>
      </c>
      <c r="H24" s="8" t="s">
        <v>13</v>
      </c>
      <c r="I24" s="8">
        <f>WEEKDAY(E24)</f>
        <v>7</v>
      </c>
    </row>
    <row r="25" spans="1:16" x14ac:dyDescent="0.25">
      <c r="A25" s="7">
        <f t="shared" si="10"/>
        <v>24</v>
      </c>
      <c r="B25" s="8" t="str">
        <f t="shared" si="5"/>
        <v>5</v>
      </c>
      <c r="C25" s="8">
        <f t="shared" si="6"/>
        <v>4</v>
      </c>
      <c r="D25" s="8"/>
      <c r="E25" s="9">
        <f t="shared" ref="E25:E27" si="15">E24+F24/60/24</f>
        <v>43890.520833333328</v>
      </c>
      <c r="F25" s="8">
        <f t="shared" si="7"/>
        <v>105</v>
      </c>
      <c r="G25" s="8" t="s">
        <v>17</v>
      </c>
      <c r="H25" s="8" t="s">
        <v>13</v>
      </c>
      <c r="I25" s="8">
        <f>WEEKDAY(E25)</f>
        <v>7</v>
      </c>
    </row>
    <row r="26" spans="1:16" x14ac:dyDescent="0.25">
      <c r="A26" s="7">
        <f t="shared" si="10"/>
        <v>25</v>
      </c>
      <c r="B26" s="8" t="str">
        <f t="shared" si="5"/>
        <v>5</v>
      </c>
      <c r="C26" s="8">
        <f t="shared" si="6"/>
        <v>4</v>
      </c>
      <c r="D26" s="8"/>
      <c r="E26" s="9">
        <f t="shared" si="15"/>
        <v>43890.593749999993</v>
      </c>
      <c r="F26" s="8">
        <f t="shared" si="7"/>
        <v>105</v>
      </c>
      <c r="G26" s="8" t="s">
        <v>17</v>
      </c>
      <c r="H26" s="8" t="s">
        <v>13</v>
      </c>
      <c r="I26" s="8">
        <f>WEEKDAY(E26)</f>
        <v>7</v>
      </c>
    </row>
    <row r="27" spans="1:16" ht="15.75" thickBot="1" x14ac:dyDescent="0.3">
      <c r="A27" s="7">
        <f t="shared" si="10"/>
        <v>26</v>
      </c>
      <c r="B27" s="8" t="str">
        <f t="shared" si="5"/>
        <v>5</v>
      </c>
      <c r="C27" s="8">
        <f t="shared" si="6"/>
        <v>4</v>
      </c>
      <c r="D27" s="8"/>
      <c r="E27" s="9">
        <f t="shared" si="15"/>
        <v>43890.666666666657</v>
      </c>
      <c r="F27" s="8">
        <f t="shared" si="7"/>
        <v>105</v>
      </c>
      <c r="G27" s="8" t="s">
        <v>17</v>
      </c>
      <c r="H27" s="8" t="s">
        <v>13</v>
      </c>
      <c r="I27" s="8">
        <f t="shared" ref="I27" si="16">WEEKDAY(E27)</f>
        <v>7</v>
      </c>
    </row>
    <row r="28" spans="1:16" x14ac:dyDescent="0.25">
      <c r="A28" s="3">
        <f t="shared" si="10"/>
        <v>27</v>
      </c>
      <c r="B28" s="4" t="str">
        <f t="shared" si="5"/>
        <v>6</v>
      </c>
      <c r="C28" s="4">
        <f t="shared" si="6"/>
        <v>5</v>
      </c>
      <c r="D28" s="4"/>
      <c r="E28" s="5">
        <f>E2</f>
        <v>43890.375</v>
      </c>
      <c r="F28" s="4">
        <f t="shared" si="7"/>
        <v>90</v>
      </c>
      <c r="G28" s="4" t="s">
        <v>18</v>
      </c>
      <c r="H28" s="4" t="s">
        <v>11</v>
      </c>
      <c r="I28" s="4">
        <f>WEEKDAY(E28)</f>
        <v>7</v>
      </c>
    </row>
    <row r="29" spans="1:16" x14ac:dyDescent="0.25">
      <c r="A29" s="7">
        <f t="shared" si="10"/>
        <v>28</v>
      </c>
      <c r="B29" s="8" t="str">
        <f t="shared" si="5"/>
        <v>6</v>
      </c>
      <c r="C29" s="8">
        <f t="shared" si="6"/>
        <v>3</v>
      </c>
      <c r="D29" s="8"/>
      <c r="E29" s="9">
        <f>E28+F28/60/24</f>
        <v>43890.4375</v>
      </c>
      <c r="F29" s="8">
        <f t="shared" si="7"/>
        <v>105</v>
      </c>
      <c r="G29" s="8" t="s">
        <v>18</v>
      </c>
      <c r="H29" s="8" t="s">
        <v>12</v>
      </c>
      <c r="I29" s="8">
        <f>WEEKDAY(E29)</f>
        <v>7</v>
      </c>
    </row>
    <row r="30" spans="1:16" x14ac:dyDescent="0.25">
      <c r="A30" s="7">
        <f t="shared" si="10"/>
        <v>29</v>
      </c>
      <c r="B30" s="8" t="str">
        <f t="shared" si="5"/>
        <v>6</v>
      </c>
      <c r="C30" s="8">
        <f t="shared" si="6"/>
        <v>3</v>
      </c>
      <c r="D30" s="8"/>
      <c r="E30" s="9">
        <f t="shared" ref="E30:E32" si="17">E29+F29/60/24</f>
        <v>43890.510416666664</v>
      </c>
      <c r="F30" s="8">
        <f t="shared" si="7"/>
        <v>105</v>
      </c>
      <c r="G30" s="8" t="s">
        <v>18</v>
      </c>
      <c r="H30" s="8" t="s">
        <v>12</v>
      </c>
      <c r="I30" s="8">
        <f>WEEKDAY(E30)</f>
        <v>7</v>
      </c>
    </row>
    <row r="31" spans="1:16" x14ac:dyDescent="0.25">
      <c r="A31" s="7">
        <f t="shared" si="10"/>
        <v>30</v>
      </c>
      <c r="B31" s="8" t="str">
        <f t="shared" si="5"/>
        <v>6</v>
      </c>
      <c r="C31" s="8">
        <f t="shared" si="6"/>
        <v>3</v>
      </c>
      <c r="D31" s="8"/>
      <c r="E31" s="9">
        <f t="shared" si="17"/>
        <v>43890.583333333328</v>
      </c>
      <c r="F31" s="8">
        <f t="shared" si="7"/>
        <v>105</v>
      </c>
      <c r="G31" s="8" t="s">
        <v>18</v>
      </c>
      <c r="H31" s="8" t="s">
        <v>12</v>
      </c>
      <c r="I31" s="8">
        <f>WEEKDAY(E31)</f>
        <v>7</v>
      </c>
    </row>
    <row r="32" spans="1:16" ht="15.75" thickBot="1" x14ac:dyDescent="0.3">
      <c r="A32" s="10">
        <f t="shared" si="10"/>
        <v>31</v>
      </c>
      <c r="B32" s="11" t="str">
        <f t="shared" si="5"/>
        <v>6</v>
      </c>
      <c r="C32" s="11">
        <f t="shared" si="6"/>
        <v>3</v>
      </c>
      <c r="D32" s="11"/>
      <c r="E32" s="12">
        <f t="shared" si="17"/>
        <v>43890.656249999993</v>
      </c>
      <c r="F32" s="11">
        <f t="shared" si="7"/>
        <v>105</v>
      </c>
      <c r="G32" s="11" t="s">
        <v>18</v>
      </c>
      <c r="H32" s="11" t="s">
        <v>12</v>
      </c>
      <c r="I32" s="11">
        <f t="shared" ref="I32" si="18">WEEKDAY(E32)</f>
        <v>7</v>
      </c>
    </row>
    <row r="33" spans="1:9" x14ac:dyDescent="0.25">
      <c r="A33" s="3">
        <f t="shared" si="10"/>
        <v>32</v>
      </c>
      <c r="B33" s="4" t="str">
        <f t="shared" si="5"/>
        <v>7</v>
      </c>
      <c r="C33" s="4">
        <f t="shared" si="6"/>
        <v>5</v>
      </c>
      <c r="D33" s="4"/>
      <c r="E33" s="5">
        <f>E2</f>
        <v>43890.375</v>
      </c>
      <c r="F33" s="4">
        <f t="shared" si="7"/>
        <v>90</v>
      </c>
      <c r="G33" s="4" t="s">
        <v>19</v>
      </c>
      <c r="H33" s="4" t="s">
        <v>11</v>
      </c>
      <c r="I33" s="4">
        <f>WEEKDAY(E33)</f>
        <v>7</v>
      </c>
    </row>
    <row r="34" spans="1:9" x14ac:dyDescent="0.25">
      <c r="A34" s="7">
        <f t="shared" si="10"/>
        <v>33</v>
      </c>
      <c r="B34" s="8" t="str">
        <f t="shared" si="5"/>
        <v>7</v>
      </c>
      <c r="C34" s="8">
        <f t="shared" si="6"/>
        <v>4</v>
      </c>
      <c r="D34" s="8"/>
      <c r="E34" s="9">
        <f>E33+F33/60/24</f>
        <v>43890.4375</v>
      </c>
      <c r="F34" s="8">
        <f t="shared" si="7"/>
        <v>105</v>
      </c>
      <c r="G34" s="8" t="s">
        <v>19</v>
      </c>
      <c r="H34" s="8" t="s">
        <v>13</v>
      </c>
      <c r="I34" s="8">
        <f>WEEKDAY(E34)</f>
        <v>7</v>
      </c>
    </row>
    <row r="35" spans="1:9" x14ac:dyDescent="0.25">
      <c r="A35" s="7">
        <f t="shared" si="10"/>
        <v>34</v>
      </c>
      <c r="B35" s="8" t="str">
        <f t="shared" si="5"/>
        <v>7</v>
      </c>
      <c r="C35" s="8">
        <f t="shared" si="6"/>
        <v>3</v>
      </c>
      <c r="D35" s="8"/>
      <c r="E35" s="9">
        <f t="shared" ref="E35:E37" si="19">E34+F34/60/24</f>
        <v>43890.510416666664</v>
      </c>
      <c r="F35" s="8">
        <f t="shared" si="7"/>
        <v>105</v>
      </c>
      <c r="G35" s="8" t="s">
        <v>19</v>
      </c>
      <c r="H35" s="8" t="s">
        <v>12</v>
      </c>
      <c r="I35" s="8">
        <f>WEEKDAY(E35)</f>
        <v>7</v>
      </c>
    </row>
    <row r="36" spans="1:9" x14ac:dyDescent="0.25">
      <c r="A36" s="7">
        <f t="shared" si="10"/>
        <v>35</v>
      </c>
      <c r="B36" s="8" t="str">
        <f t="shared" si="5"/>
        <v>7</v>
      </c>
      <c r="C36" s="8">
        <f t="shared" si="6"/>
        <v>2</v>
      </c>
      <c r="D36" s="8"/>
      <c r="E36" s="9">
        <f t="shared" si="19"/>
        <v>43890.583333333328</v>
      </c>
      <c r="F36" s="8">
        <f t="shared" si="7"/>
        <v>120</v>
      </c>
      <c r="G36" s="8" t="s">
        <v>19</v>
      </c>
      <c r="H36" s="8" t="s">
        <v>9</v>
      </c>
      <c r="I36" s="8">
        <f>WEEKDAY(E36)</f>
        <v>7</v>
      </c>
    </row>
    <row r="37" spans="1:9" ht="15.75" thickBot="1" x14ac:dyDescent="0.3">
      <c r="A37" s="10">
        <f t="shared" si="10"/>
        <v>36</v>
      </c>
      <c r="B37" s="11" t="str">
        <f t="shared" si="5"/>
        <v>7</v>
      </c>
      <c r="C37" s="11">
        <f t="shared" si="6"/>
        <v>2</v>
      </c>
      <c r="D37" s="11"/>
      <c r="E37" s="12">
        <f t="shared" si="19"/>
        <v>43890.666666666664</v>
      </c>
      <c r="F37" s="11">
        <f t="shared" si="7"/>
        <v>120</v>
      </c>
      <c r="G37" s="11" t="s">
        <v>19</v>
      </c>
      <c r="H37" s="11" t="s">
        <v>9</v>
      </c>
      <c r="I37" s="11">
        <f t="shared" ref="I37" si="20">WEEKDAY(E37)</f>
        <v>7</v>
      </c>
    </row>
    <row r="38" spans="1:9" x14ac:dyDescent="0.25">
      <c r="A38" s="3">
        <f t="shared" si="10"/>
        <v>37</v>
      </c>
      <c r="B38" s="4" t="str">
        <f t="shared" si="5"/>
        <v>8</v>
      </c>
      <c r="C38" s="4">
        <f t="shared" si="6"/>
        <v>5</v>
      </c>
      <c r="D38" s="4"/>
      <c r="E38" s="5">
        <f>E2</f>
        <v>43890.375</v>
      </c>
      <c r="F38" s="4">
        <f t="shared" si="7"/>
        <v>90</v>
      </c>
      <c r="G38" s="4" t="s">
        <v>20</v>
      </c>
      <c r="H38" s="4" t="s">
        <v>11</v>
      </c>
      <c r="I38" s="4">
        <f>WEEKDAY(E38)</f>
        <v>7</v>
      </c>
    </row>
    <row r="39" spans="1:9" x14ac:dyDescent="0.25">
      <c r="A39" s="7">
        <f t="shared" si="10"/>
        <v>38</v>
      </c>
      <c r="B39" s="8" t="str">
        <f t="shared" si="5"/>
        <v>8</v>
      </c>
      <c r="C39" s="8">
        <f t="shared" si="6"/>
        <v>3</v>
      </c>
      <c r="D39" s="8"/>
      <c r="E39" s="9">
        <f>E38+F38/60/24</f>
        <v>43890.4375</v>
      </c>
      <c r="F39" s="8">
        <f t="shared" si="7"/>
        <v>105</v>
      </c>
      <c r="G39" s="8" t="s">
        <v>20</v>
      </c>
      <c r="H39" s="8" t="s">
        <v>12</v>
      </c>
      <c r="I39" s="8">
        <f>WEEKDAY(E39)</f>
        <v>7</v>
      </c>
    </row>
    <row r="40" spans="1:9" x14ac:dyDescent="0.25">
      <c r="A40" s="7">
        <f t="shared" si="10"/>
        <v>39</v>
      </c>
      <c r="B40" s="8" t="str">
        <f t="shared" si="5"/>
        <v>8</v>
      </c>
      <c r="C40" s="8">
        <f t="shared" si="6"/>
        <v>3</v>
      </c>
      <c r="D40" s="8"/>
      <c r="E40" s="9">
        <f t="shared" ref="E40:E42" si="21">E39+F39/60/24</f>
        <v>43890.510416666664</v>
      </c>
      <c r="F40" s="8">
        <f t="shared" si="7"/>
        <v>105</v>
      </c>
      <c r="G40" s="8" t="s">
        <v>20</v>
      </c>
      <c r="H40" s="8" t="s">
        <v>12</v>
      </c>
      <c r="I40" s="8">
        <f>WEEKDAY(E40)</f>
        <v>7</v>
      </c>
    </row>
    <row r="41" spans="1:9" x14ac:dyDescent="0.25">
      <c r="A41" s="7">
        <f t="shared" si="10"/>
        <v>40</v>
      </c>
      <c r="B41" s="8" t="str">
        <f t="shared" si="5"/>
        <v>8</v>
      </c>
      <c r="C41" s="8">
        <f t="shared" si="6"/>
        <v>2</v>
      </c>
      <c r="D41" s="8"/>
      <c r="E41" s="9">
        <f t="shared" si="21"/>
        <v>43890.583333333328</v>
      </c>
      <c r="F41" s="8">
        <f t="shared" si="7"/>
        <v>120</v>
      </c>
      <c r="G41" s="8" t="s">
        <v>20</v>
      </c>
      <c r="H41" s="8" t="s">
        <v>9</v>
      </c>
      <c r="I41" s="8">
        <f>WEEKDAY(E41)</f>
        <v>7</v>
      </c>
    </row>
    <row r="42" spans="1:9" ht="15.75" thickBot="1" x14ac:dyDescent="0.3">
      <c r="A42" s="10">
        <f t="shared" si="10"/>
        <v>41</v>
      </c>
      <c r="B42" s="11" t="str">
        <f t="shared" si="5"/>
        <v>8</v>
      </c>
      <c r="C42" s="11">
        <f t="shared" si="6"/>
        <v>2</v>
      </c>
      <c r="D42" s="11"/>
      <c r="E42" s="12">
        <f t="shared" si="21"/>
        <v>43890.666666666664</v>
      </c>
      <c r="F42" s="11">
        <f t="shared" si="7"/>
        <v>120</v>
      </c>
      <c r="G42" s="11" t="s">
        <v>20</v>
      </c>
      <c r="H42" s="11" t="s">
        <v>9</v>
      </c>
      <c r="I42" s="11">
        <f>WEEKDAY(E42)</f>
        <v>7</v>
      </c>
    </row>
    <row r="43" spans="1:9" x14ac:dyDescent="0.25">
      <c r="A43" s="3">
        <f>A42+1</f>
        <v>42</v>
      </c>
      <c r="B43" s="4" t="str">
        <f t="shared" si="5"/>
        <v>4</v>
      </c>
      <c r="C43" s="4">
        <f t="shared" si="6"/>
        <v>1</v>
      </c>
      <c r="D43" s="4"/>
      <c r="E43" s="5">
        <v>43892.75</v>
      </c>
      <c r="F43" s="4">
        <f t="shared" si="7"/>
        <v>120</v>
      </c>
      <c r="G43" s="4" t="s">
        <v>8</v>
      </c>
      <c r="H43" s="4" t="s">
        <v>8</v>
      </c>
      <c r="I43" s="4">
        <f t="shared" ref="I43:I106" si="22">WEEKDAY(E43)</f>
        <v>2</v>
      </c>
    </row>
    <row r="44" spans="1:9" ht="15.75" thickBot="1" x14ac:dyDescent="0.3">
      <c r="A44" s="7">
        <f>A43+1</f>
        <v>43</v>
      </c>
      <c r="B44" s="8" t="str">
        <f t="shared" si="5"/>
        <v>4</v>
      </c>
      <c r="C44" s="8">
        <f t="shared" si="6"/>
        <v>1</v>
      </c>
      <c r="D44" s="8"/>
      <c r="E44" s="9">
        <f>E43+F43/60/24</f>
        <v>43892.833333333336</v>
      </c>
      <c r="F44" s="8">
        <f t="shared" si="7"/>
        <v>120</v>
      </c>
      <c r="G44" s="8" t="s">
        <v>8</v>
      </c>
      <c r="H44" s="8" t="s">
        <v>8</v>
      </c>
      <c r="I44" s="8">
        <f t="shared" si="22"/>
        <v>2</v>
      </c>
    </row>
    <row r="45" spans="1:9" x14ac:dyDescent="0.25">
      <c r="A45" s="3">
        <f>A44+1</f>
        <v>44</v>
      </c>
      <c r="B45" s="4" t="str">
        <f t="shared" si="5"/>
        <v>3</v>
      </c>
      <c r="C45" s="4">
        <f t="shared" si="6"/>
        <v>2</v>
      </c>
      <c r="D45" s="4"/>
      <c r="E45" s="5">
        <f>E43</f>
        <v>43892.75</v>
      </c>
      <c r="F45" s="4">
        <f t="shared" si="7"/>
        <v>120</v>
      </c>
      <c r="G45" s="4" t="s">
        <v>9</v>
      </c>
      <c r="H45" s="4" t="s">
        <v>9</v>
      </c>
      <c r="I45" s="4">
        <f t="shared" si="22"/>
        <v>2</v>
      </c>
    </row>
    <row r="46" spans="1:9" ht="15.75" thickBot="1" x14ac:dyDescent="0.3">
      <c r="A46" s="7">
        <f t="shared" ref="A46:A54" si="23">A45+1</f>
        <v>45</v>
      </c>
      <c r="B46" s="8" t="str">
        <f t="shared" si="5"/>
        <v>3</v>
      </c>
      <c r="C46" s="8">
        <f t="shared" si="6"/>
        <v>2</v>
      </c>
      <c r="D46" s="8"/>
      <c r="E46" s="9">
        <f>E45+F45/60/24</f>
        <v>43892.833333333336</v>
      </c>
      <c r="F46" s="8">
        <f t="shared" si="7"/>
        <v>120</v>
      </c>
      <c r="G46" s="8" t="s">
        <v>9</v>
      </c>
      <c r="H46" s="8" t="s">
        <v>9</v>
      </c>
      <c r="I46" s="8">
        <f t="shared" si="22"/>
        <v>2</v>
      </c>
    </row>
    <row r="47" spans="1:9" x14ac:dyDescent="0.25">
      <c r="A47" s="3">
        <f>A46+1</f>
        <v>46</v>
      </c>
      <c r="B47" s="4" t="str">
        <f t="shared" si="5"/>
        <v>2</v>
      </c>
      <c r="C47" s="4">
        <f t="shared" si="6"/>
        <v>4</v>
      </c>
      <c r="D47" s="4"/>
      <c r="E47" s="5">
        <f>E43</f>
        <v>43892.75</v>
      </c>
      <c r="F47" s="4">
        <f t="shared" si="7"/>
        <v>105</v>
      </c>
      <c r="G47" s="4" t="s">
        <v>10</v>
      </c>
      <c r="H47" s="4" t="s">
        <v>13</v>
      </c>
      <c r="I47" s="4">
        <f t="shared" si="22"/>
        <v>2</v>
      </c>
    </row>
    <row r="48" spans="1:9" ht="15.75" thickBot="1" x14ac:dyDescent="0.3">
      <c r="A48" s="7">
        <f t="shared" si="23"/>
        <v>47</v>
      </c>
      <c r="B48" s="8" t="str">
        <f t="shared" si="5"/>
        <v>2</v>
      </c>
      <c r="C48" s="8">
        <f t="shared" si="6"/>
        <v>4</v>
      </c>
      <c r="D48" s="8"/>
      <c r="E48" s="9">
        <f>E47+F47/60/24</f>
        <v>43892.822916666664</v>
      </c>
      <c r="F48" s="8">
        <f t="shared" si="7"/>
        <v>105</v>
      </c>
      <c r="G48" s="8" t="s">
        <v>10</v>
      </c>
      <c r="H48" s="8" t="s">
        <v>13</v>
      </c>
      <c r="I48" s="8">
        <f t="shared" si="22"/>
        <v>2</v>
      </c>
    </row>
    <row r="49" spans="1:9" x14ac:dyDescent="0.25">
      <c r="A49" s="3">
        <f>A48+1</f>
        <v>48</v>
      </c>
      <c r="B49" s="4" t="str">
        <f t="shared" si="5"/>
        <v>1</v>
      </c>
      <c r="C49" s="4">
        <f t="shared" si="6"/>
        <v>5</v>
      </c>
      <c r="D49" s="4"/>
      <c r="E49" s="5">
        <f>E43</f>
        <v>43892.75</v>
      </c>
      <c r="F49" s="4">
        <f t="shared" si="7"/>
        <v>90</v>
      </c>
      <c r="G49" s="4" t="s">
        <v>16</v>
      </c>
      <c r="H49" s="4" t="s">
        <v>11</v>
      </c>
      <c r="I49" s="4">
        <f t="shared" si="22"/>
        <v>2</v>
      </c>
    </row>
    <row r="50" spans="1:9" ht="15.75" thickBot="1" x14ac:dyDescent="0.3">
      <c r="A50" s="7">
        <f t="shared" si="23"/>
        <v>49</v>
      </c>
      <c r="B50" s="8" t="str">
        <f t="shared" si="5"/>
        <v>1</v>
      </c>
      <c r="C50" s="8">
        <f t="shared" si="6"/>
        <v>5</v>
      </c>
      <c r="D50" s="8"/>
      <c r="E50" s="9">
        <f>E49+F49/60/24</f>
        <v>43892.8125</v>
      </c>
      <c r="F50" s="8">
        <f t="shared" si="7"/>
        <v>90</v>
      </c>
      <c r="G50" s="8" t="s">
        <v>16</v>
      </c>
      <c r="H50" s="8" t="s">
        <v>11</v>
      </c>
      <c r="I50" s="8">
        <f t="shared" si="22"/>
        <v>2</v>
      </c>
    </row>
    <row r="51" spans="1:9" x14ac:dyDescent="0.25">
      <c r="A51" s="3">
        <f>A50+1</f>
        <v>50</v>
      </c>
      <c r="B51" s="4" t="str">
        <f t="shared" si="5"/>
        <v>5</v>
      </c>
      <c r="C51" s="4">
        <f t="shared" si="6"/>
        <v>5</v>
      </c>
      <c r="D51" s="4"/>
      <c r="E51" s="5">
        <f>E43</f>
        <v>43892.75</v>
      </c>
      <c r="F51" s="4">
        <f t="shared" si="7"/>
        <v>90</v>
      </c>
      <c r="G51" s="4" t="s">
        <v>17</v>
      </c>
      <c r="H51" s="4" t="s">
        <v>11</v>
      </c>
      <c r="I51" s="4">
        <f t="shared" si="22"/>
        <v>2</v>
      </c>
    </row>
    <row r="52" spans="1:9" ht="15.75" thickBot="1" x14ac:dyDescent="0.3">
      <c r="A52" s="7">
        <f t="shared" si="23"/>
        <v>51</v>
      </c>
      <c r="B52" s="8" t="str">
        <f t="shared" si="5"/>
        <v>5</v>
      </c>
      <c r="C52" s="8">
        <f t="shared" si="6"/>
        <v>4</v>
      </c>
      <c r="D52" s="8"/>
      <c r="E52" s="9">
        <f>E51+F51/60/24</f>
        <v>43892.8125</v>
      </c>
      <c r="F52" s="8">
        <f t="shared" si="7"/>
        <v>105</v>
      </c>
      <c r="G52" s="8" t="s">
        <v>17</v>
      </c>
      <c r="H52" s="8" t="s">
        <v>13</v>
      </c>
      <c r="I52" s="8">
        <f t="shared" si="22"/>
        <v>2</v>
      </c>
    </row>
    <row r="53" spans="1:9" x14ac:dyDescent="0.25">
      <c r="A53" s="3">
        <f>A52+1</f>
        <v>52</v>
      </c>
      <c r="B53" s="4" t="str">
        <f t="shared" si="5"/>
        <v>6</v>
      </c>
      <c r="C53" s="4">
        <f t="shared" si="6"/>
        <v>3</v>
      </c>
      <c r="D53" s="4"/>
      <c r="E53" s="5">
        <f>E43</f>
        <v>43892.75</v>
      </c>
      <c r="F53" s="4">
        <f t="shared" si="7"/>
        <v>105</v>
      </c>
      <c r="G53" s="4" t="s">
        <v>18</v>
      </c>
      <c r="H53" s="4" t="s">
        <v>12</v>
      </c>
      <c r="I53" s="4">
        <f t="shared" si="22"/>
        <v>2</v>
      </c>
    </row>
    <row r="54" spans="1:9" ht="15.75" thickBot="1" x14ac:dyDescent="0.3">
      <c r="A54" s="10">
        <f t="shared" si="23"/>
        <v>53</v>
      </c>
      <c r="B54" s="11" t="str">
        <f t="shared" si="5"/>
        <v>6</v>
      </c>
      <c r="C54" s="11">
        <f t="shared" si="6"/>
        <v>3</v>
      </c>
      <c r="D54" s="11"/>
      <c r="E54" s="12">
        <f>E53+F53/60/24</f>
        <v>43892.822916666664</v>
      </c>
      <c r="F54" s="11">
        <f t="shared" si="7"/>
        <v>105</v>
      </c>
      <c r="G54" s="11" t="s">
        <v>18</v>
      </c>
      <c r="H54" s="11" t="s">
        <v>12</v>
      </c>
      <c r="I54" s="11">
        <f t="shared" si="22"/>
        <v>2</v>
      </c>
    </row>
    <row r="55" spans="1:9" x14ac:dyDescent="0.25">
      <c r="A55" s="3">
        <f>A54+1</f>
        <v>54</v>
      </c>
      <c r="B55" s="4" t="str">
        <f t="shared" si="5"/>
        <v>4</v>
      </c>
      <c r="C55" s="4">
        <f t="shared" si="6"/>
        <v>1</v>
      </c>
      <c r="D55" s="4"/>
      <c r="E55" s="5">
        <v>43893.75</v>
      </c>
      <c r="F55" s="4">
        <f t="shared" si="7"/>
        <v>120</v>
      </c>
      <c r="G55" s="4" t="s">
        <v>8</v>
      </c>
      <c r="H55" s="4" t="s">
        <v>8</v>
      </c>
      <c r="I55" s="4">
        <f t="shared" si="22"/>
        <v>3</v>
      </c>
    </row>
    <row r="56" spans="1:9" ht="15.75" thickBot="1" x14ac:dyDescent="0.3">
      <c r="A56" s="7">
        <f>A55+1</f>
        <v>55</v>
      </c>
      <c r="B56" s="8" t="str">
        <f t="shared" si="5"/>
        <v>4</v>
      </c>
      <c r="C56" s="8">
        <f t="shared" si="6"/>
        <v>1</v>
      </c>
      <c r="D56" s="8"/>
      <c r="E56" s="9">
        <f>E55+F55/60/24</f>
        <v>43893.833333333336</v>
      </c>
      <c r="F56" s="8">
        <f t="shared" si="7"/>
        <v>120</v>
      </c>
      <c r="G56" s="8" t="s">
        <v>8</v>
      </c>
      <c r="H56" s="8" t="s">
        <v>8</v>
      </c>
      <c r="I56" s="8">
        <f t="shared" si="22"/>
        <v>3</v>
      </c>
    </row>
    <row r="57" spans="1:9" x14ac:dyDescent="0.25">
      <c r="A57" s="3">
        <f>A56+1</f>
        <v>56</v>
      </c>
      <c r="B57" s="4" t="str">
        <f t="shared" si="5"/>
        <v>3</v>
      </c>
      <c r="C57" s="4">
        <f t="shared" si="6"/>
        <v>2</v>
      </c>
      <c r="D57" s="4"/>
      <c r="E57" s="5">
        <f>E55</f>
        <v>43893.75</v>
      </c>
      <c r="F57" s="4">
        <f t="shared" si="7"/>
        <v>120</v>
      </c>
      <c r="G57" s="4" t="s">
        <v>9</v>
      </c>
      <c r="H57" s="4" t="s">
        <v>9</v>
      </c>
      <c r="I57" s="4">
        <f t="shared" si="22"/>
        <v>3</v>
      </c>
    </row>
    <row r="58" spans="1:9" ht="15.75" thickBot="1" x14ac:dyDescent="0.3">
      <c r="A58" s="7">
        <f t="shared" ref="A58:A66" si="24">A57+1</f>
        <v>57</v>
      </c>
      <c r="B58" s="8" t="str">
        <f t="shared" si="5"/>
        <v>3</v>
      </c>
      <c r="C58" s="8">
        <f t="shared" si="6"/>
        <v>2</v>
      </c>
      <c r="D58" s="8"/>
      <c r="E58" s="9">
        <f>E57+F57/60/24</f>
        <v>43893.833333333336</v>
      </c>
      <c r="F58" s="8">
        <f t="shared" si="7"/>
        <v>120</v>
      </c>
      <c r="G58" s="8" t="s">
        <v>9</v>
      </c>
      <c r="H58" s="8" t="s">
        <v>9</v>
      </c>
      <c r="I58" s="8">
        <f t="shared" si="22"/>
        <v>3</v>
      </c>
    </row>
    <row r="59" spans="1:9" x14ac:dyDescent="0.25">
      <c r="A59" s="3">
        <f>A58+1</f>
        <v>58</v>
      </c>
      <c r="B59" s="4" t="str">
        <f t="shared" si="5"/>
        <v>2</v>
      </c>
      <c r="C59" s="4">
        <f t="shared" si="6"/>
        <v>4</v>
      </c>
      <c r="D59" s="4"/>
      <c r="E59" s="5">
        <f>E55</f>
        <v>43893.75</v>
      </c>
      <c r="F59" s="4">
        <f t="shared" si="7"/>
        <v>105</v>
      </c>
      <c r="G59" s="4" t="s">
        <v>10</v>
      </c>
      <c r="H59" s="4" t="s">
        <v>13</v>
      </c>
      <c r="I59" s="4">
        <f t="shared" si="22"/>
        <v>3</v>
      </c>
    </row>
    <row r="60" spans="1:9" ht="15.75" thickBot="1" x14ac:dyDescent="0.3">
      <c r="A60" s="7">
        <f t="shared" si="24"/>
        <v>59</v>
      </c>
      <c r="B60" s="8" t="str">
        <f t="shared" si="5"/>
        <v>2</v>
      </c>
      <c r="C60" s="8">
        <f t="shared" si="6"/>
        <v>4</v>
      </c>
      <c r="D60" s="8"/>
      <c r="E60" s="9">
        <f>E59+F59/60/24</f>
        <v>43893.822916666664</v>
      </c>
      <c r="F60" s="8">
        <f t="shared" si="7"/>
        <v>105</v>
      </c>
      <c r="G60" s="8" t="s">
        <v>10</v>
      </c>
      <c r="H60" s="8" t="s">
        <v>13</v>
      </c>
      <c r="I60" s="8">
        <f t="shared" si="22"/>
        <v>3</v>
      </c>
    </row>
    <row r="61" spans="1:9" x14ac:dyDescent="0.25">
      <c r="A61" s="3">
        <f>A60+1</f>
        <v>60</v>
      </c>
      <c r="B61" s="4" t="str">
        <f t="shared" si="5"/>
        <v>1</v>
      </c>
      <c r="C61" s="4">
        <f t="shared" si="6"/>
        <v>5</v>
      </c>
      <c r="D61" s="4"/>
      <c r="E61" s="5">
        <f>E55</f>
        <v>43893.75</v>
      </c>
      <c r="F61" s="4">
        <f t="shared" si="7"/>
        <v>90</v>
      </c>
      <c r="G61" s="4" t="s">
        <v>16</v>
      </c>
      <c r="H61" s="4" t="s">
        <v>11</v>
      </c>
      <c r="I61" s="4">
        <f t="shared" si="22"/>
        <v>3</v>
      </c>
    </row>
    <row r="62" spans="1:9" ht="15.75" thickBot="1" x14ac:dyDescent="0.3">
      <c r="A62" s="7">
        <f t="shared" si="24"/>
        <v>61</v>
      </c>
      <c r="B62" s="8" t="str">
        <f t="shared" si="5"/>
        <v>1</v>
      </c>
      <c r="C62" s="8">
        <f t="shared" si="6"/>
        <v>5</v>
      </c>
      <c r="D62" s="8"/>
      <c r="E62" s="9">
        <f>E61+F61/60/24</f>
        <v>43893.8125</v>
      </c>
      <c r="F62" s="8">
        <f t="shared" si="7"/>
        <v>90</v>
      </c>
      <c r="G62" s="8" t="s">
        <v>16</v>
      </c>
      <c r="H62" s="8" t="s">
        <v>11</v>
      </c>
      <c r="I62" s="8">
        <f t="shared" si="22"/>
        <v>3</v>
      </c>
    </row>
    <row r="63" spans="1:9" x14ac:dyDescent="0.25">
      <c r="A63" s="3">
        <f>A62+1</f>
        <v>62</v>
      </c>
      <c r="B63" s="4" t="str">
        <f t="shared" si="5"/>
        <v>5</v>
      </c>
      <c r="C63" s="4">
        <f t="shared" si="6"/>
        <v>5</v>
      </c>
      <c r="D63" s="4"/>
      <c r="E63" s="5">
        <f>E55</f>
        <v>43893.75</v>
      </c>
      <c r="F63" s="4">
        <f t="shared" si="7"/>
        <v>90</v>
      </c>
      <c r="G63" s="4" t="s">
        <v>17</v>
      </c>
      <c r="H63" s="4" t="s">
        <v>11</v>
      </c>
      <c r="I63" s="4">
        <f t="shared" si="22"/>
        <v>3</v>
      </c>
    </row>
    <row r="64" spans="1:9" ht="15.75" thickBot="1" x14ac:dyDescent="0.3">
      <c r="A64" s="7">
        <f t="shared" si="24"/>
        <v>63</v>
      </c>
      <c r="B64" s="8" t="str">
        <f t="shared" si="5"/>
        <v>5</v>
      </c>
      <c r="C64" s="8">
        <f t="shared" si="6"/>
        <v>4</v>
      </c>
      <c r="D64" s="8"/>
      <c r="E64" s="9">
        <f>E63+F63/60/24</f>
        <v>43893.8125</v>
      </c>
      <c r="F64" s="8">
        <f t="shared" si="7"/>
        <v>105</v>
      </c>
      <c r="G64" s="8" t="s">
        <v>17</v>
      </c>
      <c r="H64" s="8" t="s">
        <v>13</v>
      </c>
      <c r="I64" s="8">
        <f t="shared" si="22"/>
        <v>3</v>
      </c>
    </row>
    <row r="65" spans="1:9" x14ac:dyDescent="0.25">
      <c r="A65" s="3">
        <f>A64+1</f>
        <v>64</v>
      </c>
      <c r="B65" s="4" t="str">
        <f t="shared" si="5"/>
        <v>6</v>
      </c>
      <c r="C65" s="4">
        <f t="shared" si="6"/>
        <v>3</v>
      </c>
      <c r="D65" s="4"/>
      <c r="E65" s="5">
        <f>E55</f>
        <v>43893.75</v>
      </c>
      <c r="F65" s="4">
        <f t="shared" si="7"/>
        <v>105</v>
      </c>
      <c r="G65" s="4" t="s">
        <v>18</v>
      </c>
      <c r="H65" s="4" t="s">
        <v>12</v>
      </c>
      <c r="I65" s="4">
        <f t="shared" si="22"/>
        <v>3</v>
      </c>
    </row>
    <row r="66" spans="1:9" ht="15.75" thickBot="1" x14ac:dyDescent="0.3">
      <c r="A66" s="10">
        <f t="shared" si="24"/>
        <v>65</v>
      </c>
      <c r="B66" s="11" t="str">
        <f t="shared" ref="B66:B129" si="25">VLOOKUP(G66,field_id,2,FALSE)</f>
        <v>6</v>
      </c>
      <c r="C66" s="11">
        <f t="shared" ref="C66:C129" si="26">VLOOKUP(H66,league_id,2,FALSE)</f>
        <v>3</v>
      </c>
      <c r="D66" s="11"/>
      <c r="E66" s="12">
        <f>E65+F65/60/24</f>
        <v>43893.822916666664</v>
      </c>
      <c r="F66" s="11">
        <f t="shared" ref="F66:F129" si="27">VLOOKUP(H66,GameDuration,2,FALSE)</f>
        <v>105</v>
      </c>
      <c r="G66" s="11" t="s">
        <v>18</v>
      </c>
      <c r="H66" s="11" t="s">
        <v>12</v>
      </c>
      <c r="I66" s="11">
        <f t="shared" si="22"/>
        <v>3</v>
      </c>
    </row>
    <row r="67" spans="1:9" x14ac:dyDescent="0.25">
      <c r="A67" s="3">
        <f>A66+1</f>
        <v>66</v>
      </c>
      <c r="B67" s="4" t="str">
        <f t="shared" si="25"/>
        <v>4</v>
      </c>
      <c r="C67" s="4">
        <f t="shared" si="26"/>
        <v>1</v>
      </c>
      <c r="D67" s="4"/>
      <c r="E67" s="5">
        <v>43894.75</v>
      </c>
      <c r="F67" s="4">
        <f t="shared" si="27"/>
        <v>120</v>
      </c>
      <c r="G67" s="4" t="s">
        <v>8</v>
      </c>
      <c r="H67" s="4" t="s">
        <v>8</v>
      </c>
      <c r="I67" s="4">
        <f t="shared" si="22"/>
        <v>4</v>
      </c>
    </row>
    <row r="68" spans="1:9" ht="15.75" thickBot="1" x14ac:dyDescent="0.3">
      <c r="A68" s="7">
        <f>A67+1</f>
        <v>67</v>
      </c>
      <c r="B68" s="8" t="str">
        <f t="shared" si="25"/>
        <v>4</v>
      </c>
      <c r="C68" s="8">
        <f t="shared" si="26"/>
        <v>1</v>
      </c>
      <c r="D68" s="8"/>
      <c r="E68" s="9">
        <f>E67+F67/60/24</f>
        <v>43894.833333333336</v>
      </c>
      <c r="F68" s="8">
        <f t="shared" si="27"/>
        <v>120</v>
      </c>
      <c r="G68" s="8" t="s">
        <v>8</v>
      </c>
      <c r="H68" s="8" t="s">
        <v>8</v>
      </c>
      <c r="I68" s="8">
        <f t="shared" si="22"/>
        <v>4</v>
      </c>
    </row>
    <row r="69" spans="1:9" x14ac:dyDescent="0.25">
      <c r="A69" s="3">
        <f>A68+1</f>
        <v>68</v>
      </c>
      <c r="B69" s="4" t="str">
        <f t="shared" si="25"/>
        <v>3</v>
      </c>
      <c r="C69" s="4">
        <f t="shared" si="26"/>
        <v>2</v>
      </c>
      <c r="D69" s="4"/>
      <c r="E69" s="5">
        <f>E67</f>
        <v>43894.75</v>
      </c>
      <c r="F69" s="4">
        <f t="shared" si="27"/>
        <v>120</v>
      </c>
      <c r="G69" s="4" t="s">
        <v>9</v>
      </c>
      <c r="H69" s="4" t="s">
        <v>9</v>
      </c>
      <c r="I69" s="4">
        <f t="shared" si="22"/>
        <v>4</v>
      </c>
    </row>
    <row r="70" spans="1:9" ht="15.75" thickBot="1" x14ac:dyDescent="0.3">
      <c r="A70" s="7">
        <f t="shared" ref="A70:A78" si="28">A69+1</f>
        <v>69</v>
      </c>
      <c r="B70" s="8" t="str">
        <f t="shared" si="25"/>
        <v>3</v>
      </c>
      <c r="C70" s="8">
        <f t="shared" si="26"/>
        <v>2</v>
      </c>
      <c r="D70" s="8"/>
      <c r="E70" s="9">
        <f>E69+F69/60/24</f>
        <v>43894.833333333336</v>
      </c>
      <c r="F70" s="8">
        <f t="shared" si="27"/>
        <v>120</v>
      </c>
      <c r="G70" s="8" t="s">
        <v>9</v>
      </c>
      <c r="H70" s="8" t="s">
        <v>9</v>
      </c>
      <c r="I70" s="8">
        <f t="shared" si="22"/>
        <v>4</v>
      </c>
    </row>
    <row r="71" spans="1:9" x14ac:dyDescent="0.25">
      <c r="A71" s="3">
        <f>A70+1</f>
        <v>70</v>
      </c>
      <c r="B71" s="4" t="str">
        <f t="shared" si="25"/>
        <v>2</v>
      </c>
      <c r="C71" s="4">
        <f t="shared" si="26"/>
        <v>4</v>
      </c>
      <c r="D71" s="4"/>
      <c r="E71" s="5">
        <f>E67</f>
        <v>43894.75</v>
      </c>
      <c r="F71" s="4">
        <f t="shared" si="27"/>
        <v>105</v>
      </c>
      <c r="G71" s="4" t="s">
        <v>10</v>
      </c>
      <c r="H71" s="4" t="s">
        <v>13</v>
      </c>
      <c r="I71" s="4">
        <f t="shared" si="22"/>
        <v>4</v>
      </c>
    </row>
    <row r="72" spans="1:9" ht="15.75" thickBot="1" x14ac:dyDescent="0.3">
      <c r="A72" s="7">
        <f t="shared" si="28"/>
        <v>71</v>
      </c>
      <c r="B72" s="8" t="str">
        <f t="shared" si="25"/>
        <v>2</v>
      </c>
      <c r="C72" s="8">
        <f t="shared" si="26"/>
        <v>4</v>
      </c>
      <c r="D72" s="8"/>
      <c r="E72" s="9">
        <f>E71+F71/60/24</f>
        <v>43894.822916666664</v>
      </c>
      <c r="F72" s="8">
        <f t="shared" si="27"/>
        <v>105</v>
      </c>
      <c r="G72" s="8" t="s">
        <v>10</v>
      </c>
      <c r="H72" s="8" t="s">
        <v>13</v>
      </c>
      <c r="I72" s="8">
        <f t="shared" si="22"/>
        <v>4</v>
      </c>
    </row>
    <row r="73" spans="1:9" x14ac:dyDescent="0.25">
      <c r="A73" s="3">
        <f>A72+1</f>
        <v>72</v>
      </c>
      <c r="B73" s="4" t="str">
        <f t="shared" si="25"/>
        <v>1</v>
      </c>
      <c r="C73" s="4">
        <f t="shared" si="26"/>
        <v>5</v>
      </c>
      <c r="D73" s="4"/>
      <c r="E73" s="5">
        <f>E67</f>
        <v>43894.75</v>
      </c>
      <c r="F73" s="4">
        <f t="shared" si="27"/>
        <v>90</v>
      </c>
      <c r="G73" s="4" t="s">
        <v>16</v>
      </c>
      <c r="H73" s="4" t="s">
        <v>11</v>
      </c>
      <c r="I73" s="4">
        <f t="shared" si="22"/>
        <v>4</v>
      </c>
    </row>
    <row r="74" spans="1:9" ht="15.75" thickBot="1" x14ac:dyDescent="0.3">
      <c r="A74" s="7">
        <f t="shared" si="28"/>
        <v>73</v>
      </c>
      <c r="B74" s="8" t="str">
        <f t="shared" si="25"/>
        <v>1</v>
      </c>
      <c r="C74" s="8">
        <f t="shared" si="26"/>
        <v>5</v>
      </c>
      <c r="D74" s="8"/>
      <c r="E74" s="9">
        <f>E73+F73/60/24</f>
        <v>43894.8125</v>
      </c>
      <c r="F74" s="8">
        <f t="shared" si="27"/>
        <v>90</v>
      </c>
      <c r="G74" s="8" t="s">
        <v>16</v>
      </c>
      <c r="H74" s="8" t="s">
        <v>11</v>
      </c>
      <c r="I74" s="8">
        <f t="shared" si="22"/>
        <v>4</v>
      </c>
    </row>
    <row r="75" spans="1:9" x14ac:dyDescent="0.25">
      <c r="A75" s="3">
        <f>A74+1</f>
        <v>74</v>
      </c>
      <c r="B75" s="4" t="str">
        <f t="shared" si="25"/>
        <v>5</v>
      </c>
      <c r="C75" s="4">
        <f t="shared" si="26"/>
        <v>5</v>
      </c>
      <c r="D75" s="4"/>
      <c r="E75" s="5">
        <f>E67</f>
        <v>43894.75</v>
      </c>
      <c r="F75" s="4">
        <f t="shared" si="27"/>
        <v>90</v>
      </c>
      <c r="G75" s="4" t="s">
        <v>17</v>
      </c>
      <c r="H75" s="4" t="s">
        <v>11</v>
      </c>
      <c r="I75" s="4">
        <f t="shared" si="22"/>
        <v>4</v>
      </c>
    </row>
    <row r="76" spans="1:9" ht="15.75" thickBot="1" x14ac:dyDescent="0.3">
      <c r="A76" s="7">
        <f t="shared" si="28"/>
        <v>75</v>
      </c>
      <c r="B76" s="8" t="str">
        <f t="shared" si="25"/>
        <v>5</v>
      </c>
      <c r="C76" s="8">
        <f t="shared" si="26"/>
        <v>4</v>
      </c>
      <c r="D76" s="8"/>
      <c r="E76" s="9">
        <f>E75+F75/60/24</f>
        <v>43894.8125</v>
      </c>
      <c r="F76" s="8">
        <f t="shared" si="27"/>
        <v>105</v>
      </c>
      <c r="G76" s="8" t="s">
        <v>17</v>
      </c>
      <c r="H76" s="8" t="s">
        <v>13</v>
      </c>
      <c r="I76" s="8">
        <f t="shared" si="22"/>
        <v>4</v>
      </c>
    </row>
    <row r="77" spans="1:9" x14ac:dyDescent="0.25">
      <c r="A77" s="3">
        <f>A76+1</f>
        <v>76</v>
      </c>
      <c r="B77" s="4" t="str">
        <f t="shared" si="25"/>
        <v>6</v>
      </c>
      <c r="C77" s="4">
        <f t="shared" si="26"/>
        <v>3</v>
      </c>
      <c r="D77" s="4"/>
      <c r="E77" s="5">
        <f>E67</f>
        <v>43894.75</v>
      </c>
      <c r="F77" s="4">
        <f t="shared" si="27"/>
        <v>105</v>
      </c>
      <c r="G77" s="4" t="s">
        <v>18</v>
      </c>
      <c r="H77" s="4" t="s">
        <v>12</v>
      </c>
      <c r="I77" s="4">
        <f t="shared" si="22"/>
        <v>4</v>
      </c>
    </row>
    <row r="78" spans="1:9" ht="15.75" thickBot="1" x14ac:dyDescent="0.3">
      <c r="A78" s="10">
        <f t="shared" si="28"/>
        <v>77</v>
      </c>
      <c r="B78" s="11" t="str">
        <f t="shared" si="25"/>
        <v>6</v>
      </c>
      <c r="C78" s="11">
        <f t="shared" si="26"/>
        <v>3</v>
      </c>
      <c r="D78" s="11"/>
      <c r="E78" s="12">
        <f>E77+F77/60/24</f>
        <v>43894.822916666664</v>
      </c>
      <c r="F78" s="11">
        <f t="shared" si="27"/>
        <v>105</v>
      </c>
      <c r="G78" s="11" t="s">
        <v>18</v>
      </c>
      <c r="H78" s="11" t="s">
        <v>12</v>
      </c>
      <c r="I78" s="11">
        <f t="shared" si="22"/>
        <v>4</v>
      </c>
    </row>
    <row r="79" spans="1:9" x14ac:dyDescent="0.25">
      <c r="A79" s="3">
        <f>A78+1</f>
        <v>78</v>
      </c>
      <c r="B79" s="4" t="str">
        <f t="shared" si="25"/>
        <v>4</v>
      </c>
      <c r="C79" s="4">
        <f t="shared" si="26"/>
        <v>1</v>
      </c>
      <c r="D79" s="4"/>
      <c r="E79" s="5">
        <v>43895.75</v>
      </c>
      <c r="F79" s="4">
        <f t="shared" si="27"/>
        <v>120</v>
      </c>
      <c r="G79" s="4" t="s">
        <v>8</v>
      </c>
      <c r="H79" s="4" t="s">
        <v>8</v>
      </c>
      <c r="I79" s="4">
        <f t="shared" si="22"/>
        <v>5</v>
      </c>
    </row>
    <row r="80" spans="1:9" ht="15.75" thickBot="1" x14ac:dyDescent="0.3">
      <c r="A80" s="7">
        <f>A79+1</f>
        <v>79</v>
      </c>
      <c r="B80" s="8" t="str">
        <f t="shared" si="25"/>
        <v>4</v>
      </c>
      <c r="C80" s="8">
        <f t="shared" si="26"/>
        <v>1</v>
      </c>
      <c r="D80" s="8"/>
      <c r="E80" s="9">
        <f>E79+F79/60/24</f>
        <v>43895.833333333336</v>
      </c>
      <c r="F80" s="8">
        <f t="shared" si="27"/>
        <v>120</v>
      </c>
      <c r="G80" s="8" t="s">
        <v>8</v>
      </c>
      <c r="H80" s="8" t="s">
        <v>8</v>
      </c>
      <c r="I80" s="8">
        <f t="shared" si="22"/>
        <v>5</v>
      </c>
    </row>
    <row r="81" spans="1:9" x14ac:dyDescent="0.25">
      <c r="A81" s="3">
        <f>A80+1</f>
        <v>80</v>
      </c>
      <c r="B81" s="4" t="str">
        <f t="shared" si="25"/>
        <v>3</v>
      </c>
      <c r="C81" s="4">
        <f t="shared" si="26"/>
        <v>2</v>
      </c>
      <c r="D81" s="4"/>
      <c r="E81" s="5">
        <f>E79</f>
        <v>43895.75</v>
      </c>
      <c r="F81" s="4">
        <f t="shared" si="27"/>
        <v>120</v>
      </c>
      <c r="G81" s="4" t="s">
        <v>9</v>
      </c>
      <c r="H81" s="4" t="s">
        <v>9</v>
      </c>
      <c r="I81" s="4">
        <f t="shared" si="22"/>
        <v>5</v>
      </c>
    </row>
    <row r="82" spans="1:9" ht="15.75" thickBot="1" x14ac:dyDescent="0.3">
      <c r="A82" s="7">
        <f t="shared" ref="A82:A90" si="29">A81+1</f>
        <v>81</v>
      </c>
      <c r="B82" s="8" t="str">
        <f t="shared" si="25"/>
        <v>3</v>
      </c>
      <c r="C82" s="8">
        <f t="shared" si="26"/>
        <v>2</v>
      </c>
      <c r="D82" s="8"/>
      <c r="E82" s="9">
        <f>E81+F81/60/24</f>
        <v>43895.833333333336</v>
      </c>
      <c r="F82" s="8">
        <f t="shared" si="27"/>
        <v>120</v>
      </c>
      <c r="G82" s="8" t="s">
        <v>9</v>
      </c>
      <c r="H82" s="8" t="s">
        <v>9</v>
      </c>
      <c r="I82" s="8">
        <f t="shared" si="22"/>
        <v>5</v>
      </c>
    </row>
    <row r="83" spans="1:9" x14ac:dyDescent="0.25">
      <c r="A83" s="3">
        <f>A82+1</f>
        <v>82</v>
      </c>
      <c r="B83" s="4" t="str">
        <f t="shared" si="25"/>
        <v>2</v>
      </c>
      <c r="C83" s="4">
        <f t="shared" si="26"/>
        <v>4</v>
      </c>
      <c r="D83" s="4"/>
      <c r="E83" s="5">
        <f>E79</f>
        <v>43895.75</v>
      </c>
      <c r="F83" s="4">
        <f t="shared" si="27"/>
        <v>105</v>
      </c>
      <c r="G83" s="4" t="s">
        <v>10</v>
      </c>
      <c r="H83" s="4" t="s">
        <v>13</v>
      </c>
      <c r="I83" s="4">
        <f t="shared" si="22"/>
        <v>5</v>
      </c>
    </row>
    <row r="84" spans="1:9" ht="15.75" thickBot="1" x14ac:dyDescent="0.3">
      <c r="A84" s="7">
        <f t="shared" si="29"/>
        <v>83</v>
      </c>
      <c r="B84" s="8" t="str">
        <f t="shared" si="25"/>
        <v>2</v>
      </c>
      <c r="C84" s="8">
        <f t="shared" si="26"/>
        <v>4</v>
      </c>
      <c r="D84" s="8"/>
      <c r="E84" s="9">
        <f>E83+F83/60/24</f>
        <v>43895.822916666664</v>
      </c>
      <c r="F84" s="8">
        <f t="shared" si="27"/>
        <v>105</v>
      </c>
      <c r="G84" s="8" t="s">
        <v>10</v>
      </c>
      <c r="H84" s="8" t="s">
        <v>13</v>
      </c>
      <c r="I84" s="8">
        <f t="shared" si="22"/>
        <v>5</v>
      </c>
    </row>
    <row r="85" spans="1:9" x14ac:dyDescent="0.25">
      <c r="A85" s="3">
        <f>A84+1</f>
        <v>84</v>
      </c>
      <c r="B85" s="4" t="str">
        <f t="shared" si="25"/>
        <v>1</v>
      </c>
      <c r="C85" s="4">
        <f t="shared" si="26"/>
        <v>5</v>
      </c>
      <c r="D85" s="4"/>
      <c r="E85" s="5">
        <f>E79</f>
        <v>43895.75</v>
      </c>
      <c r="F85" s="4">
        <f t="shared" si="27"/>
        <v>90</v>
      </c>
      <c r="G85" s="4" t="s">
        <v>16</v>
      </c>
      <c r="H85" s="4" t="s">
        <v>11</v>
      </c>
      <c r="I85" s="4">
        <f t="shared" si="22"/>
        <v>5</v>
      </c>
    </row>
    <row r="86" spans="1:9" ht="15.75" thickBot="1" x14ac:dyDescent="0.3">
      <c r="A86" s="7">
        <f t="shared" si="29"/>
        <v>85</v>
      </c>
      <c r="B86" s="8" t="str">
        <f t="shared" si="25"/>
        <v>1</v>
      </c>
      <c r="C86" s="8">
        <f t="shared" si="26"/>
        <v>5</v>
      </c>
      <c r="D86" s="8"/>
      <c r="E86" s="9">
        <f>E85+F85/60/24</f>
        <v>43895.8125</v>
      </c>
      <c r="F86" s="8">
        <f t="shared" si="27"/>
        <v>90</v>
      </c>
      <c r="G86" s="8" t="s">
        <v>16</v>
      </c>
      <c r="H86" s="8" t="s">
        <v>11</v>
      </c>
      <c r="I86" s="8">
        <f t="shared" si="22"/>
        <v>5</v>
      </c>
    </row>
    <row r="87" spans="1:9" x14ac:dyDescent="0.25">
      <c r="A87" s="3">
        <f>A86+1</f>
        <v>86</v>
      </c>
      <c r="B87" s="4" t="str">
        <f t="shared" si="25"/>
        <v>5</v>
      </c>
      <c r="C87" s="4">
        <f t="shared" si="26"/>
        <v>5</v>
      </c>
      <c r="D87" s="4"/>
      <c r="E87" s="5">
        <f>E79</f>
        <v>43895.75</v>
      </c>
      <c r="F87" s="4">
        <f t="shared" si="27"/>
        <v>90</v>
      </c>
      <c r="G87" s="4" t="s">
        <v>17</v>
      </c>
      <c r="H87" s="4" t="s">
        <v>11</v>
      </c>
      <c r="I87" s="4">
        <f t="shared" si="22"/>
        <v>5</v>
      </c>
    </row>
    <row r="88" spans="1:9" ht="15.75" thickBot="1" x14ac:dyDescent="0.3">
      <c r="A88" s="7">
        <f t="shared" si="29"/>
        <v>87</v>
      </c>
      <c r="B88" s="8" t="str">
        <f t="shared" si="25"/>
        <v>5</v>
      </c>
      <c r="C88" s="8">
        <f t="shared" si="26"/>
        <v>4</v>
      </c>
      <c r="D88" s="8"/>
      <c r="E88" s="9">
        <f>E87+F87/60/24</f>
        <v>43895.8125</v>
      </c>
      <c r="F88" s="8">
        <f t="shared" si="27"/>
        <v>105</v>
      </c>
      <c r="G88" s="8" t="s">
        <v>17</v>
      </c>
      <c r="H88" s="8" t="s">
        <v>13</v>
      </c>
      <c r="I88" s="8">
        <f t="shared" si="22"/>
        <v>5</v>
      </c>
    </row>
    <row r="89" spans="1:9" x14ac:dyDescent="0.25">
      <c r="A89" s="3">
        <f>A88+1</f>
        <v>88</v>
      </c>
      <c r="B89" s="4" t="str">
        <f t="shared" si="25"/>
        <v>6</v>
      </c>
      <c r="C89" s="4">
        <f t="shared" si="26"/>
        <v>3</v>
      </c>
      <c r="D89" s="4"/>
      <c r="E89" s="5">
        <f>E79</f>
        <v>43895.75</v>
      </c>
      <c r="F89" s="4">
        <f t="shared" si="27"/>
        <v>105</v>
      </c>
      <c r="G89" s="4" t="s">
        <v>18</v>
      </c>
      <c r="H89" s="4" t="s">
        <v>12</v>
      </c>
      <c r="I89" s="4">
        <f t="shared" si="22"/>
        <v>5</v>
      </c>
    </row>
    <row r="90" spans="1:9" ht="15.75" thickBot="1" x14ac:dyDescent="0.3">
      <c r="A90" s="10">
        <f t="shared" si="29"/>
        <v>89</v>
      </c>
      <c r="B90" s="11" t="str">
        <f t="shared" si="25"/>
        <v>6</v>
      </c>
      <c r="C90" s="11">
        <f t="shared" si="26"/>
        <v>3</v>
      </c>
      <c r="D90" s="11"/>
      <c r="E90" s="12">
        <f>E89+F89/60/24</f>
        <v>43895.822916666664</v>
      </c>
      <c r="F90" s="11">
        <f t="shared" si="27"/>
        <v>105</v>
      </c>
      <c r="G90" s="11" t="s">
        <v>18</v>
      </c>
      <c r="H90" s="11" t="s">
        <v>12</v>
      </c>
      <c r="I90" s="11">
        <f t="shared" si="22"/>
        <v>5</v>
      </c>
    </row>
    <row r="91" spans="1:9" x14ac:dyDescent="0.25">
      <c r="A91" s="3">
        <f>A90+1</f>
        <v>90</v>
      </c>
      <c r="B91" s="4" t="str">
        <f t="shared" si="25"/>
        <v>4</v>
      </c>
      <c r="C91" s="4">
        <f t="shared" si="26"/>
        <v>1</v>
      </c>
      <c r="D91" s="4"/>
      <c r="E91" s="5">
        <v>43908.75</v>
      </c>
      <c r="F91" s="4">
        <f t="shared" si="27"/>
        <v>120</v>
      </c>
      <c r="G91" s="4" t="s">
        <v>8</v>
      </c>
      <c r="H91" s="4" t="s">
        <v>8</v>
      </c>
      <c r="I91" s="4">
        <f t="shared" si="22"/>
        <v>4</v>
      </c>
    </row>
    <row r="92" spans="1:9" ht="15.75" thickBot="1" x14ac:dyDescent="0.3">
      <c r="A92" s="7">
        <f>A91+1</f>
        <v>91</v>
      </c>
      <c r="B92" s="8" t="str">
        <f t="shared" si="25"/>
        <v>4</v>
      </c>
      <c r="C92" s="8">
        <f t="shared" si="26"/>
        <v>1</v>
      </c>
      <c r="D92" s="8"/>
      <c r="E92" s="9">
        <f>E91+F91/60/24</f>
        <v>43908.833333333336</v>
      </c>
      <c r="F92" s="8">
        <f t="shared" si="27"/>
        <v>120</v>
      </c>
      <c r="G92" s="8" t="s">
        <v>8</v>
      </c>
      <c r="H92" s="8" t="s">
        <v>8</v>
      </c>
      <c r="I92" s="8">
        <f t="shared" si="22"/>
        <v>4</v>
      </c>
    </row>
    <row r="93" spans="1:9" x14ac:dyDescent="0.25">
      <c r="A93" s="3">
        <f>A92+1</f>
        <v>92</v>
      </c>
      <c r="B93" s="4" t="str">
        <f t="shared" si="25"/>
        <v>3</v>
      </c>
      <c r="C93" s="4">
        <f t="shared" si="26"/>
        <v>2</v>
      </c>
      <c r="D93" s="4"/>
      <c r="E93" s="5">
        <f>E91</f>
        <v>43908.75</v>
      </c>
      <c r="F93" s="4">
        <f t="shared" si="27"/>
        <v>120</v>
      </c>
      <c r="G93" s="4" t="s">
        <v>9</v>
      </c>
      <c r="H93" s="4" t="s">
        <v>9</v>
      </c>
      <c r="I93" s="4">
        <f t="shared" si="22"/>
        <v>4</v>
      </c>
    </row>
    <row r="94" spans="1:9" ht="15.75" thickBot="1" x14ac:dyDescent="0.3">
      <c r="A94" s="7">
        <f t="shared" ref="A94:A102" si="30">A93+1</f>
        <v>93</v>
      </c>
      <c r="B94" s="8" t="str">
        <f t="shared" si="25"/>
        <v>3</v>
      </c>
      <c r="C94" s="8">
        <f t="shared" si="26"/>
        <v>2</v>
      </c>
      <c r="D94" s="8"/>
      <c r="E94" s="9">
        <f>E93+F93/60/24</f>
        <v>43908.833333333336</v>
      </c>
      <c r="F94" s="8">
        <f t="shared" si="27"/>
        <v>120</v>
      </c>
      <c r="G94" s="8" t="s">
        <v>9</v>
      </c>
      <c r="H94" s="8" t="s">
        <v>9</v>
      </c>
      <c r="I94" s="8">
        <f t="shared" si="22"/>
        <v>4</v>
      </c>
    </row>
    <row r="95" spans="1:9" x14ac:dyDescent="0.25">
      <c r="A95" s="3">
        <f>A94+1</f>
        <v>94</v>
      </c>
      <c r="B95" s="4" t="str">
        <f t="shared" si="25"/>
        <v>2</v>
      </c>
      <c r="C95" s="4">
        <f t="shared" si="26"/>
        <v>4</v>
      </c>
      <c r="D95" s="4"/>
      <c r="E95" s="5">
        <f>E91</f>
        <v>43908.75</v>
      </c>
      <c r="F95" s="4">
        <f t="shared" si="27"/>
        <v>105</v>
      </c>
      <c r="G95" s="4" t="s">
        <v>10</v>
      </c>
      <c r="H95" s="4" t="s">
        <v>13</v>
      </c>
      <c r="I95" s="4">
        <f t="shared" si="22"/>
        <v>4</v>
      </c>
    </row>
    <row r="96" spans="1:9" ht="15.75" thickBot="1" x14ac:dyDescent="0.3">
      <c r="A96" s="7">
        <f t="shared" si="30"/>
        <v>95</v>
      </c>
      <c r="B96" s="8" t="str">
        <f t="shared" si="25"/>
        <v>2</v>
      </c>
      <c r="C96" s="8">
        <f t="shared" si="26"/>
        <v>4</v>
      </c>
      <c r="D96" s="8"/>
      <c r="E96" s="9">
        <f>E95+F95/60/24</f>
        <v>43908.822916666664</v>
      </c>
      <c r="F96" s="8">
        <f t="shared" si="27"/>
        <v>105</v>
      </c>
      <c r="G96" s="8" t="s">
        <v>10</v>
      </c>
      <c r="H96" s="8" t="s">
        <v>13</v>
      </c>
      <c r="I96" s="8">
        <f t="shared" si="22"/>
        <v>4</v>
      </c>
    </row>
    <row r="97" spans="1:9" x14ac:dyDescent="0.25">
      <c r="A97" s="3">
        <f>A96+1</f>
        <v>96</v>
      </c>
      <c r="B97" s="4" t="str">
        <f t="shared" si="25"/>
        <v>1</v>
      </c>
      <c r="C97" s="4">
        <f t="shared" si="26"/>
        <v>5</v>
      </c>
      <c r="D97" s="4"/>
      <c r="E97" s="5">
        <f>E91</f>
        <v>43908.75</v>
      </c>
      <c r="F97" s="4">
        <f t="shared" si="27"/>
        <v>90</v>
      </c>
      <c r="G97" s="4" t="s">
        <v>16</v>
      </c>
      <c r="H97" s="4" t="s">
        <v>11</v>
      </c>
      <c r="I97" s="4">
        <f t="shared" si="22"/>
        <v>4</v>
      </c>
    </row>
    <row r="98" spans="1:9" ht="15.75" thickBot="1" x14ac:dyDescent="0.3">
      <c r="A98" s="7">
        <f t="shared" si="30"/>
        <v>97</v>
      </c>
      <c r="B98" s="8" t="str">
        <f t="shared" si="25"/>
        <v>1</v>
      </c>
      <c r="C98" s="8">
        <f t="shared" si="26"/>
        <v>5</v>
      </c>
      <c r="D98" s="8"/>
      <c r="E98" s="9">
        <f>E97+F97/60/24</f>
        <v>43908.8125</v>
      </c>
      <c r="F98" s="8">
        <f t="shared" si="27"/>
        <v>90</v>
      </c>
      <c r="G98" s="8" t="s">
        <v>16</v>
      </c>
      <c r="H98" s="8" t="s">
        <v>11</v>
      </c>
      <c r="I98" s="8">
        <f t="shared" si="22"/>
        <v>4</v>
      </c>
    </row>
    <row r="99" spans="1:9" x14ac:dyDescent="0.25">
      <c r="A99" s="3">
        <f>A98+1</f>
        <v>98</v>
      </c>
      <c r="B99" s="4" t="str">
        <f t="shared" si="25"/>
        <v>5</v>
      </c>
      <c r="C99" s="4">
        <f t="shared" si="26"/>
        <v>5</v>
      </c>
      <c r="D99" s="4"/>
      <c r="E99" s="5">
        <f>E91</f>
        <v>43908.75</v>
      </c>
      <c r="F99" s="4">
        <f t="shared" si="27"/>
        <v>90</v>
      </c>
      <c r="G99" s="4" t="s">
        <v>17</v>
      </c>
      <c r="H99" s="4" t="s">
        <v>11</v>
      </c>
      <c r="I99" s="4">
        <f t="shared" si="22"/>
        <v>4</v>
      </c>
    </row>
    <row r="100" spans="1:9" ht="15.75" thickBot="1" x14ac:dyDescent="0.3">
      <c r="A100" s="7">
        <f t="shared" si="30"/>
        <v>99</v>
      </c>
      <c r="B100" s="8" t="str">
        <f t="shared" si="25"/>
        <v>5</v>
      </c>
      <c r="C100" s="8">
        <f t="shared" si="26"/>
        <v>4</v>
      </c>
      <c r="D100" s="8"/>
      <c r="E100" s="9">
        <f>E99+F99/60/24</f>
        <v>43908.8125</v>
      </c>
      <c r="F100" s="8">
        <f t="shared" si="27"/>
        <v>105</v>
      </c>
      <c r="G100" s="8" t="s">
        <v>17</v>
      </c>
      <c r="H100" s="8" t="s">
        <v>13</v>
      </c>
      <c r="I100" s="8">
        <f t="shared" si="22"/>
        <v>4</v>
      </c>
    </row>
    <row r="101" spans="1:9" x14ac:dyDescent="0.25">
      <c r="A101" s="3">
        <f>A100+1</f>
        <v>100</v>
      </c>
      <c r="B101" s="4" t="str">
        <f t="shared" si="25"/>
        <v>6</v>
      </c>
      <c r="C101" s="4">
        <f t="shared" si="26"/>
        <v>3</v>
      </c>
      <c r="D101" s="4"/>
      <c r="E101" s="5">
        <f>E91</f>
        <v>43908.75</v>
      </c>
      <c r="F101" s="4">
        <f t="shared" si="27"/>
        <v>105</v>
      </c>
      <c r="G101" s="4" t="s">
        <v>18</v>
      </c>
      <c r="H101" s="4" t="s">
        <v>12</v>
      </c>
      <c r="I101" s="4">
        <f t="shared" si="22"/>
        <v>4</v>
      </c>
    </row>
    <row r="102" spans="1:9" ht="15.75" thickBot="1" x14ac:dyDescent="0.3">
      <c r="A102" s="10">
        <f t="shared" si="30"/>
        <v>101</v>
      </c>
      <c r="B102" s="11" t="str">
        <f t="shared" si="25"/>
        <v>6</v>
      </c>
      <c r="C102" s="11">
        <f t="shared" si="26"/>
        <v>3</v>
      </c>
      <c r="D102" s="11"/>
      <c r="E102" s="12">
        <f>E101+F101/60/24</f>
        <v>43908.822916666664</v>
      </c>
      <c r="F102" s="11">
        <f t="shared" si="27"/>
        <v>105</v>
      </c>
      <c r="G102" s="11" t="s">
        <v>18</v>
      </c>
      <c r="H102" s="11" t="s">
        <v>12</v>
      </c>
      <c r="I102" s="11">
        <f t="shared" si="22"/>
        <v>4</v>
      </c>
    </row>
    <row r="103" spans="1:9" x14ac:dyDescent="0.25">
      <c r="A103" s="3">
        <f>A102+1</f>
        <v>102</v>
      </c>
      <c r="B103" s="4" t="str">
        <f t="shared" si="25"/>
        <v>4</v>
      </c>
      <c r="C103" s="4">
        <f t="shared" si="26"/>
        <v>1</v>
      </c>
      <c r="D103" s="4"/>
      <c r="E103" s="5">
        <v>43909.75</v>
      </c>
      <c r="F103" s="4">
        <f t="shared" si="27"/>
        <v>120</v>
      </c>
      <c r="G103" s="4" t="s">
        <v>8</v>
      </c>
      <c r="H103" s="4" t="s">
        <v>8</v>
      </c>
      <c r="I103" s="4">
        <f t="shared" si="22"/>
        <v>5</v>
      </c>
    </row>
    <row r="104" spans="1:9" ht="15.75" thickBot="1" x14ac:dyDescent="0.3">
      <c r="A104" s="7">
        <f>A103+1</f>
        <v>103</v>
      </c>
      <c r="B104" s="8" t="str">
        <f t="shared" si="25"/>
        <v>4</v>
      </c>
      <c r="C104" s="8">
        <f t="shared" si="26"/>
        <v>1</v>
      </c>
      <c r="D104" s="8"/>
      <c r="E104" s="9">
        <f>E103+F103/60/24</f>
        <v>43909.833333333336</v>
      </c>
      <c r="F104" s="8">
        <f t="shared" si="27"/>
        <v>120</v>
      </c>
      <c r="G104" s="8" t="s">
        <v>8</v>
      </c>
      <c r="H104" s="8" t="s">
        <v>8</v>
      </c>
      <c r="I104" s="8">
        <f t="shared" si="22"/>
        <v>5</v>
      </c>
    </row>
    <row r="105" spans="1:9" x14ac:dyDescent="0.25">
      <c r="A105" s="3">
        <f>A104+1</f>
        <v>104</v>
      </c>
      <c r="B105" s="4" t="str">
        <f t="shared" si="25"/>
        <v>3</v>
      </c>
      <c r="C105" s="4">
        <f t="shared" si="26"/>
        <v>2</v>
      </c>
      <c r="D105" s="4"/>
      <c r="E105" s="5">
        <f>E103</f>
        <v>43909.75</v>
      </c>
      <c r="F105" s="4">
        <f t="shared" si="27"/>
        <v>120</v>
      </c>
      <c r="G105" s="4" t="s">
        <v>9</v>
      </c>
      <c r="H105" s="4" t="s">
        <v>9</v>
      </c>
      <c r="I105" s="4">
        <f t="shared" si="22"/>
        <v>5</v>
      </c>
    </row>
    <row r="106" spans="1:9" ht="15.75" thickBot="1" x14ac:dyDescent="0.3">
      <c r="A106" s="7">
        <f t="shared" ref="A106:A114" si="31">A105+1</f>
        <v>105</v>
      </c>
      <c r="B106" s="8" t="str">
        <f t="shared" si="25"/>
        <v>3</v>
      </c>
      <c r="C106" s="8">
        <f t="shared" si="26"/>
        <v>2</v>
      </c>
      <c r="D106" s="8"/>
      <c r="E106" s="9">
        <f>E105+F105/60/24</f>
        <v>43909.833333333336</v>
      </c>
      <c r="F106" s="8">
        <f t="shared" si="27"/>
        <v>120</v>
      </c>
      <c r="G106" s="8" t="s">
        <v>9</v>
      </c>
      <c r="H106" s="8" t="s">
        <v>9</v>
      </c>
      <c r="I106" s="8">
        <f t="shared" si="22"/>
        <v>5</v>
      </c>
    </row>
    <row r="107" spans="1:9" x14ac:dyDescent="0.25">
      <c r="A107" s="3">
        <f>A106+1</f>
        <v>106</v>
      </c>
      <c r="B107" s="4" t="str">
        <f t="shared" si="25"/>
        <v>2</v>
      </c>
      <c r="C107" s="4">
        <f t="shared" si="26"/>
        <v>4</v>
      </c>
      <c r="D107" s="4"/>
      <c r="E107" s="5">
        <f>E103</f>
        <v>43909.75</v>
      </c>
      <c r="F107" s="4">
        <f t="shared" si="27"/>
        <v>105</v>
      </c>
      <c r="G107" s="4" t="s">
        <v>10</v>
      </c>
      <c r="H107" s="4" t="s">
        <v>13</v>
      </c>
      <c r="I107" s="4">
        <f t="shared" ref="I107:I146" si="32">WEEKDAY(E107)</f>
        <v>5</v>
      </c>
    </row>
    <row r="108" spans="1:9" ht="15.75" thickBot="1" x14ac:dyDescent="0.3">
      <c r="A108" s="7">
        <f t="shared" si="31"/>
        <v>107</v>
      </c>
      <c r="B108" s="8" t="str">
        <f t="shared" si="25"/>
        <v>2</v>
      </c>
      <c r="C108" s="8">
        <f t="shared" si="26"/>
        <v>4</v>
      </c>
      <c r="D108" s="8"/>
      <c r="E108" s="9">
        <f>E107+F107/60/24</f>
        <v>43909.822916666664</v>
      </c>
      <c r="F108" s="8">
        <f t="shared" si="27"/>
        <v>105</v>
      </c>
      <c r="G108" s="8" t="s">
        <v>10</v>
      </c>
      <c r="H108" s="8" t="s">
        <v>13</v>
      </c>
      <c r="I108" s="8">
        <f t="shared" si="32"/>
        <v>5</v>
      </c>
    </row>
    <row r="109" spans="1:9" x14ac:dyDescent="0.25">
      <c r="A109" s="3">
        <f>A108+1</f>
        <v>108</v>
      </c>
      <c r="B109" s="4" t="str">
        <f t="shared" si="25"/>
        <v>1</v>
      </c>
      <c r="C109" s="4">
        <f t="shared" si="26"/>
        <v>5</v>
      </c>
      <c r="D109" s="4"/>
      <c r="E109" s="5">
        <f>E103</f>
        <v>43909.75</v>
      </c>
      <c r="F109" s="4">
        <f t="shared" si="27"/>
        <v>90</v>
      </c>
      <c r="G109" s="4" t="s">
        <v>16</v>
      </c>
      <c r="H109" s="4" t="s">
        <v>11</v>
      </c>
      <c r="I109" s="4">
        <f t="shared" si="32"/>
        <v>5</v>
      </c>
    </row>
    <row r="110" spans="1:9" ht="15.75" thickBot="1" x14ac:dyDescent="0.3">
      <c r="A110" s="7">
        <f t="shared" si="31"/>
        <v>109</v>
      </c>
      <c r="B110" s="8" t="str">
        <f t="shared" si="25"/>
        <v>1</v>
      </c>
      <c r="C110" s="8">
        <f t="shared" si="26"/>
        <v>5</v>
      </c>
      <c r="D110" s="8"/>
      <c r="E110" s="9">
        <f>E109+F109/60/24</f>
        <v>43909.8125</v>
      </c>
      <c r="F110" s="8">
        <f t="shared" si="27"/>
        <v>90</v>
      </c>
      <c r="G110" s="8" t="s">
        <v>16</v>
      </c>
      <c r="H110" s="8" t="s">
        <v>11</v>
      </c>
      <c r="I110" s="8">
        <f t="shared" si="32"/>
        <v>5</v>
      </c>
    </row>
    <row r="111" spans="1:9" x14ac:dyDescent="0.25">
      <c r="A111" s="3">
        <f>A110+1</f>
        <v>110</v>
      </c>
      <c r="B111" s="4" t="str">
        <f t="shared" si="25"/>
        <v>5</v>
      </c>
      <c r="C111" s="4">
        <f t="shared" si="26"/>
        <v>5</v>
      </c>
      <c r="D111" s="4"/>
      <c r="E111" s="5">
        <f>E103</f>
        <v>43909.75</v>
      </c>
      <c r="F111" s="4">
        <f t="shared" si="27"/>
        <v>90</v>
      </c>
      <c r="G111" s="4" t="s">
        <v>17</v>
      </c>
      <c r="H111" s="4" t="s">
        <v>11</v>
      </c>
      <c r="I111" s="4">
        <f t="shared" si="32"/>
        <v>5</v>
      </c>
    </row>
    <row r="112" spans="1:9" ht="15.75" thickBot="1" x14ac:dyDescent="0.3">
      <c r="A112" s="7">
        <f t="shared" si="31"/>
        <v>111</v>
      </c>
      <c r="B112" s="8" t="str">
        <f t="shared" si="25"/>
        <v>5</v>
      </c>
      <c r="C112" s="8">
        <f t="shared" si="26"/>
        <v>4</v>
      </c>
      <c r="D112" s="8"/>
      <c r="E112" s="9">
        <f>E111+F111/60/24</f>
        <v>43909.8125</v>
      </c>
      <c r="F112" s="8">
        <f t="shared" si="27"/>
        <v>105</v>
      </c>
      <c r="G112" s="8" t="s">
        <v>17</v>
      </c>
      <c r="H112" s="8" t="s">
        <v>13</v>
      </c>
      <c r="I112" s="8">
        <f t="shared" si="32"/>
        <v>5</v>
      </c>
    </row>
    <row r="113" spans="1:9" x14ac:dyDescent="0.25">
      <c r="A113" s="3">
        <f>A112+1</f>
        <v>112</v>
      </c>
      <c r="B113" s="4" t="str">
        <f t="shared" si="25"/>
        <v>6</v>
      </c>
      <c r="C113" s="4">
        <f t="shared" si="26"/>
        <v>3</v>
      </c>
      <c r="D113" s="4"/>
      <c r="E113" s="5">
        <f>E103</f>
        <v>43909.75</v>
      </c>
      <c r="F113" s="4">
        <f t="shared" si="27"/>
        <v>105</v>
      </c>
      <c r="G113" s="4" t="s">
        <v>18</v>
      </c>
      <c r="H113" s="4" t="s">
        <v>12</v>
      </c>
      <c r="I113" s="4">
        <f t="shared" si="32"/>
        <v>5</v>
      </c>
    </row>
    <row r="114" spans="1:9" ht="15.75" thickBot="1" x14ac:dyDescent="0.3">
      <c r="A114" s="10">
        <f t="shared" si="31"/>
        <v>113</v>
      </c>
      <c r="B114" s="11" t="str">
        <f t="shared" si="25"/>
        <v>6</v>
      </c>
      <c r="C114" s="11">
        <f t="shared" si="26"/>
        <v>3</v>
      </c>
      <c r="D114" s="11"/>
      <c r="E114" s="12">
        <f>E113+F113/60/24</f>
        <v>43909.822916666664</v>
      </c>
      <c r="F114" s="11">
        <f t="shared" si="27"/>
        <v>105</v>
      </c>
      <c r="G114" s="11" t="s">
        <v>18</v>
      </c>
      <c r="H114" s="11" t="s">
        <v>12</v>
      </c>
      <c r="I114" s="11">
        <f t="shared" si="32"/>
        <v>5</v>
      </c>
    </row>
    <row r="115" spans="1:9" x14ac:dyDescent="0.25">
      <c r="A115" s="3">
        <f>A114+1</f>
        <v>114</v>
      </c>
      <c r="B115" s="4" t="str">
        <f t="shared" si="25"/>
        <v>4</v>
      </c>
      <c r="C115" s="4">
        <f t="shared" si="26"/>
        <v>1</v>
      </c>
      <c r="D115" s="4"/>
      <c r="E115" s="5">
        <v>43910.75</v>
      </c>
      <c r="F115" s="4">
        <f t="shared" si="27"/>
        <v>120</v>
      </c>
      <c r="G115" s="4" t="s">
        <v>8</v>
      </c>
      <c r="H115" s="4" t="s">
        <v>8</v>
      </c>
      <c r="I115" s="4">
        <f t="shared" si="32"/>
        <v>6</v>
      </c>
    </row>
    <row r="116" spans="1:9" ht="15.75" thickBot="1" x14ac:dyDescent="0.3">
      <c r="A116" s="7">
        <f>A115+1</f>
        <v>115</v>
      </c>
      <c r="B116" s="8" t="str">
        <f t="shared" si="25"/>
        <v>4</v>
      </c>
      <c r="C116" s="8">
        <f t="shared" si="26"/>
        <v>1</v>
      </c>
      <c r="D116" s="8"/>
      <c r="E116" s="9">
        <f>E115+F115/60/24</f>
        <v>43910.833333333336</v>
      </c>
      <c r="F116" s="8">
        <f t="shared" si="27"/>
        <v>120</v>
      </c>
      <c r="G116" s="8" t="s">
        <v>8</v>
      </c>
      <c r="H116" s="8" t="s">
        <v>8</v>
      </c>
      <c r="I116" s="8">
        <f t="shared" si="32"/>
        <v>6</v>
      </c>
    </row>
    <row r="117" spans="1:9" x14ac:dyDescent="0.25">
      <c r="A117" s="3">
        <f>A116+1</f>
        <v>116</v>
      </c>
      <c r="B117" s="4" t="str">
        <f t="shared" si="25"/>
        <v>3</v>
      </c>
      <c r="C117" s="4">
        <f t="shared" si="26"/>
        <v>2</v>
      </c>
      <c r="D117" s="4"/>
      <c r="E117" s="5">
        <f>E115</f>
        <v>43910.75</v>
      </c>
      <c r="F117" s="4">
        <f t="shared" si="27"/>
        <v>120</v>
      </c>
      <c r="G117" s="4" t="s">
        <v>9</v>
      </c>
      <c r="H117" s="4" t="s">
        <v>9</v>
      </c>
      <c r="I117" s="4">
        <f t="shared" si="32"/>
        <v>6</v>
      </c>
    </row>
    <row r="118" spans="1:9" ht="15.75" thickBot="1" x14ac:dyDescent="0.3">
      <c r="A118" s="7">
        <f t="shared" ref="A118:A126" si="33">A117+1</f>
        <v>117</v>
      </c>
      <c r="B118" s="8" t="str">
        <f t="shared" si="25"/>
        <v>3</v>
      </c>
      <c r="C118" s="8">
        <f t="shared" si="26"/>
        <v>2</v>
      </c>
      <c r="D118" s="8"/>
      <c r="E118" s="9">
        <f>E117+F117/60/24</f>
        <v>43910.833333333336</v>
      </c>
      <c r="F118" s="8">
        <f t="shared" si="27"/>
        <v>120</v>
      </c>
      <c r="G118" s="8" t="s">
        <v>9</v>
      </c>
      <c r="H118" s="8" t="s">
        <v>9</v>
      </c>
      <c r="I118" s="8">
        <f t="shared" si="32"/>
        <v>6</v>
      </c>
    </row>
    <row r="119" spans="1:9" x14ac:dyDescent="0.25">
      <c r="A119" s="3">
        <f>A118+1</f>
        <v>118</v>
      </c>
      <c r="B119" s="4" t="str">
        <f t="shared" si="25"/>
        <v>2</v>
      </c>
      <c r="C119" s="4">
        <f t="shared" si="26"/>
        <v>4</v>
      </c>
      <c r="D119" s="4"/>
      <c r="E119" s="5">
        <f>E115</f>
        <v>43910.75</v>
      </c>
      <c r="F119" s="4">
        <f t="shared" si="27"/>
        <v>105</v>
      </c>
      <c r="G119" s="4" t="s">
        <v>10</v>
      </c>
      <c r="H119" s="4" t="s">
        <v>13</v>
      </c>
      <c r="I119" s="4">
        <f t="shared" si="32"/>
        <v>6</v>
      </c>
    </row>
    <row r="120" spans="1:9" ht="15.75" thickBot="1" x14ac:dyDescent="0.3">
      <c r="A120" s="7">
        <f t="shared" si="33"/>
        <v>119</v>
      </c>
      <c r="B120" s="8" t="str">
        <f t="shared" si="25"/>
        <v>2</v>
      </c>
      <c r="C120" s="8">
        <f t="shared" si="26"/>
        <v>4</v>
      </c>
      <c r="D120" s="8"/>
      <c r="E120" s="9">
        <f>E119+F119/60/24</f>
        <v>43910.822916666664</v>
      </c>
      <c r="F120" s="8">
        <f t="shared" si="27"/>
        <v>105</v>
      </c>
      <c r="G120" s="8" t="s">
        <v>10</v>
      </c>
      <c r="H120" s="8" t="s">
        <v>13</v>
      </c>
      <c r="I120" s="8">
        <f t="shared" si="32"/>
        <v>6</v>
      </c>
    </row>
    <row r="121" spans="1:9" x14ac:dyDescent="0.25">
      <c r="A121" s="3">
        <f>A120+1</f>
        <v>120</v>
      </c>
      <c r="B121" s="4" t="str">
        <f t="shared" si="25"/>
        <v>1</v>
      </c>
      <c r="C121" s="4">
        <f t="shared" si="26"/>
        <v>5</v>
      </c>
      <c r="D121" s="4"/>
      <c r="E121" s="5">
        <f>E115</f>
        <v>43910.75</v>
      </c>
      <c r="F121" s="4">
        <f t="shared" si="27"/>
        <v>90</v>
      </c>
      <c r="G121" s="4" t="s">
        <v>16</v>
      </c>
      <c r="H121" s="4" t="s">
        <v>11</v>
      </c>
      <c r="I121" s="4">
        <f t="shared" si="32"/>
        <v>6</v>
      </c>
    </row>
    <row r="122" spans="1:9" ht="15.75" thickBot="1" x14ac:dyDescent="0.3">
      <c r="A122" s="7">
        <f t="shared" si="33"/>
        <v>121</v>
      </c>
      <c r="B122" s="8" t="str">
        <f t="shared" si="25"/>
        <v>1</v>
      </c>
      <c r="C122" s="8">
        <f t="shared" si="26"/>
        <v>5</v>
      </c>
      <c r="D122" s="8"/>
      <c r="E122" s="9">
        <f>E121+F121/60/24</f>
        <v>43910.8125</v>
      </c>
      <c r="F122" s="8">
        <f t="shared" si="27"/>
        <v>90</v>
      </c>
      <c r="G122" s="8" t="s">
        <v>16</v>
      </c>
      <c r="H122" s="8" t="s">
        <v>11</v>
      </c>
      <c r="I122" s="8">
        <f t="shared" si="32"/>
        <v>6</v>
      </c>
    </row>
    <row r="123" spans="1:9" x14ac:dyDescent="0.25">
      <c r="A123" s="3">
        <f>A122+1</f>
        <v>122</v>
      </c>
      <c r="B123" s="4" t="str">
        <f t="shared" si="25"/>
        <v>5</v>
      </c>
      <c r="C123" s="4">
        <f t="shared" si="26"/>
        <v>5</v>
      </c>
      <c r="D123" s="4"/>
      <c r="E123" s="5">
        <f>E115</f>
        <v>43910.75</v>
      </c>
      <c r="F123" s="4">
        <f t="shared" si="27"/>
        <v>90</v>
      </c>
      <c r="G123" s="4" t="s">
        <v>17</v>
      </c>
      <c r="H123" s="4" t="s">
        <v>11</v>
      </c>
      <c r="I123" s="4">
        <f t="shared" si="32"/>
        <v>6</v>
      </c>
    </row>
    <row r="124" spans="1:9" ht="15.75" thickBot="1" x14ac:dyDescent="0.3">
      <c r="A124" s="7">
        <f t="shared" si="33"/>
        <v>123</v>
      </c>
      <c r="B124" s="8" t="str">
        <f t="shared" si="25"/>
        <v>5</v>
      </c>
      <c r="C124" s="8">
        <f t="shared" si="26"/>
        <v>4</v>
      </c>
      <c r="D124" s="8"/>
      <c r="E124" s="9">
        <f>E123+F123/60/24</f>
        <v>43910.8125</v>
      </c>
      <c r="F124" s="8">
        <f t="shared" si="27"/>
        <v>105</v>
      </c>
      <c r="G124" s="8" t="s">
        <v>17</v>
      </c>
      <c r="H124" s="8" t="s">
        <v>13</v>
      </c>
      <c r="I124" s="8">
        <f t="shared" si="32"/>
        <v>6</v>
      </c>
    </row>
    <row r="125" spans="1:9" x14ac:dyDescent="0.25">
      <c r="A125" s="3">
        <f>A124+1</f>
        <v>124</v>
      </c>
      <c r="B125" s="4" t="str">
        <f t="shared" si="25"/>
        <v>6</v>
      </c>
      <c r="C125" s="4">
        <f t="shared" si="26"/>
        <v>3</v>
      </c>
      <c r="D125" s="4"/>
      <c r="E125" s="5">
        <f>E115</f>
        <v>43910.75</v>
      </c>
      <c r="F125" s="4">
        <f t="shared" si="27"/>
        <v>105</v>
      </c>
      <c r="G125" s="4" t="s">
        <v>18</v>
      </c>
      <c r="H125" s="4" t="s">
        <v>12</v>
      </c>
      <c r="I125" s="4">
        <f t="shared" si="32"/>
        <v>6</v>
      </c>
    </row>
    <row r="126" spans="1:9" ht="15.75" thickBot="1" x14ac:dyDescent="0.3">
      <c r="A126" s="10">
        <f t="shared" si="33"/>
        <v>125</v>
      </c>
      <c r="B126" s="11" t="str">
        <f t="shared" si="25"/>
        <v>6</v>
      </c>
      <c r="C126" s="11">
        <f t="shared" si="26"/>
        <v>3</v>
      </c>
      <c r="D126" s="11"/>
      <c r="E126" s="12">
        <f>E125+F125/60/24</f>
        <v>43910.822916666664</v>
      </c>
      <c r="F126" s="11">
        <f t="shared" si="27"/>
        <v>105</v>
      </c>
      <c r="G126" s="11" t="s">
        <v>18</v>
      </c>
      <c r="H126" s="11" t="s">
        <v>12</v>
      </c>
      <c r="I126" s="11">
        <f t="shared" si="32"/>
        <v>6</v>
      </c>
    </row>
    <row r="127" spans="1:9" x14ac:dyDescent="0.25">
      <c r="A127" s="3">
        <f>A126+1</f>
        <v>126</v>
      </c>
      <c r="B127" s="4" t="str">
        <f t="shared" si="25"/>
        <v>7</v>
      </c>
      <c r="C127" s="4">
        <f t="shared" si="26"/>
        <v>5</v>
      </c>
      <c r="D127" s="4"/>
      <c r="E127" s="5">
        <f>E115</f>
        <v>43910.75</v>
      </c>
      <c r="F127" s="4">
        <f t="shared" si="27"/>
        <v>90</v>
      </c>
      <c r="G127" s="4" t="s">
        <v>19</v>
      </c>
      <c r="H127" s="4" t="s">
        <v>11</v>
      </c>
      <c r="I127" s="4">
        <f t="shared" si="32"/>
        <v>6</v>
      </c>
    </row>
    <row r="128" spans="1:9" ht="15.75" thickBot="1" x14ac:dyDescent="0.3">
      <c r="A128" s="7">
        <f t="shared" ref="A128" si="34">A127+1</f>
        <v>127</v>
      </c>
      <c r="B128" s="8" t="str">
        <f t="shared" si="25"/>
        <v>7</v>
      </c>
      <c r="C128" s="8">
        <f t="shared" si="26"/>
        <v>4</v>
      </c>
      <c r="D128" s="8"/>
      <c r="E128" s="9">
        <f>E127+F127/60/24</f>
        <v>43910.8125</v>
      </c>
      <c r="F128" s="8">
        <f t="shared" si="27"/>
        <v>105</v>
      </c>
      <c r="G128" s="8" t="s">
        <v>19</v>
      </c>
      <c r="H128" s="8" t="s">
        <v>13</v>
      </c>
      <c r="I128" s="8">
        <f t="shared" si="32"/>
        <v>6</v>
      </c>
    </row>
    <row r="129" spans="1:9" x14ac:dyDescent="0.25">
      <c r="A129" s="3">
        <f>A128+1</f>
        <v>128</v>
      </c>
      <c r="B129" s="4" t="str">
        <f t="shared" si="25"/>
        <v>8</v>
      </c>
      <c r="C129" s="4">
        <f t="shared" si="26"/>
        <v>5</v>
      </c>
      <c r="D129" s="4"/>
      <c r="E129" s="5">
        <f>E115</f>
        <v>43910.75</v>
      </c>
      <c r="F129" s="4">
        <f t="shared" si="27"/>
        <v>90</v>
      </c>
      <c r="G129" s="4" t="s">
        <v>20</v>
      </c>
      <c r="H129" s="4" t="s">
        <v>11</v>
      </c>
      <c r="I129" s="4">
        <f t="shared" si="32"/>
        <v>6</v>
      </c>
    </row>
    <row r="130" spans="1:9" ht="15.75" thickBot="1" x14ac:dyDescent="0.3">
      <c r="A130" s="10">
        <f t="shared" ref="A130" si="35">A129+1</f>
        <v>129</v>
      </c>
      <c r="B130" s="11" t="str">
        <f t="shared" ref="B130:B193" si="36">VLOOKUP(G130,field_id,2,FALSE)</f>
        <v>8</v>
      </c>
      <c r="C130" s="11">
        <f t="shared" ref="C130:C172" si="37">VLOOKUP(H130,league_id,2,FALSE)</f>
        <v>4</v>
      </c>
      <c r="D130" s="11"/>
      <c r="E130" s="12">
        <f>E129+F129/60/24</f>
        <v>43910.8125</v>
      </c>
      <c r="F130" s="11">
        <f t="shared" ref="F130:F193" si="38">VLOOKUP(H130,GameDuration,2,FALSE)</f>
        <v>105</v>
      </c>
      <c r="G130" s="11" t="s">
        <v>20</v>
      </c>
      <c r="H130" s="11" t="s">
        <v>13</v>
      </c>
      <c r="I130" s="11">
        <f t="shared" si="32"/>
        <v>6</v>
      </c>
    </row>
    <row r="131" spans="1:9" x14ac:dyDescent="0.25">
      <c r="A131" s="3">
        <f>A130+1</f>
        <v>130</v>
      </c>
      <c r="B131" s="4" t="str">
        <f t="shared" si="36"/>
        <v>4</v>
      </c>
      <c r="C131" s="4">
        <f t="shared" si="37"/>
        <v>1</v>
      </c>
      <c r="D131" s="4"/>
      <c r="E131" s="5">
        <v>43911.375</v>
      </c>
      <c r="F131" s="4">
        <f t="shared" si="38"/>
        <v>120</v>
      </c>
      <c r="G131" s="4" t="s">
        <v>8</v>
      </c>
      <c r="H131" s="4" t="s">
        <v>8</v>
      </c>
      <c r="I131" s="4">
        <f t="shared" si="32"/>
        <v>7</v>
      </c>
    </row>
    <row r="132" spans="1:9" x14ac:dyDescent="0.25">
      <c r="A132" s="7">
        <f>A131+1</f>
        <v>131</v>
      </c>
      <c r="B132" s="8" t="str">
        <f t="shared" si="36"/>
        <v>4</v>
      </c>
      <c r="C132" s="8">
        <f t="shared" si="37"/>
        <v>1</v>
      </c>
      <c r="D132" s="8"/>
      <c r="E132" s="9">
        <f>E131+F131/60/24</f>
        <v>43911.458333333336</v>
      </c>
      <c r="F132" s="8">
        <f t="shared" si="38"/>
        <v>120</v>
      </c>
      <c r="G132" s="8" t="s">
        <v>8</v>
      </c>
      <c r="H132" s="8" t="s">
        <v>8</v>
      </c>
      <c r="I132" s="8">
        <f t="shared" si="32"/>
        <v>7</v>
      </c>
    </row>
    <row r="133" spans="1:9" x14ac:dyDescent="0.25">
      <c r="A133" s="7">
        <f t="shared" ref="A133:A174" si="39">A132+1</f>
        <v>132</v>
      </c>
      <c r="B133" s="8" t="str">
        <f t="shared" si="36"/>
        <v>4</v>
      </c>
      <c r="C133" s="8">
        <f t="shared" si="37"/>
        <v>1</v>
      </c>
      <c r="D133" s="8"/>
      <c r="E133" s="9">
        <f>E132+F132/60/24</f>
        <v>43911.541666666672</v>
      </c>
      <c r="F133" s="8">
        <f t="shared" si="38"/>
        <v>120</v>
      </c>
      <c r="G133" s="8" t="s">
        <v>8</v>
      </c>
      <c r="H133" s="8" t="s">
        <v>8</v>
      </c>
      <c r="I133" s="8">
        <f t="shared" si="32"/>
        <v>7</v>
      </c>
    </row>
    <row r="134" spans="1:9" x14ac:dyDescent="0.25">
      <c r="A134" s="7">
        <f t="shared" si="39"/>
        <v>133</v>
      </c>
      <c r="B134" s="8" t="str">
        <f t="shared" si="36"/>
        <v>4</v>
      </c>
      <c r="C134" s="8">
        <f t="shared" si="37"/>
        <v>1</v>
      </c>
      <c r="D134" s="8"/>
      <c r="E134" s="9">
        <f>E133+F133/60/24</f>
        <v>43911.625000000007</v>
      </c>
      <c r="F134" s="8">
        <f t="shared" si="38"/>
        <v>120</v>
      </c>
      <c r="G134" s="8" t="s">
        <v>8</v>
      </c>
      <c r="H134" s="8" t="s">
        <v>8</v>
      </c>
      <c r="I134" s="8">
        <f t="shared" si="32"/>
        <v>7</v>
      </c>
    </row>
    <row r="135" spans="1:9" ht="15.75" thickBot="1" x14ac:dyDescent="0.3">
      <c r="A135" s="10">
        <f t="shared" si="39"/>
        <v>134</v>
      </c>
      <c r="B135" s="11" t="str">
        <f t="shared" si="36"/>
        <v>4</v>
      </c>
      <c r="C135" s="11">
        <f t="shared" si="37"/>
        <v>1</v>
      </c>
      <c r="D135" s="11"/>
      <c r="E135" s="12">
        <f>E134+F134/60/24</f>
        <v>43911.708333333343</v>
      </c>
      <c r="F135" s="11">
        <f t="shared" si="38"/>
        <v>120</v>
      </c>
      <c r="G135" s="11" t="s">
        <v>8</v>
      </c>
      <c r="H135" s="11" t="s">
        <v>8</v>
      </c>
      <c r="I135" s="11">
        <f t="shared" si="32"/>
        <v>7</v>
      </c>
    </row>
    <row r="136" spans="1:9" x14ac:dyDescent="0.25">
      <c r="A136" s="3">
        <f t="shared" si="39"/>
        <v>135</v>
      </c>
      <c r="B136" s="4" t="str">
        <f t="shared" si="36"/>
        <v>3</v>
      </c>
      <c r="C136" s="8" t="s">
        <v>50</v>
      </c>
      <c r="D136" s="4"/>
      <c r="E136" s="5">
        <f>E131</f>
        <v>43911.375</v>
      </c>
      <c r="F136" s="4">
        <f t="shared" si="38"/>
        <v>120</v>
      </c>
      <c r="G136" s="4" t="s">
        <v>9</v>
      </c>
      <c r="H136" s="4" t="s">
        <v>9</v>
      </c>
      <c r="I136" s="4">
        <f t="shared" si="32"/>
        <v>7</v>
      </c>
    </row>
    <row r="137" spans="1:9" x14ac:dyDescent="0.25">
      <c r="A137" s="7">
        <f t="shared" si="39"/>
        <v>136</v>
      </c>
      <c r="B137" s="8" t="str">
        <f t="shared" si="36"/>
        <v>3</v>
      </c>
      <c r="C137" s="8" t="s">
        <v>50</v>
      </c>
      <c r="D137" s="8"/>
      <c r="E137" s="9">
        <f>E136+F136/60/24</f>
        <v>43911.458333333336</v>
      </c>
      <c r="F137" s="8">
        <f t="shared" si="38"/>
        <v>120</v>
      </c>
      <c r="G137" s="8" t="s">
        <v>9</v>
      </c>
      <c r="H137" s="8" t="s">
        <v>9</v>
      </c>
      <c r="I137" s="8">
        <f t="shared" si="32"/>
        <v>7</v>
      </c>
    </row>
    <row r="138" spans="1:9" x14ac:dyDescent="0.25">
      <c r="A138" s="7">
        <f t="shared" si="39"/>
        <v>137</v>
      </c>
      <c r="B138" s="8" t="str">
        <f t="shared" si="36"/>
        <v>3</v>
      </c>
      <c r="C138" s="8" t="s">
        <v>50</v>
      </c>
      <c r="D138" s="8"/>
      <c r="E138" s="9">
        <f t="shared" ref="E138:E140" si="40">E137+F137/60/24</f>
        <v>43911.541666666672</v>
      </c>
      <c r="F138" s="8">
        <f t="shared" si="38"/>
        <v>120</v>
      </c>
      <c r="G138" s="8" t="s">
        <v>9</v>
      </c>
      <c r="H138" s="8" t="s">
        <v>9</v>
      </c>
      <c r="I138" s="8">
        <f t="shared" si="32"/>
        <v>7</v>
      </c>
    </row>
    <row r="139" spans="1:9" x14ac:dyDescent="0.25">
      <c r="A139" s="7">
        <f t="shared" si="39"/>
        <v>138</v>
      </c>
      <c r="B139" s="8" t="str">
        <f t="shared" si="36"/>
        <v>3</v>
      </c>
      <c r="C139" s="8" t="s">
        <v>50</v>
      </c>
      <c r="D139" s="8"/>
      <c r="E139" s="9">
        <f t="shared" si="40"/>
        <v>43911.625000000007</v>
      </c>
      <c r="F139" s="8">
        <f t="shared" si="38"/>
        <v>120</v>
      </c>
      <c r="G139" s="8" t="s">
        <v>9</v>
      </c>
      <c r="H139" s="8" t="s">
        <v>9</v>
      </c>
      <c r="I139" s="8">
        <f t="shared" si="32"/>
        <v>7</v>
      </c>
    </row>
    <row r="140" spans="1:9" ht="15.75" thickBot="1" x14ac:dyDescent="0.3">
      <c r="A140" s="10">
        <f t="shared" si="39"/>
        <v>139</v>
      </c>
      <c r="B140" s="11" t="str">
        <f t="shared" si="36"/>
        <v>3</v>
      </c>
      <c r="C140" s="8" t="s">
        <v>50</v>
      </c>
      <c r="D140" s="11"/>
      <c r="E140" s="9">
        <f t="shared" si="40"/>
        <v>43911.708333333343</v>
      </c>
      <c r="F140" s="11">
        <f t="shared" si="38"/>
        <v>120</v>
      </c>
      <c r="G140" s="11" t="s">
        <v>9</v>
      </c>
      <c r="H140" s="11" t="s">
        <v>9</v>
      </c>
      <c r="I140" s="11">
        <f t="shared" si="32"/>
        <v>7</v>
      </c>
    </row>
    <row r="141" spans="1:9" x14ac:dyDescent="0.25">
      <c r="A141" s="3">
        <f t="shared" si="39"/>
        <v>140</v>
      </c>
      <c r="B141" s="4" t="str">
        <f t="shared" si="36"/>
        <v>2</v>
      </c>
      <c r="C141" s="4">
        <f t="shared" si="37"/>
        <v>6</v>
      </c>
      <c r="D141" s="4"/>
      <c r="E141" s="5">
        <f>E131</f>
        <v>43911.375</v>
      </c>
      <c r="F141" s="4">
        <f t="shared" si="38"/>
        <v>60</v>
      </c>
      <c r="G141" s="4" t="s">
        <v>10</v>
      </c>
      <c r="H141" s="4" t="s">
        <v>14</v>
      </c>
      <c r="I141" s="4">
        <f t="shared" si="32"/>
        <v>7</v>
      </c>
    </row>
    <row r="142" spans="1:9" x14ac:dyDescent="0.25">
      <c r="A142" s="7">
        <f t="shared" si="39"/>
        <v>141</v>
      </c>
      <c r="B142" s="8" t="str">
        <f t="shared" si="36"/>
        <v>2</v>
      </c>
      <c r="C142" s="8">
        <f t="shared" si="37"/>
        <v>4</v>
      </c>
      <c r="D142" s="8"/>
      <c r="E142" s="9">
        <f>E141+F141/60/24</f>
        <v>43911.416666666664</v>
      </c>
      <c r="F142" s="8">
        <f t="shared" si="38"/>
        <v>105</v>
      </c>
      <c r="G142" s="8" t="s">
        <v>10</v>
      </c>
      <c r="H142" s="8" t="s">
        <v>13</v>
      </c>
      <c r="I142" s="8">
        <f t="shared" si="32"/>
        <v>7</v>
      </c>
    </row>
    <row r="143" spans="1:9" x14ac:dyDescent="0.25">
      <c r="A143" s="7">
        <f t="shared" si="39"/>
        <v>142</v>
      </c>
      <c r="B143" s="8" t="str">
        <f t="shared" si="36"/>
        <v>2</v>
      </c>
      <c r="C143" s="8">
        <f t="shared" si="37"/>
        <v>4</v>
      </c>
      <c r="D143" s="8"/>
      <c r="E143" s="9">
        <f t="shared" ref="E143:E146" si="41">E142+F142/60/24</f>
        <v>43911.489583333328</v>
      </c>
      <c r="F143" s="8">
        <f t="shared" si="38"/>
        <v>105</v>
      </c>
      <c r="G143" s="8" t="s">
        <v>10</v>
      </c>
      <c r="H143" s="8" t="s">
        <v>13</v>
      </c>
      <c r="I143" s="8">
        <f t="shared" si="32"/>
        <v>7</v>
      </c>
    </row>
    <row r="144" spans="1:9" x14ac:dyDescent="0.25">
      <c r="A144" s="7">
        <f t="shared" si="39"/>
        <v>143</v>
      </c>
      <c r="B144" s="8" t="str">
        <f t="shared" si="36"/>
        <v>2</v>
      </c>
      <c r="C144" s="8">
        <f t="shared" si="37"/>
        <v>4</v>
      </c>
      <c r="D144" s="8"/>
      <c r="E144" s="9">
        <f t="shared" si="41"/>
        <v>43911.562499999993</v>
      </c>
      <c r="F144" s="8">
        <f t="shared" si="38"/>
        <v>105</v>
      </c>
      <c r="G144" s="8" t="s">
        <v>10</v>
      </c>
      <c r="H144" s="8" t="s">
        <v>13</v>
      </c>
      <c r="I144" s="8">
        <f t="shared" si="32"/>
        <v>7</v>
      </c>
    </row>
    <row r="145" spans="1:9" x14ac:dyDescent="0.25">
      <c r="A145" s="7">
        <f t="shared" si="39"/>
        <v>144</v>
      </c>
      <c r="B145" s="8" t="str">
        <f t="shared" si="36"/>
        <v>2</v>
      </c>
      <c r="C145" s="8">
        <f t="shared" si="37"/>
        <v>4</v>
      </c>
      <c r="D145" s="8"/>
      <c r="E145" s="9">
        <f t="shared" si="41"/>
        <v>43911.635416666657</v>
      </c>
      <c r="F145" s="8">
        <f t="shared" si="38"/>
        <v>105</v>
      </c>
      <c r="G145" s="8" t="s">
        <v>10</v>
      </c>
      <c r="H145" s="8" t="s">
        <v>13</v>
      </c>
      <c r="I145" s="8">
        <f t="shared" si="32"/>
        <v>7</v>
      </c>
    </row>
    <row r="146" spans="1:9" ht="15.75" thickBot="1" x14ac:dyDescent="0.3">
      <c r="A146" s="10">
        <f t="shared" si="39"/>
        <v>145</v>
      </c>
      <c r="B146" s="11" t="str">
        <f t="shared" si="36"/>
        <v>2</v>
      </c>
      <c r="C146" s="11">
        <f t="shared" si="37"/>
        <v>4</v>
      </c>
      <c r="D146" s="11"/>
      <c r="E146" s="12">
        <f t="shared" si="41"/>
        <v>43911.708333333321</v>
      </c>
      <c r="F146" s="11">
        <f t="shared" si="38"/>
        <v>105</v>
      </c>
      <c r="G146" s="11" t="s">
        <v>10</v>
      </c>
      <c r="H146" s="11" t="s">
        <v>13</v>
      </c>
      <c r="I146" s="11">
        <f t="shared" si="32"/>
        <v>7</v>
      </c>
    </row>
    <row r="147" spans="1:9" x14ac:dyDescent="0.25">
      <c r="A147" s="3">
        <f t="shared" si="39"/>
        <v>146</v>
      </c>
      <c r="B147" s="4" t="str">
        <f t="shared" si="36"/>
        <v>1</v>
      </c>
      <c r="C147" s="4">
        <f t="shared" si="37"/>
        <v>7</v>
      </c>
      <c r="D147" s="4"/>
      <c r="E147" s="5">
        <f>E131</f>
        <v>43911.375</v>
      </c>
      <c r="F147" s="4">
        <f t="shared" si="38"/>
        <v>60</v>
      </c>
      <c r="G147" s="4" t="s">
        <v>16</v>
      </c>
      <c r="H147" s="4" t="s">
        <v>15</v>
      </c>
      <c r="I147" s="4">
        <f>WEEKDAY(E147)</f>
        <v>7</v>
      </c>
    </row>
    <row r="148" spans="1:9" x14ac:dyDescent="0.25">
      <c r="A148" s="7">
        <f t="shared" si="39"/>
        <v>147</v>
      </c>
      <c r="B148" s="8" t="str">
        <f t="shared" si="36"/>
        <v>1</v>
      </c>
      <c r="C148" s="8">
        <f t="shared" si="37"/>
        <v>6</v>
      </c>
      <c r="D148" s="8"/>
      <c r="E148" s="9">
        <f>E147+F147/60/24</f>
        <v>43911.416666666664</v>
      </c>
      <c r="F148" s="8">
        <f t="shared" si="38"/>
        <v>60</v>
      </c>
      <c r="G148" s="8" t="s">
        <v>16</v>
      </c>
      <c r="H148" s="8" t="s">
        <v>14</v>
      </c>
      <c r="I148" s="8">
        <f>WEEKDAY(E148)</f>
        <v>7</v>
      </c>
    </row>
    <row r="149" spans="1:9" x14ac:dyDescent="0.25">
      <c r="A149" s="7">
        <f t="shared" si="39"/>
        <v>148</v>
      </c>
      <c r="B149" s="8" t="str">
        <f t="shared" si="36"/>
        <v>1</v>
      </c>
      <c r="C149" s="8">
        <f t="shared" si="37"/>
        <v>5</v>
      </c>
      <c r="D149" s="8"/>
      <c r="E149" s="9">
        <f t="shared" ref="E149:E153" si="42">E148+F148/60/24</f>
        <v>43911.458333333328</v>
      </c>
      <c r="F149" s="8">
        <f t="shared" si="38"/>
        <v>90</v>
      </c>
      <c r="G149" s="8" t="s">
        <v>16</v>
      </c>
      <c r="H149" s="8" t="s">
        <v>11</v>
      </c>
      <c r="I149" s="8">
        <f>WEEKDAY(E149)</f>
        <v>7</v>
      </c>
    </row>
    <row r="150" spans="1:9" x14ac:dyDescent="0.25">
      <c r="A150" s="7">
        <f t="shared" si="39"/>
        <v>149</v>
      </c>
      <c r="B150" s="8" t="str">
        <f t="shared" si="36"/>
        <v>1</v>
      </c>
      <c r="C150" s="8">
        <f t="shared" si="37"/>
        <v>5</v>
      </c>
      <c r="D150" s="8"/>
      <c r="E150" s="9">
        <f t="shared" si="42"/>
        <v>43911.520833333328</v>
      </c>
      <c r="F150" s="8">
        <f t="shared" si="38"/>
        <v>90</v>
      </c>
      <c r="G150" s="8" t="s">
        <v>16</v>
      </c>
      <c r="H150" s="8" t="s">
        <v>11</v>
      </c>
      <c r="I150" s="8">
        <f>WEEKDAY(E150)</f>
        <v>7</v>
      </c>
    </row>
    <row r="151" spans="1:9" x14ac:dyDescent="0.25">
      <c r="A151" s="7">
        <f t="shared" si="39"/>
        <v>150</v>
      </c>
      <c r="B151" s="8" t="str">
        <f t="shared" si="36"/>
        <v>1</v>
      </c>
      <c r="C151" s="8">
        <f t="shared" si="37"/>
        <v>5</v>
      </c>
      <c r="D151" s="8"/>
      <c r="E151" s="9">
        <f t="shared" si="42"/>
        <v>43911.583333333328</v>
      </c>
      <c r="F151" s="8">
        <f t="shared" si="38"/>
        <v>90</v>
      </c>
      <c r="G151" s="8" t="s">
        <v>16</v>
      </c>
      <c r="H151" s="8" t="s">
        <v>11</v>
      </c>
      <c r="I151" s="8">
        <f t="shared" ref="I151:I153" si="43">WEEKDAY(E151)</f>
        <v>7</v>
      </c>
    </row>
    <row r="152" spans="1:9" x14ac:dyDescent="0.25">
      <c r="A152" s="7">
        <f t="shared" si="39"/>
        <v>151</v>
      </c>
      <c r="B152" s="8" t="str">
        <f t="shared" si="36"/>
        <v>1</v>
      </c>
      <c r="C152" s="8">
        <f t="shared" si="37"/>
        <v>5</v>
      </c>
      <c r="D152" s="8"/>
      <c r="E152" s="9">
        <f t="shared" si="42"/>
        <v>43911.645833333328</v>
      </c>
      <c r="F152" s="8">
        <f t="shared" si="38"/>
        <v>90</v>
      </c>
      <c r="G152" s="8" t="s">
        <v>16</v>
      </c>
      <c r="H152" s="8" t="s">
        <v>11</v>
      </c>
      <c r="I152" s="8">
        <f t="shared" si="43"/>
        <v>7</v>
      </c>
    </row>
    <row r="153" spans="1:9" ht="15.75" thickBot="1" x14ac:dyDescent="0.3">
      <c r="A153" s="10">
        <f t="shared" si="39"/>
        <v>152</v>
      </c>
      <c r="B153" s="11" t="str">
        <f t="shared" si="36"/>
        <v>1</v>
      </c>
      <c r="C153" s="11">
        <f t="shared" si="37"/>
        <v>5</v>
      </c>
      <c r="D153" s="11"/>
      <c r="E153" s="9">
        <f t="shared" si="42"/>
        <v>43911.708333333328</v>
      </c>
      <c r="F153" s="11">
        <f t="shared" si="38"/>
        <v>90</v>
      </c>
      <c r="G153" s="11" t="s">
        <v>16</v>
      </c>
      <c r="H153" s="11" t="s">
        <v>11</v>
      </c>
      <c r="I153" s="11">
        <f t="shared" si="43"/>
        <v>7</v>
      </c>
    </row>
    <row r="154" spans="1:9" x14ac:dyDescent="0.25">
      <c r="A154" s="3">
        <f t="shared" si="39"/>
        <v>153</v>
      </c>
      <c r="B154" s="4" t="str">
        <f t="shared" si="36"/>
        <v>5</v>
      </c>
      <c r="C154" s="4">
        <f t="shared" si="37"/>
        <v>6</v>
      </c>
      <c r="D154" s="4"/>
      <c r="E154" s="5">
        <f>E131</f>
        <v>43911.375</v>
      </c>
      <c r="F154" s="4">
        <f t="shared" si="38"/>
        <v>60</v>
      </c>
      <c r="G154" s="4" t="s">
        <v>17</v>
      </c>
      <c r="H154" s="4" t="s">
        <v>14</v>
      </c>
      <c r="I154" s="4">
        <f>WEEKDAY(E154)</f>
        <v>7</v>
      </c>
    </row>
    <row r="155" spans="1:9" x14ac:dyDescent="0.25">
      <c r="A155" s="7">
        <f t="shared" si="39"/>
        <v>154</v>
      </c>
      <c r="B155" s="8" t="str">
        <f t="shared" si="36"/>
        <v>5</v>
      </c>
      <c r="C155" s="8">
        <f t="shared" si="37"/>
        <v>5</v>
      </c>
      <c r="D155" s="8"/>
      <c r="E155" s="9">
        <f>E154+F154/60/24</f>
        <v>43911.416666666664</v>
      </c>
      <c r="F155" s="8">
        <f t="shared" si="38"/>
        <v>90</v>
      </c>
      <c r="G155" s="8" t="s">
        <v>17</v>
      </c>
      <c r="H155" s="8" t="s">
        <v>11</v>
      </c>
      <c r="I155" s="8">
        <f>WEEKDAY(E155)</f>
        <v>7</v>
      </c>
    </row>
    <row r="156" spans="1:9" x14ac:dyDescent="0.25">
      <c r="A156" s="7">
        <f t="shared" si="39"/>
        <v>155</v>
      </c>
      <c r="B156" s="8" t="str">
        <f t="shared" si="36"/>
        <v>5</v>
      </c>
      <c r="C156" s="8">
        <f t="shared" si="37"/>
        <v>4</v>
      </c>
      <c r="D156" s="8"/>
      <c r="E156" s="9">
        <f t="shared" ref="E156:E159" si="44">E155+F155/60/24</f>
        <v>43911.479166666664</v>
      </c>
      <c r="F156" s="8">
        <f t="shared" si="38"/>
        <v>105</v>
      </c>
      <c r="G156" s="8" t="s">
        <v>17</v>
      </c>
      <c r="H156" s="8" t="s">
        <v>13</v>
      </c>
      <c r="I156" s="8">
        <f>WEEKDAY(E156)</f>
        <v>7</v>
      </c>
    </row>
    <row r="157" spans="1:9" x14ac:dyDescent="0.25">
      <c r="A157" s="7">
        <f t="shared" si="39"/>
        <v>156</v>
      </c>
      <c r="B157" s="8" t="str">
        <f t="shared" si="36"/>
        <v>5</v>
      </c>
      <c r="C157" s="8">
        <f t="shared" si="37"/>
        <v>4</v>
      </c>
      <c r="D157" s="8"/>
      <c r="E157" s="9">
        <f t="shared" si="44"/>
        <v>43911.552083333328</v>
      </c>
      <c r="F157" s="8">
        <f t="shared" si="38"/>
        <v>105</v>
      </c>
      <c r="G157" s="8" t="s">
        <v>17</v>
      </c>
      <c r="H157" s="8" t="s">
        <v>13</v>
      </c>
      <c r="I157" s="8">
        <f>WEEKDAY(E157)</f>
        <v>7</v>
      </c>
    </row>
    <row r="158" spans="1:9" x14ac:dyDescent="0.25">
      <c r="A158" s="7">
        <f t="shared" si="39"/>
        <v>157</v>
      </c>
      <c r="B158" s="8" t="str">
        <f t="shared" si="36"/>
        <v>5</v>
      </c>
      <c r="C158" s="8">
        <f t="shared" si="37"/>
        <v>4</v>
      </c>
      <c r="D158" s="8"/>
      <c r="E158" s="9">
        <f t="shared" si="44"/>
        <v>43911.624999999993</v>
      </c>
      <c r="F158" s="8">
        <f t="shared" si="38"/>
        <v>105</v>
      </c>
      <c r="G158" s="8" t="s">
        <v>17</v>
      </c>
      <c r="H158" s="8" t="s">
        <v>13</v>
      </c>
      <c r="I158" s="8">
        <f t="shared" ref="I158:I159" si="45">WEEKDAY(E158)</f>
        <v>7</v>
      </c>
    </row>
    <row r="159" spans="1:9" ht="15.75" thickBot="1" x14ac:dyDescent="0.3">
      <c r="A159" s="10">
        <f t="shared" si="39"/>
        <v>158</v>
      </c>
      <c r="B159" s="11" t="str">
        <f t="shared" si="36"/>
        <v>5</v>
      </c>
      <c r="C159" s="11">
        <f t="shared" si="37"/>
        <v>4</v>
      </c>
      <c r="D159" s="11"/>
      <c r="E159" s="12">
        <f t="shared" si="44"/>
        <v>43911.697916666657</v>
      </c>
      <c r="F159" s="11">
        <f t="shared" si="38"/>
        <v>105</v>
      </c>
      <c r="G159" s="11" t="s">
        <v>17</v>
      </c>
      <c r="H159" s="11" t="s">
        <v>13</v>
      </c>
      <c r="I159" s="11">
        <f t="shared" si="45"/>
        <v>7</v>
      </c>
    </row>
    <row r="160" spans="1:9" x14ac:dyDescent="0.25">
      <c r="A160" s="3">
        <f t="shared" si="39"/>
        <v>159</v>
      </c>
      <c r="B160" s="4" t="str">
        <f t="shared" si="36"/>
        <v>6</v>
      </c>
      <c r="C160" s="4">
        <f t="shared" si="37"/>
        <v>4</v>
      </c>
      <c r="D160" s="4"/>
      <c r="E160" s="5">
        <f>E131</f>
        <v>43911.375</v>
      </c>
      <c r="F160" s="4">
        <f t="shared" si="38"/>
        <v>105</v>
      </c>
      <c r="G160" s="4" t="s">
        <v>18</v>
      </c>
      <c r="H160" s="4" t="s">
        <v>13</v>
      </c>
      <c r="I160" s="4">
        <f>WEEKDAY(E160)</f>
        <v>7</v>
      </c>
    </row>
    <row r="161" spans="1:9" x14ac:dyDescent="0.25">
      <c r="A161" s="7">
        <f t="shared" si="39"/>
        <v>160</v>
      </c>
      <c r="B161" s="8" t="str">
        <f t="shared" si="36"/>
        <v>6</v>
      </c>
      <c r="C161" s="8" t="s">
        <v>50</v>
      </c>
      <c r="D161" s="8"/>
      <c r="E161" s="9">
        <f>E160+F160/60/24</f>
        <v>43911.447916666664</v>
      </c>
      <c r="F161" s="8">
        <f t="shared" si="38"/>
        <v>105</v>
      </c>
      <c r="G161" s="8" t="s">
        <v>18</v>
      </c>
      <c r="H161" s="8" t="s">
        <v>12</v>
      </c>
      <c r="I161" s="8">
        <f>WEEKDAY(E161)</f>
        <v>7</v>
      </c>
    </row>
    <row r="162" spans="1:9" x14ac:dyDescent="0.25">
      <c r="A162" s="7">
        <f t="shared" si="39"/>
        <v>161</v>
      </c>
      <c r="B162" s="8" t="str">
        <f t="shared" si="36"/>
        <v>6</v>
      </c>
      <c r="C162" s="8" t="s">
        <v>50</v>
      </c>
      <c r="D162" s="8"/>
      <c r="E162" s="9">
        <f t="shared" ref="E162:E164" si="46">E161+F161/60/24</f>
        <v>43911.520833333328</v>
      </c>
      <c r="F162" s="8">
        <f t="shared" si="38"/>
        <v>105</v>
      </c>
      <c r="G162" s="8" t="s">
        <v>18</v>
      </c>
      <c r="H162" s="8" t="s">
        <v>12</v>
      </c>
      <c r="I162" s="8">
        <f>WEEKDAY(E162)</f>
        <v>7</v>
      </c>
    </row>
    <row r="163" spans="1:9" x14ac:dyDescent="0.25">
      <c r="A163" s="7">
        <f t="shared" si="39"/>
        <v>162</v>
      </c>
      <c r="B163" s="8" t="str">
        <f t="shared" si="36"/>
        <v>6</v>
      </c>
      <c r="C163" s="8" t="s">
        <v>50</v>
      </c>
      <c r="D163" s="8"/>
      <c r="E163" s="9">
        <f t="shared" si="46"/>
        <v>43911.593749999993</v>
      </c>
      <c r="F163" s="8">
        <f t="shared" si="38"/>
        <v>105</v>
      </c>
      <c r="G163" s="8" t="s">
        <v>18</v>
      </c>
      <c r="H163" s="8" t="s">
        <v>12</v>
      </c>
      <c r="I163" s="8">
        <f>WEEKDAY(E163)</f>
        <v>7</v>
      </c>
    </row>
    <row r="164" spans="1:9" ht="15.75" thickBot="1" x14ac:dyDescent="0.3">
      <c r="A164" s="10">
        <f t="shared" si="39"/>
        <v>163</v>
      </c>
      <c r="B164" s="11" t="str">
        <f t="shared" si="36"/>
        <v>6</v>
      </c>
      <c r="C164" s="8" t="s">
        <v>50</v>
      </c>
      <c r="D164" s="11"/>
      <c r="E164" s="12">
        <f t="shared" si="46"/>
        <v>43911.666666666657</v>
      </c>
      <c r="F164" s="11">
        <f t="shared" si="38"/>
        <v>105</v>
      </c>
      <c r="G164" s="11" t="s">
        <v>18</v>
      </c>
      <c r="H164" s="11" t="s">
        <v>12</v>
      </c>
      <c r="I164" s="11">
        <f t="shared" ref="I164" si="47">WEEKDAY(E164)</f>
        <v>7</v>
      </c>
    </row>
    <row r="165" spans="1:9" x14ac:dyDescent="0.25">
      <c r="A165" s="3">
        <f t="shared" si="39"/>
        <v>164</v>
      </c>
      <c r="B165" s="4" t="str">
        <f t="shared" si="36"/>
        <v>7</v>
      </c>
      <c r="C165" s="4">
        <f t="shared" si="37"/>
        <v>6</v>
      </c>
      <c r="D165" s="4"/>
      <c r="E165" s="5">
        <f>E131</f>
        <v>43911.375</v>
      </c>
      <c r="F165" s="4">
        <f t="shared" si="38"/>
        <v>60</v>
      </c>
      <c r="G165" s="4" t="s">
        <v>19</v>
      </c>
      <c r="H165" s="4" t="s">
        <v>14</v>
      </c>
      <c r="I165" s="4">
        <f>WEEKDAY(E165)</f>
        <v>7</v>
      </c>
    </row>
    <row r="166" spans="1:9" x14ac:dyDescent="0.25">
      <c r="A166" s="7">
        <f t="shared" si="39"/>
        <v>165</v>
      </c>
      <c r="B166" s="8" t="str">
        <f t="shared" si="36"/>
        <v>7</v>
      </c>
      <c r="C166" s="8">
        <f t="shared" si="37"/>
        <v>3</v>
      </c>
      <c r="D166" s="8"/>
      <c r="E166" s="9">
        <f>E165+F165/60/24</f>
        <v>43911.416666666664</v>
      </c>
      <c r="F166" s="8">
        <f t="shared" si="38"/>
        <v>105</v>
      </c>
      <c r="G166" s="8" t="s">
        <v>19</v>
      </c>
      <c r="H166" s="8" t="s">
        <v>12</v>
      </c>
      <c r="I166" s="8">
        <f>WEEKDAY(E166)</f>
        <v>7</v>
      </c>
    </row>
    <row r="167" spans="1:9" x14ac:dyDescent="0.25">
      <c r="A167" s="7">
        <f t="shared" si="39"/>
        <v>166</v>
      </c>
      <c r="B167" s="8" t="str">
        <f t="shared" si="36"/>
        <v>7</v>
      </c>
      <c r="C167" s="8">
        <f t="shared" si="37"/>
        <v>3</v>
      </c>
      <c r="D167" s="8"/>
      <c r="E167" s="9">
        <f t="shared" ref="E167:E169" si="48">E166+F166/60/24</f>
        <v>43911.489583333328</v>
      </c>
      <c r="F167" s="8">
        <f t="shared" si="38"/>
        <v>105</v>
      </c>
      <c r="G167" s="8" t="s">
        <v>19</v>
      </c>
      <c r="H167" s="8" t="s">
        <v>12</v>
      </c>
      <c r="I167" s="8">
        <f>WEEKDAY(E167)</f>
        <v>7</v>
      </c>
    </row>
    <row r="168" spans="1:9" x14ac:dyDescent="0.25">
      <c r="A168" s="7">
        <f t="shared" si="39"/>
        <v>167</v>
      </c>
      <c r="B168" s="8" t="str">
        <f t="shared" si="36"/>
        <v>7</v>
      </c>
      <c r="C168" s="8" t="s">
        <v>50</v>
      </c>
      <c r="D168" s="8"/>
      <c r="E168" s="9">
        <f t="shared" si="48"/>
        <v>43911.562499999993</v>
      </c>
      <c r="F168" s="8">
        <f t="shared" si="38"/>
        <v>120</v>
      </c>
      <c r="G168" s="8" t="s">
        <v>19</v>
      </c>
      <c r="H168" s="8" t="s">
        <v>9</v>
      </c>
      <c r="I168" s="8">
        <f>WEEKDAY(E168)</f>
        <v>7</v>
      </c>
    </row>
    <row r="169" spans="1:9" ht="15.75" thickBot="1" x14ac:dyDescent="0.3">
      <c r="A169" s="10">
        <f t="shared" si="39"/>
        <v>168</v>
      </c>
      <c r="B169" s="11" t="str">
        <f t="shared" si="36"/>
        <v>7</v>
      </c>
      <c r="C169" s="8" t="s">
        <v>50</v>
      </c>
      <c r="D169" s="11"/>
      <c r="E169" s="12">
        <f t="shared" si="48"/>
        <v>43911.645833333328</v>
      </c>
      <c r="F169" s="11">
        <f t="shared" si="38"/>
        <v>120</v>
      </c>
      <c r="G169" s="11" t="s">
        <v>19</v>
      </c>
      <c r="H169" s="11" t="s">
        <v>9</v>
      </c>
      <c r="I169" s="11">
        <f t="shared" ref="I169" si="49">WEEKDAY(E169)</f>
        <v>7</v>
      </c>
    </row>
    <row r="170" spans="1:9" x14ac:dyDescent="0.25">
      <c r="A170" s="3">
        <f t="shared" si="39"/>
        <v>169</v>
      </c>
      <c r="B170" s="4" t="str">
        <f t="shared" si="36"/>
        <v>8</v>
      </c>
      <c r="C170" s="4">
        <f t="shared" si="37"/>
        <v>5</v>
      </c>
      <c r="D170" s="4"/>
      <c r="E170" s="5">
        <f>E131</f>
        <v>43911.375</v>
      </c>
      <c r="F170" s="4">
        <f t="shared" si="38"/>
        <v>90</v>
      </c>
      <c r="G170" s="4" t="s">
        <v>20</v>
      </c>
      <c r="H170" s="4" t="s">
        <v>11</v>
      </c>
      <c r="I170" s="4">
        <f>WEEKDAY(E170)</f>
        <v>7</v>
      </c>
    </row>
    <row r="171" spans="1:9" x14ac:dyDescent="0.25">
      <c r="A171" s="7">
        <f t="shared" si="39"/>
        <v>170</v>
      </c>
      <c r="B171" s="8" t="str">
        <f t="shared" si="36"/>
        <v>8</v>
      </c>
      <c r="C171" s="8">
        <f t="shared" si="37"/>
        <v>5</v>
      </c>
      <c r="D171" s="8"/>
      <c r="E171" s="9">
        <f>E170+F170/60/24</f>
        <v>43911.4375</v>
      </c>
      <c r="F171" s="8">
        <f t="shared" si="38"/>
        <v>90</v>
      </c>
      <c r="G171" s="8" t="s">
        <v>20</v>
      </c>
      <c r="H171" s="8" t="s">
        <v>11</v>
      </c>
      <c r="I171" s="8">
        <f>WEEKDAY(E171)</f>
        <v>7</v>
      </c>
    </row>
    <row r="172" spans="1:9" x14ac:dyDescent="0.25">
      <c r="A172" s="7">
        <f t="shared" si="39"/>
        <v>171</v>
      </c>
      <c r="B172" s="8" t="str">
        <f t="shared" si="36"/>
        <v>8</v>
      </c>
      <c r="C172" s="8">
        <f t="shared" si="37"/>
        <v>3</v>
      </c>
      <c r="D172" s="8"/>
      <c r="E172" s="9">
        <f t="shared" ref="E172:E174" si="50">E171+F171/60/24</f>
        <v>43911.5</v>
      </c>
      <c r="F172" s="8">
        <f t="shared" si="38"/>
        <v>105</v>
      </c>
      <c r="G172" s="8" t="s">
        <v>20</v>
      </c>
      <c r="H172" s="8" t="s">
        <v>12</v>
      </c>
      <c r="I172" s="8">
        <f>WEEKDAY(E172)</f>
        <v>7</v>
      </c>
    </row>
    <row r="173" spans="1:9" x14ac:dyDescent="0.25">
      <c r="A173" s="7">
        <f t="shared" si="39"/>
        <v>172</v>
      </c>
      <c r="B173" s="8" t="str">
        <f t="shared" si="36"/>
        <v>8</v>
      </c>
      <c r="C173" s="8" t="s">
        <v>50</v>
      </c>
      <c r="D173" s="8"/>
      <c r="E173" s="9">
        <f t="shared" si="50"/>
        <v>43911.572916666664</v>
      </c>
      <c r="F173" s="8">
        <f t="shared" si="38"/>
        <v>120</v>
      </c>
      <c r="G173" s="8" t="s">
        <v>20</v>
      </c>
      <c r="H173" s="8" t="s">
        <v>9</v>
      </c>
      <c r="I173" s="8">
        <f>WEEKDAY(E173)</f>
        <v>7</v>
      </c>
    </row>
    <row r="174" spans="1:9" ht="15.75" thickBot="1" x14ac:dyDescent="0.3">
      <c r="A174" s="10">
        <f t="shared" si="39"/>
        <v>173</v>
      </c>
      <c r="B174" s="11" t="str">
        <f t="shared" si="36"/>
        <v>8</v>
      </c>
      <c r="C174" s="8" t="s">
        <v>50</v>
      </c>
      <c r="D174" s="11"/>
      <c r="E174" s="12">
        <f t="shared" si="50"/>
        <v>43911.65625</v>
      </c>
      <c r="F174" s="11">
        <f t="shared" si="38"/>
        <v>120</v>
      </c>
      <c r="G174" s="11" t="s">
        <v>20</v>
      </c>
      <c r="H174" s="11" t="s">
        <v>9</v>
      </c>
      <c r="I174" s="11">
        <f t="shared" ref="I174:I230" si="51">WEEKDAY(E174)</f>
        <v>7</v>
      </c>
    </row>
    <row r="175" spans="1:9" x14ac:dyDescent="0.25">
      <c r="A175" s="3">
        <f>A174+1</f>
        <v>174</v>
      </c>
      <c r="B175" s="4" t="str">
        <f t="shared" si="36"/>
        <v>4</v>
      </c>
      <c r="C175" s="4">
        <f t="shared" ref="C175:C238" si="52">VLOOKUP(H175,league_id,2,FALSE)</f>
        <v>1</v>
      </c>
      <c r="D175" s="4"/>
      <c r="E175" s="5">
        <v>43914.75</v>
      </c>
      <c r="F175" s="4">
        <f t="shared" si="38"/>
        <v>120</v>
      </c>
      <c r="G175" s="4" t="s">
        <v>8</v>
      </c>
      <c r="H175" s="4" t="s">
        <v>8</v>
      </c>
      <c r="I175" s="4">
        <f t="shared" si="51"/>
        <v>3</v>
      </c>
    </row>
    <row r="176" spans="1:9" ht="15.75" thickBot="1" x14ac:dyDescent="0.3">
      <c r="A176" s="7">
        <f>A175+1</f>
        <v>175</v>
      </c>
      <c r="B176" s="8" t="str">
        <f t="shared" si="36"/>
        <v>4</v>
      </c>
      <c r="C176" s="8">
        <f t="shared" si="52"/>
        <v>1</v>
      </c>
      <c r="D176" s="8"/>
      <c r="E176" s="9">
        <f>E175+F175/60/24</f>
        <v>43914.833333333336</v>
      </c>
      <c r="F176" s="8">
        <f t="shared" si="38"/>
        <v>120</v>
      </c>
      <c r="G176" s="8" t="s">
        <v>8</v>
      </c>
      <c r="H176" s="8" t="s">
        <v>8</v>
      </c>
      <c r="I176" s="8">
        <f t="shared" si="51"/>
        <v>3</v>
      </c>
    </row>
    <row r="177" spans="1:9" x14ac:dyDescent="0.25">
      <c r="A177" s="3">
        <f>A176+1</f>
        <v>176</v>
      </c>
      <c r="B177" s="4" t="str">
        <f t="shared" si="36"/>
        <v>3</v>
      </c>
      <c r="C177" s="4">
        <f t="shared" si="52"/>
        <v>2</v>
      </c>
      <c r="D177" s="4"/>
      <c r="E177" s="5">
        <f>E175</f>
        <v>43914.75</v>
      </c>
      <c r="F177" s="4">
        <f t="shared" si="38"/>
        <v>120</v>
      </c>
      <c r="G177" s="4" t="s">
        <v>9</v>
      </c>
      <c r="H177" s="4" t="s">
        <v>9</v>
      </c>
      <c r="I177" s="4">
        <f t="shared" si="51"/>
        <v>3</v>
      </c>
    </row>
    <row r="178" spans="1:9" ht="15.75" thickBot="1" x14ac:dyDescent="0.3">
      <c r="A178" s="7">
        <f t="shared" ref="A178:A186" si="53">A177+1</f>
        <v>177</v>
      </c>
      <c r="B178" s="8" t="str">
        <f t="shared" si="36"/>
        <v>3</v>
      </c>
      <c r="C178" s="8">
        <f t="shared" si="52"/>
        <v>2</v>
      </c>
      <c r="D178" s="8"/>
      <c r="E178" s="9">
        <f>E177+F177/60/24</f>
        <v>43914.833333333336</v>
      </c>
      <c r="F178" s="8">
        <f t="shared" si="38"/>
        <v>120</v>
      </c>
      <c r="G178" s="8" t="s">
        <v>9</v>
      </c>
      <c r="H178" s="8" t="s">
        <v>9</v>
      </c>
      <c r="I178" s="8">
        <f t="shared" si="51"/>
        <v>3</v>
      </c>
    </row>
    <row r="179" spans="1:9" x14ac:dyDescent="0.25">
      <c r="A179" s="3">
        <f>A178+1</f>
        <v>178</v>
      </c>
      <c r="B179" s="4" t="str">
        <f t="shared" si="36"/>
        <v>2</v>
      </c>
      <c r="C179" s="4">
        <f t="shared" si="52"/>
        <v>4</v>
      </c>
      <c r="D179" s="4"/>
      <c r="E179" s="5">
        <f>E175</f>
        <v>43914.75</v>
      </c>
      <c r="F179" s="4">
        <f t="shared" si="38"/>
        <v>105</v>
      </c>
      <c r="G179" s="4" t="s">
        <v>10</v>
      </c>
      <c r="H179" s="4" t="s">
        <v>13</v>
      </c>
      <c r="I179" s="4">
        <f t="shared" si="51"/>
        <v>3</v>
      </c>
    </row>
    <row r="180" spans="1:9" ht="15.75" thickBot="1" x14ac:dyDescent="0.3">
      <c r="A180" s="7">
        <f t="shared" si="53"/>
        <v>179</v>
      </c>
      <c r="B180" s="8" t="str">
        <f t="shared" si="36"/>
        <v>2</v>
      </c>
      <c r="C180" s="8">
        <f t="shared" si="52"/>
        <v>4</v>
      </c>
      <c r="D180" s="8"/>
      <c r="E180" s="9">
        <f>E179+F179/60/24</f>
        <v>43914.822916666664</v>
      </c>
      <c r="F180" s="8">
        <f t="shared" si="38"/>
        <v>105</v>
      </c>
      <c r="G180" s="8" t="s">
        <v>10</v>
      </c>
      <c r="H180" s="8" t="s">
        <v>13</v>
      </c>
      <c r="I180" s="8">
        <f t="shared" si="51"/>
        <v>3</v>
      </c>
    </row>
    <row r="181" spans="1:9" x14ac:dyDescent="0.25">
      <c r="A181" s="3">
        <f>A180+1</f>
        <v>180</v>
      </c>
      <c r="B181" s="4" t="str">
        <f t="shared" si="36"/>
        <v>1</v>
      </c>
      <c r="C181" s="4">
        <f t="shared" si="52"/>
        <v>5</v>
      </c>
      <c r="D181" s="4"/>
      <c r="E181" s="5">
        <f>E175</f>
        <v>43914.75</v>
      </c>
      <c r="F181" s="4">
        <f t="shared" si="38"/>
        <v>90</v>
      </c>
      <c r="G181" s="4" t="s">
        <v>16</v>
      </c>
      <c r="H181" s="4" t="s">
        <v>11</v>
      </c>
      <c r="I181" s="4">
        <f t="shared" si="51"/>
        <v>3</v>
      </c>
    </row>
    <row r="182" spans="1:9" ht="15.75" thickBot="1" x14ac:dyDescent="0.3">
      <c r="A182" s="7">
        <f t="shared" si="53"/>
        <v>181</v>
      </c>
      <c r="B182" s="8" t="str">
        <f t="shared" si="36"/>
        <v>1</v>
      </c>
      <c r="C182" s="8">
        <f t="shared" si="52"/>
        <v>5</v>
      </c>
      <c r="D182" s="8"/>
      <c r="E182" s="9">
        <f>E181+F181/60/24</f>
        <v>43914.8125</v>
      </c>
      <c r="F182" s="8">
        <f t="shared" si="38"/>
        <v>90</v>
      </c>
      <c r="G182" s="8" t="s">
        <v>16</v>
      </c>
      <c r="H182" s="8" t="s">
        <v>11</v>
      </c>
      <c r="I182" s="8">
        <f t="shared" si="51"/>
        <v>3</v>
      </c>
    </row>
    <row r="183" spans="1:9" x14ac:dyDescent="0.25">
      <c r="A183" s="3">
        <f>A182+1</f>
        <v>182</v>
      </c>
      <c r="B183" s="4" t="str">
        <f t="shared" si="36"/>
        <v>5</v>
      </c>
      <c r="C183" s="4">
        <f t="shared" si="52"/>
        <v>5</v>
      </c>
      <c r="D183" s="4"/>
      <c r="E183" s="5">
        <f>E175</f>
        <v>43914.75</v>
      </c>
      <c r="F183" s="4">
        <f t="shared" si="38"/>
        <v>90</v>
      </c>
      <c r="G183" s="4" t="s">
        <v>17</v>
      </c>
      <c r="H183" s="4" t="s">
        <v>11</v>
      </c>
      <c r="I183" s="4">
        <f t="shared" si="51"/>
        <v>3</v>
      </c>
    </row>
    <row r="184" spans="1:9" ht="15.75" thickBot="1" x14ac:dyDescent="0.3">
      <c r="A184" s="7">
        <f t="shared" si="53"/>
        <v>183</v>
      </c>
      <c r="B184" s="8" t="str">
        <f t="shared" si="36"/>
        <v>5</v>
      </c>
      <c r="C184" s="8">
        <f t="shared" si="52"/>
        <v>4</v>
      </c>
      <c r="D184" s="8"/>
      <c r="E184" s="9">
        <f>E183+F183/60/24</f>
        <v>43914.8125</v>
      </c>
      <c r="F184" s="8">
        <f t="shared" si="38"/>
        <v>105</v>
      </c>
      <c r="G184" s="8" t="s">
        <v>17</v>
      </c>
      <c r="H184" s="8" t="s">
        <v>13</v>
      </c>
      <c r="I184" s="8">
        <f t="shared" si="51"/>
        <v>3</v>
      </c>
    </row>
    <row r="185" spans="1:9" x14ac:dyDescent="0.25">
      <c r="A185" s="3">
        <f>A184+1</f>
        <v>184</v>
      </c>
      <c r="B185" s="4" t="str">
        <f t="shared" si="36"/>
        <v>6</v>
      </c>
      <c r="C185" s="4">
        <f t="shared" si="52"/>
        <v>3</v>
      </c>
      <c r="D185" s="4"/>
      <c r="E185" s="5">
        <f>E175</f>
        <v>43914.75</v>
      </c>
      <c r="F185" s="4">
        <f t="shared" si="38"/>
        <v>105</v>
      </c>
      <c r="G185" s="4" t="s">
        <v>18</v>
      </c>
      <c r="H185" s="4" t="s">
        <v>12</v>
      </c>
      <c r="I185" s="4">
        <f t="shared" si="51"/>
        <v>3</v>
      </c>
    </row>
    <row r="186" spans="1:9" ht="15.75" thickBot="1" x14ac:dyDescent="0.3">
      <c r="A186" s="10">
        <f t="shared" si="53"/>
        <v>185</v>
      </c>
      <c r="B186" s="11" t="str">
        <f t="shared" si="36"/>
        <v>6</v>
      </c>
      <c r="C186" s="11">
        <f t="shared" si="52"/>
        <v>3</v>
      </c>
      <c r="D186" s="11"/>
      <c r="E186" s="12">
        <f>E185+F185/60/24</f>
        <v>43914.822916666664</v>
      </c>
      <c r="F186" s="11">
        <f t="shared" si="38"/>
        <v>105</v>
      </c>
      <c r="G186" s="11" t="s">
        <v>18</v>
      </c>
      <c r="H186" s="11" t="s">
        <v>12</v>
      </c>
      <c r="I186" s="11">
        <f t="shared" si="51"/>
        <v>3</v>
      </c>
    </row>
    <row r="187" spans="1:9" x14ac:dyDescent="0.25">
      <c r="A187" s="3">
        <f>A186+1</f>
        <v>186</v>
      </c>
      <c r="B187" s="4" t="str">
        <f t="shared" si="36"/>
        <v>4</v>
      </c>
      <c r="C187" s="4">
        <f t="shared" si="52"/>
        <v>1</v>
      </c>
      <c r="D187" s="4"/>
      <c r="E187" s="5">
        <v>43915.75</v>
      </c>
      <c r="F187" s="4">
        <f t="shared" si="38"/>
        <v>120</v>
      </c>
      <c r="G187" s="4" t="s">
        <v>8</v>
      </c>
      <c r="H187" s="4" t="s">
        <v>8</v>
      </c>
      <c r="I187" s="4">
        <f t="shared" si="51"/>
        <v>4</v>
      </c>
    </row>
    <row r="188" spans="1:9" ht="15.75" thickBot="1" x14ac:dyDescent="0.3">
      <c r="A188" s="7">
        <f>A187+1</f>
        <v>187</v>
      </c>
      <c r="B188" s="8" t="str">
        <f t="shared" si="36"/>
        <v>4</v>
      </c>
      <c r="C188" s="8">
        <f t="shared" si="52"/>
        <v>1</v>
      </c>
      <c r="D188" s="8"/>
      <c r="E188" s="9">
        <f>E187+F187/60/24</f>
        <v>43915.833333333336</v>
      </c>
      <c r="F188" s="8">
        <f t="shared" si="38"/>
        <v>120</v>
      </c>
      <c r="G188" s="8" t="s">
        <v>8</v>
      </c>
      <c r="H188" s="8" t="s">
        <v>8</v>
      </c>
      <c r="I188" s="8">
        <f t="shared" si="51"/>
        <v>4</v>
      </c>
    </row>
    <row r="189" spans="1:9" x14ac:dyDescent="0.25">
      <c r="A189" s="3">
        <f>A188+1</f>
        <v>188</v>
      </c>
      <c r="B189" s="4" t="str">
        <f t="shared" si="36"/>
        <v>3</v>
      </c>
      <c r="C189" s="4">
        <f t="shared" si="52"/>
        <v>2</v>
      </c>
      <c r="D189" s="4"/>
      <c r="E189" s="5">
        <f>E187</f>
        <v>43915.75</v>
      </c>
      <c r="F189" s="4">
        <f t="shared" si="38"/>
        <v>120</v>
      </c>
      <c r="G189" s="4" t="s">
        <v>9</v>
      </c>
      <c r="H189" s="4" t="s">
        <v>9</v>
      </c>
      <c r="I189" s="4">
        <f t="shared" si="51"/>
        <v>4</v>
      </c>
    </row>
    <row r="190" spans="1:9" ht="15.75" thickBot="1" x14ac:dyDescent="0.3">
      <c r="A190" s="7">
        <f t="shared" ref="A190:A198" si="54">A189+1</f>
        <v>189</v>
      </c>
      <c r="B190" s="8" t="str">
        <f t="shared" si="36"/>
        <v>3</v>
      </c>
      <c r="C190" s="8">
        <f t="shared" si="52"/>
        <v>2</v>
      </c>
      <c r="D190" s="8"/>
      <c r="E190" s="9">
        <f>E189+F189/60/24</f>
        <v>43915.833333333336</v>
      </c>
      <c r="F190" s="8">
        <f t="shared" si="38"/>
        <v>120</v>
      </c>
      <c r="G190" s="8" t="s">
        <v>9</v>
      </c>
      <c r="H190" s="8" t="s">
        <v>9</v>
      </c>
      <c r="I190" s="8">
        <f t="shared" si="51"/>
        <v>4</v>
      </c>
    </row>
    <row r="191" spans="1:9" x14ac:dyDescent="0.25">
      <c r="A191" s="3">
        <f>A190+1</f>
        <v>190</v>
      </c>
      <c r="B191" s="4" t="str">
        <f t="shared" si="36"/>
        <v>2</v>
      </c>
      <c r="C191" s="4">
        <f t="shared" si="52"/>
        <v>4</v>
      </c>
      <c r="D191" s="4"/>
      <c r="E191" s="5">
        <f>E187</f>
        <v>43915.75</v>
      </c>
      <c r="F191" s="4">
        <f t="shared" si="38"/>
        <v>105</v>
      </c>
      <c r="G191" s="4" t="s">
        <v>10</v>
      </c>
      <c r="H191" s="4" t="s">
        <v>13</v>
      </c>
      <c r="I191" s="4">
        <f t="shared" si="51"/>
        <v>4</v>
      </c>
    </row>
    <row r="192" spans="1:9" ht="15.75" thickBot="1" x14ac:dyDescent="0.3">
      <c r="A192" s="7">
        <f t="shared" si="54"/>
        <v>191</v>
      </c>
      <c r="B192" s="8" t="str">
        <f t="shared" si="36"/>
        <v>2</v>
      </c>
      <c r="C192" s="8">
        <f t="shared" si="52"/>
        <v>4</v>
      </c>
      <c r="D192" s="8"/>
      <c r="E192" s="9">
        <f>E191+F191/60/24</f>
        <v>43915.822916666664</v>
      </c>
      <c r="F192" s="8">
        <f t="shared" si="38"/>
        <v>105</v>
      </c>
      <c r="G192" s="8" t="s">
        <v>10</v>
      </c>
      <c r="H192" s="8" t="s">
        <v>13</v>
      </c>
      <c r="I192" s="8">
        <f t="shared" si="51"/>
        <v>4</v>
      </c>
    </row>
    <row r="193" spans="1:9" x14ac:dyDescent="0.25">
      <c r="A193" s="3">
        <f>A192+1</f>
        <v>192</v>
      </c>
      <c r="B193" s="4" t="str">
        <f t="shared" si="36"/>
        <v>1</v>
      </c>
      <c r="C193" s="4">
        <f t="shared" si="52"/>
        <v>5</v>
      </c>
      <c r="D193" s="4"/>
      <c r="E193" s="5">
        <f>E187</f>
        <v>43915.75</v>
      </c>
      <c r="F193" s="4">
        <f t="shared" si="38"/>
        <v>90</v>
      </c>
      <c r="G193" s="4" t="s">
        <v>16</v>
      </c>
      <c r="H193" s="4" t="s">
        <v>11</v>
      </c>
      <c r="I193" s="4">
        <f t="shared" si="51"/>
        <v>4</v>
      </c>
    </row>
    <row r="194" spans="1:9" ht="15.75" thickBot="1" x14ac:dyDescent="0.3">
      <c r="A194" s="7">
        <f t="shared" si="54"/>
        <v>193</v>
      </c>
      <c r="B194" s="8" t="str">
        <f t="shared" ref="B194:B257" si="55">VLOOKUP(G194,field_id,2,FALSE)</f>
        <v>1</v>
      </c>
      <c r="C194" s="8">
        <f t="shared" si="52"/>
        <v>5</v>
      </c>
      <c r="D194" s="8"/>
      <c r="E194" s="9">
        <f>E193+F193/60/24</f>
        <v>43915.8125</v>
      </c>
      <c r="F194" s="8">
        <f t="shared" ref="F194:F257" si="56">VLOOKUP(H194,GameDuration,2,FALSE)</f>
        <v>90</v>
      </c>
      <c r="G194" s="8" t="s">
        <v>16</v>
      </c>
      <c r="H194" s="8" t="s">
        <v>11</v>
      </c>
      <c r="I194" s="8">
        <f t="shared" si="51"/>
        <v>4</v>
      </c>
    </row>
    <row r="195" spans="1:9" x14ac:dyDescent="0.25">
      <c r="A195" s="3">
        <f>A194+1</f>
        <v>194</v>
      </c>
      <c r="B195" s="4" t="str">
        <f t="shared" si="55"/>
        <v>5</v>
      </c>
      <c r="C195" s="4">
        <f t="shared" si="52"/>
        <v>5</v>
      </c>
      <c r="D195" s="4"/>
      <c r="E195" s="5">
        <f>E187</f>
        <v>43915.75</v>
      </c>
      <c r="F195" s="4">
        <f t="shared" si="56"/>
        <v>90</v>
      </c>
      <c r="G195" s="4" t="s">
        <v>17</v>
      </c>
      <c r="H195" s="4" t="s">
        <v>11</v>
      </c>
      <c r="I195" s="4">
        <f t="shared" si="51"/>
        <v>4</v>
      </c>
    </row>
    <row r="196" spans="1:9" ht="15.75" thickBot="1" x14ac:dyDescent="0.3">
      <c r="A196" s="7">
        <f t="shared" si="54"/>
        <v>195</v>
      </c>
      <c r="B196" s="8" t="str">
        <f t="shared" si="55"/>
        <v>5</v>
      </c>
      <c r="C196" s="8">
        <f t="shared" si="52"/>
        <v>4</v>
      </c>
      <c r="D196" s="8"/>
      <c r="E196" s="9">
        <f>E195+F195/60/24</f>
        <v>43915.8125</v>
      </c>
      <c r="F196" s="8">
        <f t="shared" si="56"/>
        <v>105</v>
      </c>
      <c r="G196" s="8" t="s">
        <v>17</v>
      </c>
      <c r="H196" s="8" t="s">
        <v>13</v>
      </c>
      <c r="I196" s="8">
        <f t="shared" si="51"/>
        <v>4</v>
      </c>
    </row>
    <row r="197" spans="1:9" x14ac:dyDescent="0.25">
      <c r="A197" s="3">
        <f>A196+1</f>
        <v>196</v>
      </c>
      <c r="B197" s="4" t="str">
        <f t="shared" si="55"/>
        <v>6</v>
      </c>
      <c r="C197" s="4">
        <f t="shared" si="52"/>
        <v>3</v>
      </c>
      <c r="D197" s="4"/>
      <c r="E197" s="5">
        <f>E187</f>
        <v>43915.75</v>
      </c>
      <c r="F197" s="4">
        <f t="shared" si="56"/>
        <v>105</v>
      </c>
      <c r="G197" s="4" t="s">
        <v>18</v>
      </c>
      <c r="H197" s="4" t="s">
        <v>12</v>
      </c>
      <c r="I197" s="4">
        <f t="shared" si="51"/>
        <v>4</v>
      </c>
    </row>
    <row r="198" spans="1:9" ht="15.75" thickBot="1" x14ac:dyDescent="0.3">
      <c r="A198" s="10">
        <f t="shared" si="54"/>
        <v>197</v>
      </c>
      <c r="B198" s="11" t="str">
        <f t="shared" si="55"/>
        <v>6</v>
      </c>
      <c r="C198" s="11">
        <f t="shared" si="52"/>
        <v>3</v>
      </c>
      <c r="D198" s="11"/>
      <c r="E198" s="12">
        <f>E197+F197/60/24</f>
        <v>43915.822916666664</v>
      </c>
      <c r="F198" s="11">
        <f t="shared" si="56"/>
        <v>105</v>
      </c>
      <c r="G198" s="11" t="s">
        <v>18</v>
      </c>
      <c r="H198" s="11" t="s">
        <v>12</v>
      </c>
      <c r="I198" s="11">
        <f t="shared" si="51"/>
        <v>4</v>
      </c>
    </row>
    <row r="199" spans="1:9" x14ac:dyDescent="0.25">
      <c r="A199" s="3">
        <f>A198+1</f>
        <v>198</v>
      </c>
      <c r="B199" s="4" t="str">
        <f t="shared" si="55"/>
        <v>4</v>
      </c>
      <c r="C199" s="4">
        <f t="shared" si="52"/>
        <v>1</v>
      </c>
      <c r="D199" s="4"/>
      <c r="E199" s="5">
        <v>43917.75</v>
      </c>
      <c r="F199" s="4">
        <f t="shared" si="56"/>
        <v>120</v>
      </c>
      <c r="G199" s="4" t="s">
        <v>8</v>
      </c>
      <c r="H199" s="4" t="s">
        <v>8</v>
      </c>
      <c r="I199" s="4">
        <f t="shared" si="51"/>
        <v>6</v>
      </c>
    </row>
    <row r="200" spans="1:9" ht="15.75" thickBot="1" x14ac:dyDescent="0.3">
      <c r="A200" s="7">
        <f>A199+1</f>
        <v>199</v>
      </c>
      <c r="B200" s="8" t="str">
        <f t="shared" si="55"/>
        <v>4</v>
      </c>
      <c r="C200" s="8">
        <f t="shared" si="52"/>
        <v>1</v>
      </c>
      <c r="D200" s="8"/>
      <c r="E200" s="9">
        <f>E199+F199/60/24</f>
        <v>43917.833333333336</v>
      </c>
      <c r="F200" s="8">
        <f t="shared" si="56"/>
        <v>120</v>
      </c>
      <c r="G200" s="8" t="s">
        <v>8</v>
      </c>
      <c r="H200" s="8" t="s">
        <v>8</v>
      </c>
      <c r="I200" s="8">
        <f t="shared" si="51"/>
        <v>6</v>
      </c>
    </row>
    <row r="201" spans="1:9" x14ac:dyDescent="0.25">
      <c r="A201" s="3">
        <f>A200+1</f>
        <v>200</v>
      </c>
      <c r="B201" s="4" t="str">
        <f t="shared" si="55"/>
        <v>3</v>
      </c>
      <c r="C201" s="4">
        <f t="shared" si="52"/>
        <v>2</v>
      </c>
      <c r="D201" s="4"/>
      <c r="E201" s="5">
        <f>E199</f>
        <v>43917.75</v>
      </c>
      <c r="F201" s="4">
        <f t="shared" si="56"/>
        <v>120</v>
      </c>
      <c r="G201" s="4" t="s">
        <v>9</v>
      </c>
      <c r="H201" s="4" t="s">
        <v>9</v>
      </c>
      <c r="I201" s="4">
        <f t="shared" si="51"/>
        <v>6</v>
      </c>
    </row>
    <row r="202" spans="1:9" ht="15.75" thickBot="1" x14ac:dyDescent="0.3">
      <c r="A202" s="7">
        <f t="shared" ref="A202:A210" si="57">A201+1</f>
        <v>201</v>
      </c>
      <c r="B202" s="8" t="str">
        <f t="shared" si="55"/>
        <v>3</v>
      </c>
      <c r="C202" s="8">
        <f t="shared" si="52"/>
        <v>2</v>
      </c>
      <c r="D202" s="8"/>
      <c r="E202" s="9">
        <f>E201+F201/60/24</f>
        <v>43917.833333333336</v>
      </c>
      <c r="F202" s="8">
        <f t="shared" si="56"/>
        <v>120</v>
      </c>
      <c r="G202" s="8" t="s">
        <v>9</v>
      </c>
      <c r="H202" s="8" t="s">
        <v>9</v>
      </c>
      <c r="I202" s="8">
        <f t="shared" si="51"/>
        <v>6</v>
      </c>
    </row>
    <row r="203" spans="1:9" x14ac:dyDescent="0.25">
      <c r="A203" s="3">
        <f>A202+1</f>
        <v>202</v>
      </c>
      <c r="B203" s="4" t="str">
        <f t="shared" si="55"/>
        <v>2</v>
      </c>
      <c r="C203" s="4">
        <f t="shared" si="52"/>
        <v>4</v>
      </c>
      <c r="D203" s="4"/>
      <c r="E203" s="5">
        <f>E199</f>
        <v>43917.75</v>
      </c>
      <c r="F203" s="4">
        <f t="shared" si="56"/>
        <v>105</v>
      </c>
      <c r="G203" s="4" t="s">
        <v>10</v>
      </c>
      <c r="H203" s="4" t="s">
        <v>13</v>
      </c>
      <c r="I203" s="4">
        <f t="shared" si="51"/>
        <v>6</v>
      </c>
    </row>
    <row r="204" spans="1:9" ht="15.75" thickBot="1" x14ac:dyDescent="0.3">
      <c r="A204" s="7">
        <f t="shared" si="57"/>
        <v>203</v>
      </c>
      <c r="B204" s="8" t="str">
        <f t="shared" si="55"/>
        <v>2</v>
      </c>
      <c r="C204" s="8">
        <f t="shared" si="52"/>
        <v>4</v>
      </c>
      <c r="D204" s="8"/>
      <c r="E204" s="9">
        <f>E203+F203/60/24</f>
        <v>43917.822916666664</v>
      </c>
      <c r="F204" s="8">
        <f t="shared" si="56"/>
        <v>105</v>
      </c>
      <c r="G204" s="8" t="s">
        <v>10</v>
      </c>
      <c r="H204" s="8" t="s">
        <v>13</v>
      </c>
      <c r="I204" s="8">
        <f t="shared" si="51"/>
        <v>6</v>
      </c>
    </row>
    <row r="205" spans="1:9" x14ac:dyDescent="0.25">
      <c r="A205" s="3">
        <f>A204+1</f>
        <v>204</v>
      </c>
      <c r="B205" s="4" t="str">
        <f t="shared" si="55"/>
        <v>1</v>
      </c>
      <c r="C205" s="4">
        <f t="shared" si="52"/>
        <v>5</v>
      </c>
      <c r="D205" s="4"/>
      <c r="E205" s="5">
        <f>E199</f>
        <v>43917.75</v>
      </c>
      <c r="F205" s="4">
        <f t="shared" si="56"/>
        <v>90</v>
      </c>
      <c r="G205" s="4" t="s">
        <v>16</v>
      </c>
      <c r="H205" s="4" t="s">
        <v>11</v>
      </c>
      <c r="I205" s="4">
        <f t="shared" si="51"/>
        <v>6</v>
      </c>
    </row>
    <row r="206" spans="1:9" ht="15.75" thickBot="1" x14ac:dyDescent="0.3">
      <c r="A206" s="7">
        <f t="shared" si="57"/>
        <v>205</v>
      </c>
      <c r="B206" s="8" t="str">
        <f t="shared" si="55"/>
        <v>1</v>
      </c>
      <c r="C206" s="8">
        <f t="shared" si="52"/>
        <v>5</v>
      </c>
      <c r="D206" s="8"/>
      <c r="E206" s="9">
        <f>E205+F205/60/24</f>
        <v>43917.8125</v>
      </c>
      <c r="F206" s="8">
        <f t="shared" si="56"/>
        <v>90</v>
      </c>
      <c r="G206" s="8" t="s">
        <v>16</v>
      </c>
      <c r="H206" s="8" t="s">
        <v>11</v>
      </c>
      <c r="I206" s="8">
        <f t="shared" si="51"/>
        <v>6</v>
      </c>
    </row>
    <row r="207" spans="1:9" x14ac:dyDescent="0.25">
      <c r="A207" s="3">
        <f>A206+1</f>
        <v>206</v>
      </c>
      <c r="B207" s="4" t="str">
        <f t="shared" si="55"/>
        <v>5</v>
      </c>
      <c r="C207" s="4">
        <f t="shared" si="52"/>
        <v>5</v>
      </c>
      <c r="D207" s="4"/>
      <c r="E207" s="5">
        <f>E199</f>
        <v>43917.75</v>
      </c>
      <c r="F207" s="4">
        <f t="shared" si="56"/>
        <v>90</v>
      </c>
      <c r="G207" s="4" t="s">
        <v>17</v>
      </c>
      <c r="H207" s="4" t="s">
        <v>11</v>
      </c>
      <c r="I207" s="4">
        <f t="shared" si="51"/>
        <v>6</v>
      </c>
    </row>
    <row r="208" spans="1:9" ht="15.75" thickBot="1" x14ac:dyDescent="0.3">
      <c r="A208" s="7">
        <f t="shared" si="57"/>
        <v>207</v>
      </c>
      <c r="B208" s="8" t="str">
        <f t="shared" si="55"/>
        <v>5</v>
      </c>
      <c r="C208" s="8">
        <f t="shared" si="52"/>
        <v>4</v>
      </c>
      <c r="D208" s="8"/>
      <c r="E208" s="9">
        <f>E207+F207/60/24</f>
        <v>43917.8125</v>
      </c>
      <c r="F208" s="8">
        <f t="shared" si="56"/>
        <v>105</v>
      </c>
      <c r="G208" s="8" t="s">
        <v>17</v>
      </c>
      <c r="H208" s="8" t="s">
        <v>13</v>
      </c>
      <c r="I208" s="8">
        <f t="shared" si="51"/>
        <v>6</v>
      </c>
    </row>
    <row r="209" spans="1:9" x14ac:dyDescent="0.25">
      <c r="A209" s="3">
        <f>A208+1</f>
        <v>208</v>
      </c>
      <c r="B209" s="4" t="str">
        <f t="shared" si="55"/>
        <v>6</v>
      </c>
      <c r="C209" s="4">
        <f t="shared" si="52"/>
        <v>3</v>
      </c>
      <c r="D209" s="4"/>
      <c r="E209" s="5">
        <f>E199</f>
        <v>43917.75</v>
      </c>
      <c r="F209" s="4">
        <f t="shared" si="56"/>
        <v>105</v>
      </c>
      <c r="G209" s="4" t="s">
        <v>18</v>
      </c>
      <c r="H209" s="4" t="s">
        <v>12</v>
      </c>
      <c r="I209" s="4">
        <f t="shared" si="51"/>
        <v>6</v>
      </c>
    </row>
    <row r="210" spans="1:9" ht="15.75" thickBot="1" x14ac:dyDescent="0.3">
      <c r="A210" s="10">
        <f t="shared" si="57"/>
        <v>209</v>
      </c>
      <c r="B210" s="11" t="str">
        <f t="shared" si="55"/>
        <v>6</v>
      </c>
      <c r="C210" s="11">
        <f t="shared" si="52"/>
        <v>3</v>
      </c>
      <c r="D210" s="11"/>
      <c r="E210" s="12">
        <f>E209+F209/60/24</f>
        <v>43917.822916666664</v>
      </c>
      <c r="F210" s="11">
        <f t="shared" si="56"/>
        <v>105</v>
      </c>
      <c r="G210" s="11" t="s">
        <v>18</v>
      </c>
      <c r="H210" s="11" t="s">
        <v>12</v>
      </c>
      <c r="I210" s="11">
        <f t="shared" si="51"/>
        <v>6</v>
      </c>
    </row>
    <row r="211" spans="1:9" x14ac:dyDescent="0.25">
      <c r="A211" s="3">
        <f>A210+1</f>
        <v>210</v>
      </c>
      <c r="B211" s="4" t="str">
        <f t="shared" si="55"/>
        <v>7</v>
      </c>
      <c r="C211" s="4">
        <f t="shared" si="52"/>
        <v>5</v>
      </c>
      <c r="D211" s="4"/>
      <c r="E211" s="5">
        <f>E199</f>
        <v>43917.75</v>
      </c>
      <c r="F211" s="4">
        <f t="shared" si="56"/>
        <v>90</v>
      </c>
      <c r="G211" s="4" t="s">
        <v>19</v>
      </c>
      <c r="H211" s="4" t="s">
        <v>11</v>
      </c>
      <c r="I211" s="4">
        <f t="shared" si="51"/>
        <v>6</v>
      </c>
    </row>
    <row r="212" spans="1:9" ht="15.75" thickBot="1" x14ac:dyDescent="0.3">
      <c r="A212" s="7">
        <f t="shared" ref="A212" si="58">A211+1</f>
        <v>211</v>
      </c>
      <c r="B212" s="8" t="str">
        <f t="shared" si="55"/>
        <v>7</v>
      </c>
      <c r="C212" s="8">
        <f t="shared" si="52"/>
        <v>4</v>
      </c>
      <c r="D212" s="8"/>
      <c r="E212" s="9">
        <f>E211+F211/60/24</f>
        <v>43917.8125</v>
      </c>
      <c r="F212" s="8">
        <f t="shared" si="56"/>
        <v>105</v>
      </c>
      <c r="G212" s="8" t="s">
        <v>19</v>
      </c>
      <c r="H212" s="8" t="s">
        <v>13</v>
      </c>
      <c r="I212" s="8">
        <f t="shared" si="51"/>
        <v>6</v>
      </c>
    </row>
    <row r="213" spans="1:9" x14ac:dyDescent="0.25">
      <c r="A213" s="3">
        <f>A212+1</f>
        <v>212</v>
      </c>
      <c r="B213" s="4" t="str">
        <f t="shared" si="55"/>
        <v>8</v>
      </c>
      <c r="C213" s="4">
        <f t="shared" si="52"/>
        <v>5</v>
      </c>
      <c r="D213" s="4"/>
      <c r="E213" s="5">
        <f>E199</f>
        <v>43917.75</v>
      </c>
      <c r="F213" s="4">
        <f t="shared" si="56"/>
        <v>90</v>
      </c>
      <c r="G213" s="4" t="s">
        <v>20</v>
      </c>
      <c r="H213" s="4" t="s">
        <v>11</v>
      </c>
      <c r="I213" s="4">
        <f t="shared" si="51"/>
        <v>6</v>
      </c>
    </row>
    <row r="214" spans="1:9" ht="15.75" thickBot="1" x14ac:dyDescent="0.3">
      <c r="A214" s="10">
        <f t="shared" ref="A214" si="59">A213+1</f>
        <v>213</v>
      </c>
      <c r="B214" s="11" t="str">
        <f t="shared" si="55"/>
        <v>8</v>
      </c>
      <c r="C214" s="11">
        <f t="shared" si="52"/>
        <v>4</v>
      </c>
      <c r="D214" s="11"/>
      <c r="E214" s="12">
        <f>E213+F213/60/24</f>
        <v>43917.8125</v>
      </c>
      <c r="F214" s="11">
        <f t="shared" si="56"/>
        <v>105</v>
      </c>
      <c r="G214" s="11" t="s">
        <v>20</v>
      </c>
      <c r="H214" s="11" t="s">
        <v>13</v>
      </c>
      <c r="I214" s="11">
        <f t="shared" si="51"/>
        <v>6</v>
      </c>
    </row>
    <row r="215" spans="1:9" x14ac:dyDescent="0.25">
      <c r="A215" s="3">
        <f>A214+1</f>
        <v>214</v>
      </c>
      <c r="B215" s="4" t="str">
        <f t="shared" si="55"/>
        <v>4</v>
      </c>
      <c r="C215" s="4">
        <f t="shared" si="52"/>
        <v>1</v>
      </c>
      <c r="D215" s="4"/>
      <c r="E215" s="5">
        <v>43918.375</v>
      </c>
      <c r="F215" s="4">
        <f t="shared" si="56"/>
        <v>120</v>
      </c>
      <c r="G215" s="4" t="s">
        <v>8</v>
      </c>
      <c r="H215" s="4" t="s">
        <v>8</v>
      </c>
      <c r="I215" s="4">
        <f t="shared" si="51"/>
        <v>7</v>
      </c>
    </row>
    <row r="216" spans="1:9" x14ac:dyDescent="0.25">
      <c r="A216" s="7">
        <f>A215+1</f>
        <v>215</v>
      </c>
      <c r="B216" s="8" t="str">
        <f t="shared" si="55"/>
        <v>4</v>
      </c>
      <c r="C216" s="8">
        <f t="shared" si="52"/>
        <v>1</v>
      </c>
      <c r="D216" s="8"/>
      <c r="E216" s="9">
        <f>E215+F215/60/24</f>
        <v>43918.458333333336</v>
      </c>
      <c r="F216" s="8">
        <f t="shared" si="56"/>
        <v>120</v>
      </c>
      <c r="G216" s="8" t="s">
        <v>8</v>
      </c>
      <c r="H216" s="8" t="s">
        <v>8</v>
      </c>
      <c r="I216" s="8">
        <f t="shared" si="51"/>
        <v>7</v>
      </c>
    </row>
    <row r="217" spans="1:9" x14ac:dyDescent="0.25">
      <c r="A217" s="7">
        <f t="shared" ref="A217:A258" si="60">A216+1</f>
        <v>216</v>
      </c>
      <c r="B217" s="8" t="str">
        <f t="shared" si="55"/>
        <v>4</v>
      </c>
      <c r="C217" s="8">
        <f t="shared" si="52"/>
        <v>1</v>
      </c>
      <c r="D217" s="8"/>
      <c r="E217" s="9">
        <f>E216+F216/60/24</f>
        <v>43918.541666666672</v>
      </c>
      <c r="F217" s="8">
        <f t="shared" si="56"/>
        <v>120</v>
      </c>
      <c r="G217" s="8" t="s">
        <v>8</v>
      </c>
      <c r="H217" s="8" t="s">
        <v>8</v>
      </c>
      <c r="I217" s="8">
        <f t="shared" si="51"/>
        <v>7</v>
      </c>
    </row>
    <row r="218" spans="1:9" x14ac:dyDescent="0.25">
      <c r="A218" s="7">
        <f t="shared" si="60"/>
        <v>217</v>
      </c>
      <c r="B218" s="8" t="str">
        <f t="shared" si="55"/>
        <v>4</v>
      </c>
      <c r="C218" s="8">
        <f t="shared" si="52"/>
        <v>1</v>
      </c>
      <c r="D218" s="8"/>
      <c r="E218" s="9">
        <f>E217+F217/60/24</f>
        <v>43918.625000000007</v>
      </c>
      <c r="F218" s="8">
        <f t="shared" si="56"/>
        <v>120</v>
      </c>
      <c r="G218" s="8" t="s">
        <v>8</v>
      </c>
      <c r="H218" s="8" t="s">
        <v>8</v>
      </c>
      <c r="I218" s="8">
        <f t="shared" si="51"/>
        <v>7</v>
      </c>
    </row>
    <row r="219" spans="1:9" ht="15.75" thickBot="1" x14ac:dyDescent="0.3">
      <c r="A219" s="10">
        <f t="shared" si="60"/>
        <v>218</v>
      </c>
      <c r="B219" s="11" t="str">
        <f t="shared" si="55"/>
        <v>4</v>
      </c>
      <c r="C219" s="11">
        <f t="shared" si="52"/>
        <v>1</v>
      </c>
      <c r="D219" s="11"/>
      <c r="E219" s="12">
        <f>E218+F218/60/24</f>
        <v>43918.708333333343</v>
      </c>
      <c r="F219" s="11">
        <f t="shared" si="56"/>
        <v>120</v>
      </c>
      <c r="G219" s="11" t="s">
        <v>8</v>
      </c>
      <c r="H219" s="11" t="s">
        <v>8</v>
      </c>
      <c r="I219" s="11">
        <f t="shared" si="51"/>
        <v>7</v>
      </c>
    </row>
    <row r="220" spans="1:9" x14ac:dyDescent="0.25">
      <c r="A220" s="3">
        <f t="shared" si="60"/>
        <v>219</v>
      </c>
      <c r="B220" s="4" t="str">
        <f t="shared" si="55"/>
        <v>3</v>
      </c>
      <c r="C220" s="8" t="s">
        <v>50</v>
      </c>
      <c r="D220" s="4"/>
      <c r="E220" s="5">
        <f>E215</f>
        <v>43918.375</v>
      </c>
      <c r="F220" s="4">
        <f t="shared" si="56"/>
        <v>120</v>
      </c>
      <c r="G220" s="4" t="s">
        <v>9</v>
      </c>
      <c r="H220" s="4" t="s">
        <v>9</v>
      </c>
      <c r="I220" s="4">
        <f t="shared" si="51"/>
        <v>7</v>
      </c>
    </row>
    <row r="221" spans="1:9" x14ac:dyDescent="0.25">
      <c r="A221" s="7">
        <f t="shared" si="60"/>
        <v>220</v>
      </c>
      <c r="B221" s="8" t="str">
        <f t="shared" si="55"/>
        <v>3</v>
      </c>
      <c r="C221" s="8" t="s">
        <v>50</v>
      </c>
      <c r="D221" s="8"/>
      <c r="E221" s="9">
        <f>E220+F220/60/24</f>
        <v>43918.458333333336</v>
      </c>
      <c r="F221" s="8">
        <f t="shared" si="56"/>
        <v>120</v>
      </c>
      <c r="G221" s="8" t="s">
        <v>9</v>
      </c>
      <c r="H221" s="8" t="s">
        <v>9</v>
      </c>
      <c r="I221" s="8">
        <f t="shared" si="51"/>
        <v>7</v>
      </c>
    </row>
    <row r="222" spans="1:9" x14ac:dyDescent="0.25">
      <c r="A222" s="7">
        <f t="shared" si="60"/>
        <v>221</v>
      </c>
      <c r="B222" s="8" t="str">
        <f t="shared" si="55"/>
        <v>3</v>
      </c>
      <c r="C222" s="8" t="s">
        <v>50</v>
      </c>
      <c r="D222" s="8"/>
      <c r="E222" s="9">
        <f t="shared" ref="E222:E224" si="61">E221+F221/60/24</f>
        <v>43918.541666666672</v>
      </c>
      <c r="F222" s="8">
        <f t="shared" si="56"/>
        <v>120</v>
      </c>
      <c r="G222" s="8" t="s">
        <v>9</v>
      </c>
      <c r="H222" s="8" t="s">
        <v>9</v>
      </c>
      <c r="I222" s="8">
        <f t="shared" si="51"/>
        <v>7</v>
      </c>
    </row>
    <row r="223" spans="1:9" x14ac:dyDescent="0.25">
      <c r="A223" s="7">
        <f t="shared" si="60"/>
        <v>222</v>
      </c>
      <c r="B223" s="8" t="str">
        <f t="shared" si="55"/>
        <v>3</v>
      </c>
      <c r="C223" s="8" t="s">
        <v>50</v>
      </c>
      <c r="D223" s="8"/>
      <c r="E223" s="9">
        <f t="shared" si="61"/>
        <v>43918.625000000007</v>
      </c>
      <c r="F223" s="8">
        <f t="shared" si="56"/>
        <v>120</v>
      </c>
      <c r="G223" s="8" t="s">
        <v>9</v>
      </c>
      <c r="H223" s="8" t="s">
        <v>9</v>
      </c>
      <c r="I223" s="8">
        <f t="shared" si="51"/>
        <v>7</v>
      </c>
    </row>
    <row r="224" spans="1:9" ht="15.75" thickBot="1" x14ac:dyDescent="0.3">
      <c r="A224" s="10">
        <f t="shared" si="60"/>
        <v>223</v>
      </c>
      <c r="B224" s="11" t="str">
        <f t="shared" si="55"/>
        <v>3</v>
      </c>
      <c r="C224" s="8" t="s">
        <v>50</v>
      </c>
      <c r="D224" s="11"/>
      <c r="E224" s="9">
        <f t="shared" si="61"/>
        <v>43918.708333333343</v>
      </c>
      <c r="F224" s="11">
        <f t="shared" si="56"/>
        <v>120</v>
      </c>
      <c r="G224" s="11" t="s">
        <v>9</v>
      </c>
      <c r="H224" s="11" t="s">
        <v>9</v>
      </c>
      <c r="I224" s="11">
        <f t="shared" si="51"/>
        <v>7</v>
      </c>
    </row>
    <row r="225" spans="1:9" x14ac:dyDescent="0.25">
      <c r="A225" s="3">
        <f t="shared" si="60"/>
        <v>224</v>
      </c>
      <c r="B225" s="4" t="str">
        <f t="shared" si="55"/>
        <v>2</v>
      </c>
      <c r="C225" s="4">
        <f t="shared" si="52"/>
        <v>6</v>
      </c>
      <c r="D225" s="4"/>
      <c r="E225" s="5">
        <f>E215</f>
        <v>43918.375</v>
      </c>
      <c r="F225" s="4">
        <f t="shared" si="56"/>
        <v>60</v>
      </c>
      <c r="G225" s="4" t="s">
        <v>10</v>
      </c>
      <c r="H225" s="4" t="s">
        <v>14</v>
      </c>
      <c r="I225" s="4">
        <f t="shared" si="51"/>
        <v>7</v>
      </c>
    </row>
    <row r="226" spans="1:9" x14ac:dyDescent="0.25">
      <c r="A226" s="7">
        <f t="shared" si="60"/>
        <v>225</v>
      </c>
      <c r="B226" s="8" t="str">
        <f t="shared" si="55"/>
        <v>2</v>
      </c>
      <c r="C226" s="8">
        <f t="shared" si="52"/>
        <v>4</v>
      </c>
      <c r="D226" s="8"/>
      <c r="E226" s="9">
        <f>E225+F225/60/24</f>
        <v>43918.416666666664</v>
      </c>
      <c r="F226" s="8">
        <f t="shared" si="56"/>
        <v>105</v>
      </c>
      <c r="G226" s="8" t="s">
        <v>10</v>
      </c>
      <c r="H226" s="8" t="s">
        <v>13</v>
      </c>
      <c r="I226" s="8">
        <f t="shared" si="51"/>
        <v>7</v>
      </c>
    </row>
    <row r="227" spans="1:9" x14ac:dyDescent="0.25">
      <c r="A227" s="7">
        <f t="shared" si="60"/>
        <v>226</v>
      </c>
      <c r="B227" s="8" t="str">
        <f t="shared" si="55"/>
        <v>2</v>
      </c>
      <c r="C227" s="8">
        <f t="shared" si="52"/>
        <v>4</v>
      </c>
      <c r="D227" s="8"/>
      <c r="E227" s="9">
        <f t="shared" ref="E227:E230" si="62">E226+F226/60/24</f>
        <v>43918.489583333328</v>
      </c>
      <c r="F227" s="8">
        <f t="shared" si="56"/>
        <v>105</v>
      </c>
      <c r="G227" s="8" t="s">
        <v>10</v>
      </c>
      <c r="H227" s="8" t="s">
        <v>13</v>
      </c>
      <c r="I227" s="8">
        <f t="shared" si="51"/>
        <v>7</v>
      </c>
    </row>
    <row r="228" spans="1:9" x14ac:dyDescent="0.25">
      <c r="A228" s="7">
        <f t="shared" si="60"/>
        <v>227</v>
      </c>
      <c r="B228" s="8" t="str">
        <f t="shared" si="55"/>
        <v>2</v>
      </c>
      <c r="C228" s="8">
        <f t="shared" si="52"/>
        <v>4</v>
      </c>
      <c r="D228" s="8"/>
      <c r="E228" s="9">
        <f t="shared" si="62"/>
        <v>43918.562499999993</v>
      </c>
      <c r="F228" s="8">
        <f t="shared" si="56"/>
        <v>105</v>
      </c>
      <c r="G228" s="8" t="s">
        <v>10</v>
      </c>
      <c r="H228" s="8" t="s">
        <v>13</v>
      </c>
      <c r="I228" s="8">
        <f t="shared" si="51"/>
        <v>7</v>
      </c>
    </row>
    <row r="229" spans="1:9" x14ac:dyDescent="0.25">
      <c r="A229" s="7">
        <f t="shared" si="60"/>
        <v>228</v>
      </c>
      <c r="B229" s="8" t="str">
        <f t="shared" si="55"/>
        <v>2</v>
      </c>
      <c r="C229" s="8">
        <f t="shared" si="52"/>
        <v>4</v>
      </c>
      <c r="D229" s="8"/>
      <c r="E229" s="9">
        <f t="shared" si="62"/>
        <v>43918.635416666657</v>
      </c>
      <c r="F229" s="8">
        <f t="shared" si="56"/>
        <v>105</v>
      </c>
      <c r="G229" s="8" t="s">
        <v>10</v>
      </c>
      <c r="H229" s="8" t="s">
        <v>13</v>
      </c>
      <c r="I229" s="8">
        <f t="shared" si="51"/>
        <v>7</v>
      </c>
    </row>
    <row r="230" spans="1:9" ht="15.75" thickBot="1" x14ac:dyDescent="0.3">
      <c r="A230" s="10">
        <f t="shared" si="60"/>
        <v>229</v>
      </c>
      <c r="B230" s="11" t="str">
        <f t="shared" si="55"/>
        <v>2</v>
      </c>
      <c r="C230" s="11">
        <f t="shared" si="52"/>
        <v>4</v>
      </c>
      <c r="D230" s="11"/>
      <c r="E230" s="12">
        <f t="shared" si="62"/>
        <v>43918.708333333321</v>
      </c>
      <c r="F230" s="11">
        <f t="shared" si="56"/>
        <v>105</v>
      </c>
      <c r="G230" s="11" t="s">
        <v>10</v>
      </c>
      <c r="H230" s="11" t="s">
        <v>13</v>
      </c>
      <c r="I230" s="11">
        <f t="shared" si="51"/>
        <v>7</v>
      </c>
    </row>
    <row r="231" spans="1:9" x14ac:dyDescent="0.25">
      <c r="A231" s="3">
        <f t="shared" si="60"/>
        <v>230</v>
      </c>
      <c r="B231" s="4" t="str">
        <f t="shared" si="55"/>
        <v>1</v>
      </c>
      <c r="C231" s="4">
        <f t="shared" si="52"/>
        <v>7</v>
      </c>
      <c r="D231" s="4"/>
      <c r="E231" s="5">
        <f>E215</f>
        <v>43918.375</v>
      </c>
      <c r="F231" s="4">
        <f t="shared" si="56"/>
        <v>60</v>
      </c>
      <c r="G231" s="4" t="s">
        <v>16</v>
      </c>
      <c r="H231" s="4" t="s">
        <v>15</v>
      </c>
      <c r="I231" s="4">
        <f>WEEKDAY(E231)</f>
        <v>7</v>
      </c>
    </row>
    <row r="232" spans="1:9" x14ac:dyDescent="0.25">
      <c r="A232" s="7">
        <f t="shared" si="60"/>
        <v>231</v>
      </c>
      <c r="B232" s="8" t="str">
        <f t="shared" si="55"/>
        <v>1</v>
      </c>
      <c r="C232" s="8">
        <f t="shared" si="52"/>
        <v>6</v>
      </c>
      <c r="D232" s="8"/>
      <c r="E232" s="9">
        <f>E231+F231/60/24</f>
        <v>43918.416666666664</v>
      </c>
      <c r="F232" s="8">
        <f t="shared" si="56"/>
        <v>60</v>
      </c>
      <c r="G232" s="8" t="s">
        <v>16</v>
      </c>
      <c r="H232" s="8" t="s">
        <v>14</v>
      </c>
      <c r="I232" s="8">
        <f>WEEKDAY(E232)</f>
        <v>7</v>
      </c>
    </row>
    <row r="233" spans="1:9" x14ac:dyDescent="0.25">
      <c r="A233" s="7">
        <f t="shared" si="60"/>
        <v>232</v>
      </c>
      <c r="B233" s="8" t="str">
        <f t="shared" si="55"/>
        <v>1</v>
      </c>
      <c r="C233" s="8">
        <f t="shared" si="52"/>
        <v>5</v>
      </c>
      <c r="D233" s="8"/>
      <c r="E233" s="9">
        <f t="shared" ref="E233:E237" si="63">E232+F232/60/24</f>
        <v>43918.458333333328</v>
      </c>
      <c r="F233" s="8">
        <f t="shared" si="56"/>
        <v>90</v>
      </c>
      <c r="G233" s="8" t="s">
        <v>16</v>
      </c>
      <c r="H233" s="8" t="s">
        <v>11</v>
      </c>
      <c r="I233" s="8">
        <f>WEEKDAY(E233)</f>
        <v>7</v>
      </c>
    </row>
    <row r="234" spans="1:9" x14ac:dyDescent="0.25">
      <c r="A234" s="7">
        <f t="shared" si="60"/>
        <v>233</v>
      </c>
      <c r="B234" s="8" t="str">
        <f t="shared" si="55"/>
        <v>1</v>
      </c>
      <c r="C234" s="8">
        <f t="shared" si="52"/>
        <v>5</v>
      </c>
      <c r="D234" s="8"/>
      <c r="E234" s="9">
        <f t="shared" si="63"/>
        <v>43918.520833333328</v>
      </c>
      <c r="F234" s="8">
        <f t="shared" si="56"/>
        <v>90</v>
      </c>
      <c r="G234" s="8" t="s">
        <v>16</v>
      </c>
      <c r="H234" s="8" t="s">
        <v>11</v>
      </c>
      <c r="I234" s="8">
        <f>WEEKDAY(E234)</f>
        <v>7</v>
      </c>
    </row>
    <row r="235" spans="1:9" x14ac:dyDescent="0.25">
      <c r="A235" s="7">
        <f t="shared" si="60"/>
        <v>234</v>
      </c>
      <c r="B235" s="8" t="str">
        <f t="shared" si="55"/>
        <v>1</v>
      </c>
      <c r="C235" s="8">
        <f t="shared" si="52"/>
        <v>5</v>
      </c>
      <c r="D235" s="8"/>
      <c r="E235" s="9">
        <f t="shared" si="63"/>
        <v>43918.583333333328</v>
      </c>
      <c r="F235" s="8">
        <f t="shared" si="56"/>
        <v>90</v>
      </c>
      <c r="G235" s="8" t="s">
        <v>16</v>
      </c>
      <c r="H235" s="8" t="s">
        <v>11</v>
      </c>
      <c r="I235" s="8">
        <f t="shared" ref="I235:I237" si="64">WEEKDAY(E235)</f>
        <v>7</v>
      </c>
    </row>
    <row r="236" spans="1:9" x14ac:dyDescent="0.25">
      <c r="A236" s="7">
        <f t="shared" si="60"/>
        <v>235</v>
      </c>
      <c r="B236" s="8" t="str">
        <f t="shared" si="55"/>
        <v>1</v>
      </c>
      <c r="C236" s="8">
        <f t="shared" si="52"/>
        <v>5</v>
      </c>
      <c r="D236" s="8"/>
      <c r="E236" s="9">
        <f t="shared" si="63"/>
        <v>43918.645833333328</v>
      </c>
      <c r="F236" s="8">
        <f t="shared" si="56"/>
        <v>90</v>
      </c>
      <c r="G236" s="8" t="s">
        <v>16</v>
      </c>
      <c r="H236" s="8" t="s">
        <v>11</v>
      </c>
      <c r="I236" s="8">
        <f t="shared" si="64"/>
        <v>7</v>
      </c>
    </row>
    <row r="237" spans="1:9" ht="15.75" thickBot="1" x14ac:dyDescent="0.3">
      <c r="A237" s="10">
        <f t="shared" si="60"/>
        <v>236</v>
      </c>
      <c r="B237" s="11" t="str">
        <f t="shared" si="55"/>
        <v>1</v>
      </c>
      <c r="C237" s="11">
        <f t="shared" si="52"/>
        <v>5</v>
      </c>
      <c r="D237" s="11"/>
      <c r="E237" s="9">
        <f t="shared" si="63"/>
        <v>43918.708333333328</v>
      </c>
      <c r="F237" s="11">
        <f t="shared" si="56"/>
        <v>90</v>
      </c>
      <c r="G237" s="11" t="s">
        <v>16</v>
      </c>
      <c r="H237" s="11" t="s">
        <v>11</v>
      </c>
      <c r="I237" s="11">
        <f t="shared" si="64"/>
        <v>7</v>
      </c>
    </row>
    <row r="238" spans="1:9" x14ac:dyDescent="0.25">
      <c r="A238" s="3">
        <f t="shared" si="60"/>
        <v>237</v>
      </c>
      <c r="B238" s="4" t="str">
        <f t="shared" si="55"/>
        <v>5</v>
      </c>
      <c r="C238" s="4">
        <f t="shared" si="52"/>
        <v>6</v>
      </c>
      <c r="D238" s="4"/>
      <c r="E238" s="5">
        <f>E215</f>
        <v>43918.375</v>
      </c>
      <c r="F238" s="4">
        <f t="shared" si="56"/>
        <v>60</v>
      </c>
      <c r="G238" s="4" t="s">
        <v>17</v>
      </c>
      <c r="H238" s="4" t="s">
        <v>14</v>
      </c>
      <c r="I238" s="4">
        <f>WEEKDAY(E238)</f>
        <v>7</v>
      </c>
    </row>
    <row r="239" spans="1:9" x14ac:dyDescent="0.25">
      <c r="A239" s="7">
        <f t="shared" si="60"/>
        <v>238</v>
      </c>
      <c r="B239" s="8" t="str">
        <f t="shared" si="55"/>
        <v>5</v>
      </c>
      <c r="C239" s="8">
        <f t="shared" ref="C239:C258" si="65">VLOOKUP(H239,league_id,2,FALSE)</f>
        <v>5</v>
      </c>
      <c r="D239" s="8"/>
      <c r="E239" s="9">
        <f>E238+F238/60/24</f>
        <v>43918.416666666664</v>
      </c>
      <c r="F239" s="8">
        <f t="shared" si="56"/>
        <v>90</v>
      </c>
      <c r="G239" s="8" t="s">
        <v>17</v>
      </c>
      <c r="H239" s="8" t="s">
        <v>11</v>
      </c>
      <c r="I239" s="8">
        <f>WEEKDAY(E239)</f>
        <v>7</v>
      </c>
    </row>
    <row r="240" spans="1:9" x14ac:dyDescent="0.25">
      <c r="A240" s="7">
        <f t="shared" si="60"/>
        <v>239</v>
      </c>
      <c r="B240" s="8" t="str">
        <f t="shared" si="55"/>
        <v>5</v>
      </c>
      <c r="C240" s="8">
        <f t="shared" si="65"/>
        <v>4</v>
      </c>
      <c r="D240" s="8"/>
      <c r="E240" s="9">
        <f t="shared" ref="E240:E243" si="66">E239+F239/60/24</f>
        <v>43918.479166666664</v>
      </c>
      <c r="F240" s="8">
        <f t="shared" si="56"/>
        <v>105</v>
      </c>
      <c r="G240" s="8" t="s">
        <v>17</v>
      </c>
      <c r="H240" s="8" t="s">
        <v>13</v>
      </c>
      <c r="I240" s="8">
        <f>WEEKDAY(E240)</f>
        <v>7</v>
      </c>
    </row>
    <row r="241" spans="1:9" x14ac:dyDescent="0.25">
      <c r="A241" s="7">
        <f t="shared" si="60"/>
        <v>240</v>
      </c>
      <c r="B241" s="8" t="str">
        <f t="shared" si="55"/>
        <v>5</v>
      </c>
      <c r="C241" s="8">
        <f t="shared" si="65"/>
        <v>4</v>
      </c>
      <c r="D241" s="8"/>
      <c r="E241" s="9">
        <f t="shared" si="66"/>
        <v>43918.552083333328</v>
      </c>
      <c r="F241" s="8">
        <f t="shared" si="56"/>
        <v>105</v>
      </c>
      <c r="G241" s="8" t="s">
        <v>17</v>
      </c>
      <c r="H241" s="8" t="s">
        <v>13</v>
      </c>
      <c r="I241" s="8">
        <f>WEEKDAY(E241)</f>
        <v>7</v>
      </c>
    </row>
    <row r="242" spans="1:9" x14ac:dyDescent="0.25">
      <c r="A242" s="7">
        <f t="shared" si="60"/>
        <v>241</v>
      </c>
      <c r="B242" s="8" t="str">
        <f t="shared" si="55"/>
        <v>5</v>
      </c>
      <c r="C242" s="8">
        <f t="shared" si="65"/>
        <v>4</v>
      </c>
      <c r="D242" s="8"/>
      <c r="E242" s="9">
        <f t="shared" si="66"/>
        <v>43918.624999999993</v>
      </c>
      <c r="F242" s="8">
        <f t="shared" si="56"/>
        <v>105</v>
      </c>
      <c r="G242" s="8" t="s">
        <v>17</v>
      </c>
      <c r="H242" s="8" t="s">
        <v>13</v>
      </c>
      <c r="I242" s="8">
        <f t="shared" ref="I242:I243" si="67">WEEKDAY(E242)</f>
        <v>7</v>
      </c>
    </row>
    <row r="243" spans="1:9" ht="15.75" thickBot="1" x14ac:dyDescent="0.3">
      <c r="A243" s="10">
        <f t="shared" si="60"/>
        <v>242</v>
      </c>
      <c r="B243" s="11" t="str">
        <f t="shared" si="55"/>
        <v>5</v>
      </c>
      <c r="C243" s="11">
        <f t="shared" si="65"/>
        <v>4</v>
      </c>
      <c r="D243" s="11"/>
      <c r="E243" s="12">
        <f t="shared" si="66"/>
        <v>43918.697916666657</v>
      </c>
      <c r="F243" s="11">
        <f t="shared" si="56"/>
        <v>105</v>
      </c>
      <c r="G243" s="11" t="s">
        <v>17</v>
      </c>
      <c r="H243" s="11" t="s">
        <v>13</v>
      </c>
      <c r="I243" s="11">
        <f t="shared" si="67"/>
        <v>7</v>
      </c>
    </row>
    <row r="244" spans="1:9" x14ac:dyDescent="0.25">
      <c r="A244" s="3">
        <f t="shared" si="60"/>
        <v>243</v>
      </c>
      <c r="B244" s="4" t="str">
        <f t="shared" si="55"/>
        <v>6</v>
      </c>
      <c r="C244" s="4">
        <f t="shared" si="65"/>
        <v>4</v>
      </c>
      <c r="D244" s="4"/>
      <c r="E244" s="5">
        <f>E215</f>
        <v>43918.375</v>
      </c>
      <c r="F244" s="4">
        <f t="shared" si="56"/>
        <v>105</v>
      </c>
      <c r="G244" s="4" t="s">
        <v>18</v>
      </c>
      <c r="H244" s="4" t="s">
        <v>13</v>
      </c>
      <c r="I244" s="4">
        <f>WEEKDAY(E244)</f>
        <v>7</v>
      </c>
    </row>
    <row r="245" spans="1:9" x14ac:dyDescent="0.25">
      <c r="A245" s="7">
        <f t="shared" si="60"/>
        <v>244</v>
      </c>
      <c r="B245" s="8" t="str">
        <f t="shared" si="55"/>
        <v>6</v>
      </c>
      <c r="C245" s="8" t="s">
        <v>50</v>
      </c>
      <c r="D245" s="8"/>
      <c r="E245" s="9">
        <f>E244+F244/60/24</f>
        <v>43918.447916666664</v>
      </c>
      <c r="F245" s="8">
        <f t="shared" si="56"/>
        <v>105</v>
      </c>
      <c r="G245" s="8" t="s">
        <v>18</v>
      </c>
      <c r="H245" s="8" t="s">
        <v>12</v>
      </c>
      <c r="I245" s="8">
        <f>WEEKDAY(E245)</f>
        <v>7</v>
      </c>
    </row>
    <row r="246" spans="1:9" x14ac:dyDescent="0.25">
      <c r="A246" s="7">
        <f t="shared" si="60"/>
        <v>245</v>
      </c>
      <c r="B246" s="8" t="str">
        <f t="shared" si="55"/>
        <v>6</v>
      </c>
      <c r="C246" s="8" t="s">
        <v>50</v>
      </c>
      <c r="D246" s="8"/>
      <c r="E246" s="9">
        <f t="shared" ref="E246:E248" si="68">E245+F245/60/24</f>
        <v>43918.520833333328</v>
      </c>
      <c r="F246" s="8">
        <f t="shared" si="56"/>
        <v>105</v>
      </c>
      <c r="G246" s="8" t="s">
        <v>18</v>
      </c>
      <c r="H246" s="8" t="s">
        <v>12</v>
      </c>
      <c r="I246" s="8">
        <f>WEEKDAY(E246)</f>
        <v>7</v>
      </c>
    </row>
    <row r="247" spans="1:9" x14ac:dyDescent="0.25">
      <c r="A247" s="7">
        <f t="shared" si="60"/>
        <v>246</v>
      </c>
      <c r="B247" s="8" t="str">
        <f t="shared" si="55"/>
        <v>6</v>
      </c>
      <c r="C247" s="8" t="s">
        <v>50</v>
      </c>
      <c r="D247" s="8"/>
      <c r="E247" s="9">
        <f t="shared" si="68"/>
        <v>43918.593749999993</v>
      </c>
      <c r="F247" s="8">
        <f t="shared" si="56"/>
        <v>105</v>
      </c>
      <c r="G247" s="8" t="s">
        <v>18</v>
      </c>
      <c r="H247" s="8" t="s">
        <v>12</v>
      </c>
      <c r="I247" s="8">
        <f>WEEKDAY(E247)</f>
        <v>7</v>
      </c>
    </row>
    <row r="248" spans="1:9" ht="15.75" thickBot="1" x14ac:dyDescent="0.3">
      <c r="A248" s="10">
        <f t="shared" si="60"/>
        <v>247</v>
      </c>
      <c r="B248" s="11" t="str">
        <f t="shared" si="55"/>
        <v>6</v>
      </c>
      <c r="C248" s="8" t="s">
        <v>50</v>
      </c>
      <c r="D248" s="11"/>
      <c r="E248" s="12">
        <f t="shared" si="68"/>
        <v>43918.666666666657</v>
      </c>
      <c r="F248" s="11">
        <f t="shared" si="56"/>
        <v>105</v>
      </c>
      <c r="G248" s="11" t="s">
        <v>18</v>
      </c>
      <c r="H248" s="11" t="s">
        <v>12</v>
      </c>
      <c r="I248" s="11">
        <f t="shared" ref="I248" si="69">WEEKDAY(E248)</f>
        <v>7</v>
      </c>
    </row>
    <row r="249" spans="1:9" x14ac:dyDescent="0.25">
      <c r="A249" s="3">
        <f t="shared" si="60"/>
        <v>248</v>
      </c>
      <c r="B249" s="4" t="str">
        <f t="shared" si="55"/>
        <v>7</v>
      </c>
      <c r="C249" s="4">
        <f t="shared" si="65"/>
        <v>6</v>
      </c>
      <c r="D249" s="4"/>
      <c r="E249" s="5">
        <f>E215</f>
        <v>43918.375</v>
      </c>
      <c r="F249" s="4">
        <f t="shared" si="56"/>
        <v>60</v>
      </c>
      <c r="G249" s="4" t="s">
        <v>19</v>
      </c>
      <c r="H249" s="4" t="s">
        <v>14</v>
      </c>
      <c r="I249" s="4">
        <f>WEEKDAY(E249)</f>
        <v>7</v>
      </c>
    </row>
    <row r="250" spans="1:9" x14ac:dyDescent="0.25">
      <c r="A250" s="7">
        <f t="shared" si="60"/>
        <v>249</v>
      </c>
      <c r="B250" s="8" t="str">
        <f t="shared" si="55"/>
        <v>7</v>
      </c>
      <c r="C250" s="8">
        <f t="shared" si="65"/>
        <v>3</v>
      </c>
      <c r="D250" s="8"/>
      <c r="E250" s="9">
        <f>E249+F249/60/24</f>
        <v>43918.416666666664</v>
      </c>
      <c r="F250" s="8">
        <f t="shared" si="56"/>
        <v>105</v>
      </c>
      <c r="G250" s="8" t="s">
        <v>19</v>
      </c>
      <c r="H250" s="8" t="s">
        <v>12</v>
      </c>
      <c r="I250" s="8">
        <f>WEEKDAY(E250)</f>
        <v>7</v>
      </c>
    </row>
    <row r="251" spans="1:9" x14ac:dyDescent="0.25">
      <c r="A251" s="7">
        <f t="shared" si="60"/>
        <v>250</v>
      </c>
      <c r="B251" s="8" t="str">
        <f t="shared" si="55"/>
        <v>7</v>
      </c>
      <c r="C251" s="8">
        <f t="shared" si="65"/>
        <v>3</v>
      </c>
      <c r="D251" s="8"/>
      <c r="E251" s="9">
        <f t="shared" ref="E251:E253" si="70">E250+F250/60/24</f>
        <v>43918.489583333328</v>
      </c>
      <c r="F251" s="8">
        <f t="shared" si="56"/>
        <v>105</v>
      </c>
      <c r="G251" s="8" t="s">
        <v>19</v>
      </c>
      <c r="H251" s="8" t="s">
        <v>12</v>
      </c>
      <c r="I251" s="8">
        <f>WEEKDAY(E251)</f>
        <v>7</v>
      </c>
    </row>
    <row r="252" spans="1:9" x14ac:dyDescent="0.25">
      <c r="A252" s="7">
        <f t="shared" si="60"/>
        <v>251</v>
      </c>
      <c r="B252" s="8" t="str">
        <f t="shared" si="55"/>
        <v>7</v>
      </c>
      <c r="C252" s="8" t="s">
        <v>50</v>
      </c>
      <c r="D252" s="8"/>
      <c r="E252" s="9">
        <f t="shared" si="70"/>
        <v>43918.562499999993</v>
      </c>
      <c r="F252" s="8">
        <f t="shared" si="56"/>
        <v>120</v>
      </c>
      <c r="G252" s="8" t="s">
        <v>19</v>
      </c>
      <c r="H252" s="8" t="s">
        <v>9</v>
      </c>
      <c r="I252" s="8">
        <f>WEEKDAY(E252)</f>
        <v>7</v>
      </c>
    </row>
    <row r="253" spans="1:9" ht="15.75" thickBot="1" x14ac:dyDescent="0.3">
      <c r="A253" s="10">
        <f t="shared" si="60"/>
        <v>252</v>
      </c>
      <c r="B253" s="11" t="str">
        <f t="shared" si="55"/>
        <v>7</v>
      </c>
      <c r="C253" s="8" t="s">
        <v>50</v>
      </c>
      <c r="D253" s="11"/>
      <c r="E253" s="12">
        <f t="shared" si="70"/>
        <v>43918.645833333328</v>
      </c>
      <c r="F253" s="11">
        <f t="shared" si="56"/>
        <v>120</v>
      </c>
      <c r="G253" s="11" t="s">
        <v>19</v>
      </c>
      <c r="H253" s="11" t="s">
        <v>9</v>
      </c>
      <c r="I253" s="11">
        <f t="shared" ref="I253" si="71">WEEKDAY(E253)</f>
        <v>7</v>
      </c>
    </row>
    <row r="254" spans="1:9" x14ac:dyDescent="0.25">
      <c r="A254" s="3">
        <f t="shared" si="60"/>
        <v>253</v>
      </c>
      <c r="B254" s="4" t="str">
        <f t="shared" si="55"/>
        <v>8</v>
      </c>
      <c r="C254" s="4">
        <f t="shared" si="65"/>
        <v>5</v>
      </c>
      <c r="D254" s="4"/>
      <c r="E254" s="5">
        <f>E215</f>
        <v>43918.375</v>
      </c>
      <c r="F254" s="4">
        <f t="shared" si="56"/>
        <v>90</v>
      </c>
      <c r="G254" s="4" t="s">
        <v>20</v>
      </c>
      <c r="H254" s="4" t="s">
        <v>11</v>
      </c>
      <c r="I254" s="4">
        <f>WEEKDAY(E254)</f>
        <v>7</v>
      </c>
    </row>
    <row r="255" spans="1:9" x14ac:dyDescent="0.25">
      <c r="A255" s="7">
        <f t="shared" si="60"/>
        <v>254</v>
      </c>
      <c r="B255" s="8" t="str">
        <f t="shared" si="55"/>
        <v>8</v>
      </c>
      <c r="C255" s="8">
        <f t="shared" si="65"/>
        <v>5</v>
      </c>
      <c r="D255" s="8"/>
      <c r="E255" s="9">
        <f>E254+F254/60/24</f>
        <v>43918.4375</v>
      </c>
      <c r="F255" s="8">
        <f t="shared" si="56"/>
        <v>90</v>
      </c>
      <c r="G255" s="8" t="s">
        <v>20</v>
      </c>
      <c r="H255" s="8" t="s">
        <v>11</v>
      </c>
      <c r="I255" s="8">
        <f>WEEKDAY(E255)</f>
        <v>7</v>
      </c>
    </row>
    <row r="256" spans="1:9" x14ac:dyDescent="0.25">
      <c r="A256" s="7">
        <f t="shared" si="60"/>
        <v>255</v>
      </c>
      <c r="B256" s="8" t="str">
        <f t="shared" si="55"/>
        <v>8</v>
      </c>
      <c r="C256" s="8">
        <f t="shared" si="65"/>
        <v>3</v>
      </c>
      <c r="D256" s="8"/>
      <c r="E256" s="9">
        <f t="shared" ref="E256:E258" si="72">E255+F255/60/24</f>
        <v>43918.5</v>
      </c>
      <c r="F256" s="8">
        <f t="shared" si="56"/>
        <v>105</v>
      </c>
      <c r="G256" s="8" t="s">
        <v>20</v>
      </c>
      <c r="H256" s="8" t="s">
        <v>12</v>
      </c>
      <c r="I256" s="8">
        <f>WEEKDAY(E256)</f>
        <v>7</v>
      </c>
    </row>
    <row r="257" spans="1:9" x14ac:dyDescent="0.25">
      <c r="A257" s="7">
        <f t="shared" si="60"/>
        <v>256</v>
      </c>
      <c r="B257" s="8" t="str">
        <f t="shared" si="55"/>
        <v>8</v>
      </c>
      <c r="C257" s="8" t="s">
        <v>50</v>
      </c>
      <c r="D257" s="8"/>
      <c r="E257" s="9">
        <f t="shared" si="72"/>
        <v>43918.572916666664</v>
      </c>
      <c r="F257" s="8">
        <f t="shared" si="56"/>
        <v>120</v>
      </c>
      <c r="G257" s="8" t="s">
        <v>20</v>
      </c>
      <c r="H257" s="8" t="s">
        <v>9</v>
      </c>
      <c r="I257" s="8">
        <f>WEEKDAY(E257)</f>
        <v>7</v>
      </c>
    </row>
    <row r="258" spans="1:9" ht="15.75" thickBot="1" x14ac:dyDescent="0.3">
      <c r="A258" s="10">
        <f t="shared" si="60"/>
        <v>257</v>
      </c>
      <c r="B258" s="11" t="str">
        <f t="shared" ref="B258:B321" si="73">VLOOKUP(G258,field_id,2,FALSE)</f>
        <v>8</v>
      </c>
      <c r="C258" s="8" t="s">
        <v>50</v>
      </c>
      <c r="D258" s="11"/>
      <c r="E258" s="12">
        <f t="shared" si="72"/>
        <v>43918.65625</v>
      </c>
      <c r="F258" s="11">
        <f t="shared" ref="F258:F321" si="74">VLOOKUP(H258,GameDuration,2,FALSE)</f>
        <v>120</v>
      </c>
      <c r="G258" s="11" t="s">
        <v>20</v>
      </c>
      <c r="H258" s="11" t="s">
        <v>9</v>
      </c>
      <c r="I258" s="11">
        <f t="shared" ref="I258:I314" si="75">WEEKDAY(E258)</f>
        <v>7</v>
      </c>
    </row>
    <row r="259" spans="1:9" x14ac:dyDescent="0.25">
      <c r="A259" s="3">
        <f>A258+1</f>
        <v>258</v>
      </c>
      <c r="B259" s="4" t="str">
        <f t="shared" si="73"/>
        <v>4</v>
      </c>
      <c r="C259" s="4">
        <f t="shared" ref="C259:C322" si="76">VLOOKUP(H259,league_id,2,FALSE)</f>
        <v>1</v>
      </c>
      <c r="D259" s="4"/>
      <c r="E259" s="5">
        <v>43922.75</v>
      </c>
      <c r="F259" s="4">
        <f t="shared" si="74"/>
        <v>120</v>
      </c>
      <c r="G259" s="4" t="s">
        <v>8</v>
      </c>
      <c r="H259" s="4" t="s">
        <v>8</v>
      </c>
      <c r="I259" s="4">
        <f t="shared" si="75"/>
        <v>4</v>
      </c>
    </row>
    <row r="260" spans="1:9" ht="15.75" thickBot="1" x14ac:dyDescent="0.3">
      <c r="A260" s="7">
        <f>A259+1</f>
        <v>259</v>
      </c>
      <c r="B260" s="8" t="str">
        <f t="shared" si="73"/>
        <v>4</v>
      </c>
      <c r="C260" s="8">
        <f t="shared" si="76"/>
        <v>1</v>
      </c>
      <c r="D260" s="8"/>
      <c r="E260" s="9">
        <f>E259+F259/60/24</f>
        <v>43922.833333333336</v>
      </c>
      <c r="F260" s="8">
        <f t="shared" si="74"/>
        <v>120</v>
      </c>
      <c r="G260" s="8" t="s">
        <v>8</v>
      </c>
      <c r="H260" s="8" t="s">
        <v>8</v>
      </c>
      <c r="I260" s="8">
        <f t="shared" si="75"/>
        <v>4</v>
      </c>
    </row>
    <row r="261" spans="1:9" x14ac:dyDescent="0.25">
      <c r="A261" s="3">
        <f>A260+1</f>
        <v>260</v>
      </c>
      <c r="B261" s="4" t="str">
        <f t="shared" si="73"/>
        <v>3</v>
      </c>
      <c r="C261" s="4">
        <f t="shared" si="76"/>
        <v>2</v>
      </c>
      <c r="D261" s="4"/>
      <c r="E261" s="5">
        <f>E259</f>
        <v>43922.75</v>
      </c>
      <c r="F261" s="4">
        <f t="shared" si="74"/>
        <v>120</v>
      </c>
      <c r="G261" s="4" t="s">
        <v>9</v>
      </c>
      <c r="H261" s="4" t="s">
        <v>9</v>
      </c>
      <c r="I261" s="4">
        <f t="shared" si="75"/>
        <v>4</v>
      </c>
    </row>
    <row r="262" spans="1:9" ht="15.75" thickBot="1" x14ac:dyDescent="0.3">
      <c r="A262" s="7">
        <f t="shared" ref="A262:A270" si="77">A261+1</f>
        <v>261</v>
      </c>
      <c r="B262" s="8" t="str">
        <f t="shared" si="73"/>
        <v>3</v>
      </c>
      <c r="C262" s="8">
        <f t="shared" si="76"/>
        <v>2</v>
      </c>
      <c r="D262" s="8"/>
      <c r="E262" s="9">
        <f>E261+F261/60/24</f>
        <v>43922.833333333336</v>
      </c>
      <c r="F262" s="8">
        <f t="shared" si="74"/>
        <v>120</v>
      </c>
      <c r="G262" s="8" t="s">
        <v>9</v>
      </c>
      <c r="H262" s="8" t="s">
        <v>9</v>
      </c>
      <c r="I262" s="8">
        <f t="shared" si="75"/>
        <v>4</v>
      </c>
    </row>
    <row r="263" spans="1:9" x14ac:dyDescent="0.25">
      <c r="A263" s="3">
        <f>A262+1</f>
        <v>262</v>
      </c>
      <c r="B263" s="4" t="str">
        <f t="shared" si="73"/>
        <v>2</v>
      </c>
      <c r="C263" s="4">
        <f t="shared" si="76"/>
        <v>4</v>
      </c>
      <c r="D263" s="4"/>
      <c r="E263" s="5">
        <f>E259</f>
        <v>43922.75</v>
      </c>
      <c r="F263" s="4">
        <f t="shared" si="74"/>
        <v>105</v>
      </c>
      <c r="G263" s="4" t="s">
        <v>10</v>
      </c>
      <c r="H263" s="4" t="s">
        <v>13</v>
      </c>
      <c r="I263" s="4">
        <f t="shared" si="75"/>
        <v>4</v>
      </c>
    </row>
    <row r="264" spans="1:9" ht="15.75" thickBot="1" x14ac:dyDescent="0.3">
      <c r="A264" s="7">
        <f t="shared" si="77"/>
        <v>263</v>
      </c>
      <c r="B264" s="8" t="str">
        <f t="shared" si="73"/>
        <v>2</v>
      </c>
      <c r="C264" s="8">
        <f t="shared" si="76"/>
        <v>4</v>
      </c>
      <c r="D264" s="8"/>
      <c r="E264" s="9">
        <f>E263+F263/60/24</f>
        <v>43922.822916666664</v>
      </c>
      <c r="F264" s="8">
        <f t="shared" si="74"/>
        <v>105</v>
      </c>
      <c r="G264" s="8" t="s">
        <v>10</v>
      </c>
      <c r="H264" s="8" t="s">
        <v>13</v>
      </c>
      <c r="I264" s="8">
        <f t="shared" si="75"/>
        <v>4</v>
      </c>
    </row>
    <row r="265" spans="1:9" x14ac:dyDescent="0.25">
      <c r="A265" s="3">
        <f>A264+1</f>
        <v>264</v>
      </c>
      <c r="B265" s="4" t="str">
        <f t="shared" si="73"/>
        <v>1</v>
      </c>
      <c r="C265" s="4">
        <f t="shared" si="76"/>
        <v>5</v>
      </c>
      <c r="D265" s="4"/>
      <c r="E265" s="5">
        <f>E259</f>
        <v>43922.75</v>
      </c>
      <c r="F265" s="4">
        <f t="shared" si="74"/>
        <v>90</v>
      </c>
      <c r="G265" s="4" t="s">
        <v>16</v>
      </c>
      <c r="H265" s="4" t="s">
        <v>11</v>
      </c>
      <c r="I265" s="4">
        <f t="shared" si="75"/>
        <v>4</v>
      </c>
    </row>
    <row r="266" spans="1:9" ht="15.75" thickBot="1" x14ac:dyDescent="0.3">
      <c r="A266" s="7">
        <f t="shared" si="77"/>
        <v>265</v>
      </c>
      <c r="B266" s="8" t="str">
        <f t="shared" si="73"/>
        <v>1</v>
      </c>
      <c r="C266" s="8">
        <f t="shared" si="76"/>
        <v>5</v>
      </c>
      <c r="D266" s="8"/>
      <c r="E266" s="9">
        <f>E265+F265/60/24</f>
        <v>43922.8125</v>
      </c>
      <c r="F266" s="8">
        <f t="shared" si="74"/>
        <v>90</v>
      </c>
      <c r="G266" s="8" t="s">
        <v>16</v>
      </c>
      <c r="H266" s="8" t="s">
        <v>11</v>
      </c>
      <c r="I266" s="8">
        <f t="shared" si="75"/>
        <v>4</v>
      </c>
    </row>
    <row r="267" spans="1:9" x14ac:dyDescent="0.25">
      <c r="A267" s="3">
        <f>A266+1</f>
        <v>266</v>
      </c>
      <c r="B267" s="4" t="str">
        <f t="shared" si="73"/>
        <v>5</v>
      </c>
      <c r="C267" s="4">
        <f t="shared" si="76"/>
        <v>5</v>
      </c>
      <c r="D267" s="4"/>
      <c r="E267" s="5">
        <f>E259</f>
        <v>43922.75</v>
      </c>
      <c r="F267" s="4">
        <f t="shared" si="74"/>
        <v>90</v>
      </c>
      <c r="G267" s="4" t="s">
        <v>17</v>
      </c>
      <c r="H267" s="4" t="s">
        <v>11</v>
      </c>
      <c r="I267" s="4">
        <f t="shared" si="75"/>
        <v>4</v>
      </c>
    </row>
    <row r="268" spans="1:9" ht="15.75" thickBot="1" x14ac:dyDescent="0.3">
      <c r="A268" s="7">
        <f t="shared" si="77"/>
        <v>267</v>
      </c>
      <c r="B268" s="8" t="str">
        <f t="shared" si="73"/>
        <v>5</v>
      </c>
      <c r="C268" s="8">
        <f t="shared" si="76"/>
        <v>4</v>
      </c>
      <c r="D268" s="8"/>
      <c r="E268" s="9">
        <f>E267+F267/60/24</f>
        <v>43922.8125</v>
      </c>
      <c r="F268" s="8">
        <f t="shared" si="74"/>
        <v>105</v>
      </c>
      <c r="G268" s="8" t="s">
        <v>17</v>
      </c>
      <c r="H268" s="8" t="s">
        <v>13</v>
      </c>
      <c r="I268" s="8">
        <f t="shared" si="75"/>
        <v>4</v>
      </c>
    </row>
    <row r="269" spans="1:9" x14ac:dyDescent="0.25">
      <c r="A269" s="3">
        <f>A268+1</f>
        <v>268</v>
      </c>
      <c r="B269" s="4" t="str">
        <f t="shared" si="73"/>
        <v>6</v>
      </c>
      <c r="C269" s="4">
        <f t="shared" si="76"/>
        <v>3</v>
      </c>
      <c r="D269" s="4"/>
      <c r="E269" s="5">
        <f>E259</f>
        <v>43922.75</v>
      </c>
      <c r="F269" s="4">
        <f t="shared" si="74"/>
        <v>105</v>
      </c>
      <c r="G269" s="4" t="s">
        <v>18</v>
      </c>
      <c r="H269" s="4" t="s">
        <v>12</v>
      </c>
      <c r="I269" s="4">
        <f t="shared" si="75"/>
        <v>4</v>
      </c>
    </row>
    <row r="270" spans="1:9" ht="15.75" thickBot="1" x14ac:dyDescent="0.3">
      <c r="A270" s="10">
        <f t="shared" si="77"/>
        <v>269</v>
      </c>
      <c r="B270" s="11" t="str">
        <f t="shared" si="73"/>
        <v>6</v>
      </c>
      <c r="C270" s="11">
        <f t="shared" si="76"/>
        <v>3</v>
      </c>
      <c r="D270" s="11"/>
      <c r="E270" s="12">
        <f>E269+F269/60/24</f>
        <v>43922.822916666664</v>
      </c>
      <c r="F270" s="11">
        <f t="shared" si="74"/>
        <v>105</v>
      </c>
      <c r="G270" s="11" t="s">
        <v>18</v>
      </c>
      <c r="H270" s="11" t="s">
        <v>12</v>
      </c>
      <c r="I270" s="11">
        <f t="shared" si="75"/>
        <v>4</v>
      </c>
    </row>
    <row r="271" spans="1:9" x14ac:dyDescent="0.25">
      <c r="A271" s="3">
        <f>A270+1</f>
        <v>270</v>
      </c>
      <c r="B271" s="4" t="str">
        <f t="shared" si="73"/>
        <v>4</v>
      </c>
      <c r="C271" s="4">
        <f t="shared" si="76"/>
        <v>1</v>
      </c>
      <c r="D271" s="4"/>
      <c r="E271" s="5">
        <v>43923.75</v>
      </c>
      <c r="F271" s="4">
        <f t="shared" si="74"/>
        <v>120</v>
      </c>
      <c r="G271" s="4" t="s">
        <v>8</v>
      </c>
      <c r="H271" s="4" t="s">
        <v>8</v>
      </c>
      <c r="I271" s="4">
        <f t="shared" si="75"/>
        <v>5</v>
      </c>
    </row>
    <row r="272" spans="1:9" ht="15.75" thickBot="1" x14ac:dyDescent="0.3">
      <c r="A272" s="7">
        <f>A271+1</f>
        <v>271</v>
      </c>
      <c r="B272" s="8" t="str">
        <f t="shared" si="73"/>
        <v>4</v>
      </c>
      <c r="C272" s="8">
        <f t="shared" si="76"/>
        <v>1</v>
      </c>
      <c r="D272" s="8"/>
      <c r="E272" s="9">
        <f>E271+F271/60/24</f>
        <v>43923.833333333336</v>
      </c>
      <c r="F272" s="8">
        <f t="shared" si="74"/>
        <v>120</v>
      </c>
      <c r="G272" s="8" t="s">
        <v>8</v>
      </c>
      <c r="H272" s="8" t="s">
        <v>8</v>
      </c>
      <c r="I272" s="8">
        <f t="shared" si="75"/>
        <v>5</v>
      </c>
    </row>
    <row r="273" spans="1:9" x14ac:dyDescent="0.25">
      <c r="A273" s="3">
        <f>A272+1</f>
        <v>272</v>
      </c>
      <c r="B273" s="4" t="str">
        <f t="shared" si="73"/>
        <v>3</v>
      </c>
      <c r="C273" s="4">
        <f t="shared" si="76"/>
        <v>2</v>
      </c>
      <c r="D273" s="4"/>
      <c r="E273" s="5">
        <f>E271</f>
        <v>43923.75</v>
      </c>
      <c r="F273" s="4">
        <f t="shared" si="74"/>
        <v>120</v>
      </c>
      <c r="G273" s="4" t="s">
        <v>9</v>
      </c>
      <c r="H273" s="4" t="s">
        <v>9</v>
      </c>
      <c r="I273" s="4">
        <f t="shared" si="75"/>
        <v>5</v>
      </c>
    </row>
    <row r="274" spans="1:9" ht="15.75" thickBot="1" x14ac:dyDescent="0.3">
      <c r="A274" s="7">
        <f t="shared" ref="A274:A282" si="78">A273+1</f>
        <v>273</v>
      </c>
      <c r="B274" s="8" t="str">
        <f t="shared" si="73"/>
        <v>3</v>
      </c>
      <c r="C274" s="8">
        <f t="shared" si="76"/>
        <v>2</v>
      </c>
      <c r="D274" s="8"/>
      <c r="E274" s="9">
        <f>E273+F273/60/24</f>
        <v>43923.833333333336</v>
      </c>
      <c r="F274" s="8">
        <f t="shared" si="74"/>
        <v>120</v>
      </c>
      <c r="G274" s="8" t="s">
        <v>9</v>
      </c>
      <c r="H274" s="8" t="s">
        <v>9</v>
      </c>
      <c r="I274" s="8">
        <f t="shared" si="75"/>
        <v>5</v>
      </c>
    </row>
    <row r="275" spans="1:9" x14ac:dyDescent="0.25">
      <c r="A275" s="3">
        <f>A274+1</f>
        <v>274</v>
      </c>
      <c r="B275" s="4" t="str">
        <f t="shared" si="73"/>
        <v>2</v>
      </c>
      <c r="C275" s="4">
        <f t="shared" si="76"/>
        <v>4</v>
      </c>
      <c r="D275" s="4"/>
      <c r="E275" s="5">
        <f>E271</f>
        <v>43923.75</v>
      </c>
      <c r="F275" s="4">
        <f t="shared" si="74"/>
        <v>105</v>
      </c>
      <c r="G275" s="4" t="s">
        <v>10</v>
      </c>
      <c r="H275" s="4" t="s">
        <v>13</v>
      </c>
      <c r="I275" s="4">
        <f t="shared" si="75"/>
        <v>5</v>
      </c>
    </row>
    <row r="276" spans="1:9" ht="15.75" thickBot="1" x14ac:dyDescent="0.3">
      <c r="A276" s="7">
        <f t="shared" si="78"/>
        <v>275</v>
      </c>
      <c r="B276" s="8" t="str">
        <f t="shared" si="73"/>
        <v>2</v>
      </c>
      <c r="C276" s="8">
        <f t="shared" si="76"/>
        <v>4</v>
      </c>
      <c r="D276" s="8"/>
      <c r="E276" s="9">
        <f>E275+F275/60/24</f>
        <v>43923.822916666664</v>
      </c>
      <c r="F276" s="8">
        <f t="shared" si="74"/>
        <v>105</v>
      </c>
      <c r="G276" s="8" t="s">
        <v>10</v>
      </c>
      <c r="H276" s="8" t="s">
        <v>13</v>
      </c>
      <c r="I276" s="8">
        <f t="shared" si="75"/>
        <v>5</v>
      </c>
    </row>
    <row r="277" spans="1:9" x14ac:dyDescent="0.25">
      <c r="A277" s="3">
        <f>A276+1</f>
        <v>276</v>
      </c>
      <c r="B277" s="4" t="str">
        <f t="shared" si="73"/>
        <v>1</v>
      </c>
      <c r="C277" s="4">
        <f t="shared" si="76"/>
        <v>5</v>
      </c>
      <c r="D277" s="4"/>
      <c r="E277" s="5">
        <f>E271</f>
        <v>43923.75</v>
      </c>
      <c r="F277" s="4">
        <f t="shared" si="74"/>
        <v>90</v>
      </c>
      <c r="G277" s="4" t="s">
        <v>16</v>
      </c>
      <c r="H277" s="4" t="s">
        <v>11</v>
      </c>
      <c r="I277" s="4">
        <f t="shared" si="75"/>
        <v>5</v>
      </c>
    </row>
    <row r="278" spans="1:9" ht="15.75" thickBot="1" x14ac:dyDescent="0.3">
      <c r="A278" s="7">
        <f t="shared" si="78"/>
        <v>277</v>
      </c>
      <c r="B278" s="8" t="str">
        <f t="shared" si="73"/>
        <v>1</v>
      </c>
      <c r="C278" s="8">
        <f t="shared" si="76"/>
        <v>5</v>
      </c>
      <c r="D278" s="8"/>
      <c r="E278" s="9">
        <f>E277+F277/60/24</f>
        <v>43923.8125</v>
      </c>
      <c r="F278" s="8">
        <f t="shared" si="74"/>
        <v>90</v>
      </c>
      <c r="G278" s="8" t="s">
        <v>16</v>
      </c>
      <c r="H278" s="8" t="s">
        <v>11</v>
      </c>
      <c r="I278" s="8">
        <f t="shared" si="75"/>
        <v>5</v>
      </c>
    </row>
    <row r="279" spans="1:9" x14ac:dyDescent="0.25">
      <c r="A279" s="3">
        <f>A278+1</f>
        <v>278</v>
      </c>
      <c r="B279" s="4" t="str">
        <f t="shared" si="73"/>
        <v>5</v>
      </c>
      <c r="C279" s="4">
        <f t="shared" si="76"/>
        <v>5</v>
      </c>
      <c r="D279" s="4"/>
      <c r="E279" s="5">
        <f>E271</f>
        <v>43923.75</v>
      </c>
      <c r="F279" s="4">
        <f t="shared" si="74"/>
        <v>90</v>
      </c>
      <c r="G279" s="4" t="s">
        <v>17</v>
      </c>
      <c r="H279" s="4" t="s">
        <v>11</v>
      </c>
      <c r="I279" s="4">
        <f t="shared" si="75"/>
        <v>5</v>
      </c>
    </row>
    <row r="280" spans="1:9" ht="15.75" thickBot="1" x14ac:dyDescent="0.3">
      <c r="A280" s="7">
        <f t="shared" si="78"/>
        <v>279</v>
      </c>
      <c r="B280" s="8" t="str">
        <f t="shared" si="73"/>
        <v>5</v>
      </c>
      <c r="C280" s="8">
        <f t="shared" si="76"/>
        <v>4</v>
      </c>
      <c r="D280" s="8"/>
      <c r="E280" s="9">
        <f>E279+F279/60/24</f>
        <v>43923.8125</v>
      </c>
      <c r="F280" s="8">
        <f t="shared" si="74"/>
        <v>105</v>
      </c>
      <c r="G280" s="8" t="s">
        <v>17</v>
      </c>
      <c r="H280" s="8" t="s">
        <v>13</v>
      </c>
      <c r="I280" s="8">
        <f t="shared" si="75"/>
        <v>5</v>
      </c>
    </row>
    <row r="281" spans="1:9" x14ac:dyDescent="0.25">
      <c r="A281" s="3">
        <f>A280+1</f>
        <v>280</v>
      </c>
      <c r="B281" s="4" t="str">
        <f t="shared" si="73"/>
        <v>6</v>
      </c>
      <c r="C281" s="4">
        <f t="shared" si="76"/>
        <v>3</v>
      </c>
      <c r="D281" s="4"/>
      <c r="E281" s="5">
        <f>E271</f>
        <v>43923.75</v>
      </c>
      <c r="F281" s="4">
        <f t="shared" si="74"/>
        <v>105</v>
      </c>
      <c r="G281" s="4" t="s">
        <v>18</v>
      </c>
      <c r="H281" s="4" t="s">
        <v>12</v>
      </c>
      <c r="I281" s="4">
        <f t="shared" si="75"/>
        <v>5</v>
      </c>
    </row>
    <row r="282" spans="1:9" ht="15.75" thickBot="1" x14ac:dyDescent="0.3">
      <c r="A282" s="10">
        <f t="shared" si="78"/>
        <v>281</v>
      </c>
      <c r="B282" s="11" t="str">
        <f t="shared" si="73"/>
        <v>6</v>
      </c>
      <c r="C282" s="11">
        <f t="shared" si="76"/>
        <v>3</v>
      </c>
      <c r="D282" s="11"/>
      <c r="E282" s="12">
        <f>E281+F281/60/24</f>
        <v>43923.822916666664</v>
      </c>
      <c r="F282" s="11">
        <f t="shared" si="74"/>
        <v>105</v>
      </c>
      <c r="G282" s="11" t="s">
        <v>18</v>
      </c>
      <c r="H282" s="11" t="s">
        <v>12</v>
      </c>
      <c r="I282" s="11">
        <f t="shared" si="75"/>
        <v>5</v>
      </c>
    </row>
    <row r="283" spans="1:9" x14ac:dyDescent="0.25">
      <c r="A283" s="3">
        <f>A282+1</f>
        <v>282</v>
      </c>
      <c r="B283" s="4" t="str">
        <f t="shared" si="73"/>
        <v>4</v>
      </c>
      <c r="C283" s="4">
        <f t="shared" si="76"/>
        <v>1</v>
      </c>
      <c r="D283" s="4"/>
      <c r="E283" s="5">
        <v>43924.75</v>
      </c>
      <c r="F283" s="4">
        <f t="shared" si="74"/>
        <v>120</v>
      </c>
      <c r="G283" s="4" t="s">
        <v>8</v>
      </c>
      <c r="H283" s="4" t="s">
        <v>8</v>
      </c>
      <c r="I283" s="4">
        <f t="shared" si="75"/>
        <v>6</v>
      </c>
    </row>
    <row r="284" spans="1:9" ht="15.75" thickBot="1" x14ac:dyDescent="0.3">
      <c r="A284" s="7">
        <f>A283+1</f>
        <v>283</v>
      </c>
      <c r="B284" s="8" t="str">
        <f t="shared" si="73"/>
        <v>4</v>
      </c>
      <c r="C284" s="8">
        <f t="shared" si="76"/>
        <v>1</v>
      </c>
      <c r="D284" s="8"/>
      <c r="E284" s="9">
        <f>E283+F283/60/24</f>
        <v>43924.833333333336</v>
      </c>
      <c r="F284" s="8">
        <f t="shared" si="74"/>
        <v>120</v>
      </c>
      <c r="G284" s="8" t="s">
        <v>8</v>
      </c>
      <c r="H284" s="8" t="s">
        <v>8</v>
      </c>
      <c r="I284" s="8">
        <f t="shared" si="75"/>
        <v>6</v>
      </c>
    </row>
    <row r="285" spans="1:9" x14ac:dyDescent="0.25">
      <c r="A285" s="3">
        <f>A284+1</f>
        <v>284</v>
      </c>
      <c r="B285" s="4" t="str">
        <f t="shared" si="73"/>
        <v>3</v>
      </c>
      <c r="C285" s="4">
        <f t="shared" si="76"/>
        <v>2</v>
      </c>
      <c r="D285" s="4"/>
      <c r="E285" s="5">
        <f>E283</f>
        <v>43924.75</v>
      </c>
      <c r="F285" s="4">
        <f t="shared" si="74"/>
        <v>120</v>
      </c>
      <c r="G285" s="4" t="s">
        <v>9</v>
      </c>
      <c r="H285" s="4" t="s">
        <v>9</v>
      </c>
      <c r="I285" s="4">
        <f t="shared" si="75"/>
        <v>6</v>
      </c>
    </row>
    <row r="286" spans="1:9" ht="15.75" thickBot="1" x14ac:dyDescent="0.3">
      <c r="A286" s="7">
        <f t="shared" ref="A286:A294" si="79">A285+1</f>
        <v>285</v>
      </c>
      <c r="B286" s="8" t="str">
        <f t="shared" si="73"/>
        <v>3</v>
      </c>
      <c r="C286" s="8">
        <f t="shared" si="76"/>
        <v>2</v>
      </c>
      <c r="D286" s="8"/>
      <c r="E286" s="9">
        <f>E285+F285/60/24</f>
        <v>43924.833333333336</v>
      </c>
      <c r="F286" s="8">
        <f t="shared" si="74"/>
        <v>120</v>
      </c>
      <c r="G286" s="8" t="s">
        <v>9</v>
      </c>
      <c r="H286" s="8" t="s">
        <v>9</v>
      </c>
      <c r="I286" s="8">
        <f t="shared" si="75"/>
        <v>6</v>
      </c>
    </row>
    <row r="287" spans="1:9" x14ac:dyDescent="0.25">
      <c r="A287" s="3">
        <f>A286+1</f>
        <v>286</v>
      </c>
      <c r="B287" s="4" t="str">
        <f t="shared" si="73"/>
        <v>2</v>
      </c>
      <c r="C287" s="4">
        <f t="shared" si="76"/>
        <v>4</v>
      </c>
      <c r="D287" s="4"/>
      <c r="E287" s="5">
        <f>E283</f>
        <v>43924.75</v>
      </c>
      <c r="F287" s="4">
        <f t="shared" si="74"/>
        <v>105</v>
      </c>
      <c r="G287" s="4" t="s">
        <v>10</v>
      </c>
      <c r="H287" s="4" t="s">
        <v>13</v>
      </c>
      <c r="I287" s="4">
        <f t="shared" si="75"/>
        <v>6</v>
      </c>
    </row>
    <row r="288" spans="1:9" ht="15.75" thickBot="1" x14ac:dyDescent="0.3">
      <c r="A288" s="7">
        <f t="shared" si="79"/>
        <v>287</v>
      </c>
      <c r="B288" s="8" t="str">
        <f t="shared" si="73"/>
        <v>2</v>
      </c>
      <c r="C288" s="8">
        <f t="shared" si="76"/>
        <v>4</v>
      </c>
      <c r="D288" s="8"/>
      <c r="E288" s="9">
        <f>E287+F287/60/24</f>
        <v>43924.822916666664</v>
      </c>
      <c r="F288" s="8">
        <f t="shared" si="74"/>
        <v>105</v>
      </c>
      <c r="G288" s="8" t="s">
        <v>10</v>
      </c>
      <c r="H288" s="8" t="s">
        <v>13</v>
      </c>
      <c r="I288" s="8">
        <f t="shared" si="75"/>
        <v>6</v>
      </c>
    </row>
    <row r="289" spans="1:9" x14ac:dyDescent="0.25">
      <c r="A289" s="3">
        <f>A288+1</f>
        <v>288</v>
      </c>
      <c r="B289" s="4" t="str">
        <f t="shared" si="73"/>
        <v>1</v>
      </c>
      <c r="C289" s="4">
        <f t="shared" si="76"/>
        <v>5</v>
      </c>
      <c r="D289" s="4"/>
      <c r="E289" s="5">
        <f>E283</f>
        <v>43924.75</v>
      </c>
      <c r="F289" s="4">
        <f t="shared" si="74"/>
        <v>90</v>
      </c>
      <c r="G289" s="4" t="s">
        <v>16</v>
      </c>
      <c r="H289" s="4" t="s">
        <v>11</v>
      </c>
      <c r="I289" s="4">
        <f t="shared" si="75"/>
        <v>6</v>
      </c>
    </row>
    <row r="290" spans="1:9" ht="15.75" thickBot="1" x14ac:dyDescent="0.3">
      <c r="A290" s="7">
        <f t="shared" si="79"/>
        <v>289</v>
      </c>
      <c r="B290" s="8" t="str">
        <f t="shared" si="73"/>
        <v>1</v>
      </c>
      <c r="C290" s="8">
        <f t="shared" si="76"/>
        <v>5</v>
      </c>
      <c r="D290" s="8"/>
      <c r="E290" s="9">
        <f>E289+F289/60/24</f>
        <v>43924.8125</v>
      </c>
      <c r="F290" s="8">
        <f t="shared" si="74"/>
        <v>90</v>
      </c>
      <c r="G290" s="8" t="s">
        <v>16</v>
      </c>
      <c r="H290" s="8" t="s">
        <v>11</v>
      </c>
      <c r="I290" s="8">
        <f t="shared" si="75"/>
        <v>6</v>
      </c>
    </row>
    <row r="291" spans="1:9" x14ac:dyDescent="0.25">
      <c r="A291" s="3">
        <f>A290+1</f>
        <v>290</v>
      </c>
      <c r="B291" s="4" t="str">
        <f t="shared" si="73"/>
        <v>5</v>
      </c>
      <c r="C291" s="4">
        <f t="shared" si="76"/>
        <v>5</v>
      </c>
      <c r="D291" s="4"/>
      <c r="E291" s="5">
        <f>E283</f>
        <v>43924.75</v>
      </c>
      <c r="F291" s="4">
        <f t="shared" si="74"/>
        <v>90</v>
      </c>
      <c r="G291" s="4" t="s">
        <v>17</v>
      </c>
      <c r="H291" s="4" t="s">
        <v>11</v>
      </c>
      <c r="I291" s="4">
        <f t="shared" si="75"/>
        <v>6</v>
      </c>
    </row>
    <row r="292" spans="1:9" ht="15.75" thickBot="1" x14ac:dyDescent="0.3">
      <c r="A292" s="7">
        <f t="shared" si="79"/>
        <v>291</v>
      </c>
      <c r="B292" s="8" t="str">
        <f t="shared" si="73"/>
        <v>5</v>
      </c>
      <c r="C292" s="8">
        <f t="shared" si="76"/>
        <v>4</v>
      </c>
      <c r="D292" s="8"/>
      <c r="E292" s="9">
        <f>E291+F291/60/24</f>
        <v>43924.8125</v>
      </c>
      <c r="F292" s="8">
        <f t="shared" si="74"/>
        <v>105</v>
      </c>
      <c r="G292" s="8" t="s">
        <v>17</v>
      </c>
      <c r="H292" s="8" t="s">
        <v>13</v>
      </c>
      <c r="I292" s="8">
        <f t="shared" si="75"/>
        <v>6</v>
      </c>
    </row>
    <row r="293" spans="1:9" x14ac:dyDescent="0.25">
      <c r="A293" s="3">
        <f>A292+1</f>
        <v>292</v>
      </c>
      <c r="B293" s="4" t="str">
        <f t="shared" si="73"/>
        <v>6</v>
      </c>
      <c r="C293" s="4">
        <f t="shared" si="76"/>
        <v>3</v>
      </c>
      <c r="D293" s="4"/>
      <c r="E293" s="5">
        <f>E283</f>
        <v>43924.75</v>
      </c>
      <c r="F293" s="4">
        <f t="shared" si="74"/>
        <v>105</v>
      </c>
      <c r="G293" s="4" t="s">
        <v>18</v>
      </c>
      <c r="H293" s="4" t="s">
        <v>12</v>
      </c>
      <c r="I293" s="4">
        <f t="shared" si="75"/>
        <v>6</v>
      </c>
    </row>
    <row r="294" spans="1:9" ht="15.75" thickBot="1" x14ac:dyDescent="0.3">
      <c r="A294" s="10">
        <f t="shared" si="79"/>
        <v>293</v>
      </c>
      <c r="B294" s="11" t="str">
        <f t="shared" si="73"/>
        <v>6</v>
      </c>
      <c r="C294" s="11">
        <f t="shared" si="76"/>
        <v>3</v>
      </c>
      <c r="D294" s="11"/>
      <c r="E294" s="12">
        <f>E293+F293/60/24</f>
        <v>43924.822916666664</v>
      </c>
      <c r="F294" s="11">
        <f t="shared" si="74"/>
        <v>105</v>
      </c>
      <c r="G294" s="11" t="s">
        <v>18</v>
      </c>
      <c r="H294" s="11" t="s">
        <v>12</v>
      </c>
      <c r="I294" s="11">
        <f t="shared" si="75"/>
        <v>6</v>
      </c>
    </row>
    <row r="295" spans="1:9" x14ac:dyDescent="0.25">
      <c r="A295" s="3">
        <f>A294+1</f>
        <v>294</v>
      </c>
      <c r="B295" s="4" t="str">
        <f t="shared" si="73"/>
        <v>7</v>
      </c>
      <c r="C295" s="4">
        <f t="shared" si="76"/>
        <v>5</v>
      </c>
      <c r="D295" s="4"/>
      <c r="E295" s="5">
        <f>E283</f>
        <v>43924.75</v>
      </c>
      <c r="F295" s="4">
        <f t="shared" si="74"/>
        <v>90</v>
      </c>
      <c r="G295" s="4" t="s">
        <v>19</v>
      </c>
      <c r="H295" s="4" t="s">
        <v>11</v>
      </c>
      <c r="I295" s="4">
        <f t="shared" si="75"/>
        <v>6</v>
      </c>
    </row>
    <row r="296" spans="1:9" ht="15.75" thickBot="1" x14ac:dyDescent="0.3">
      <c r="A296" s="7">
        <f t="shared" ref="A296" si="80">A295+1</f>
        <v>295</v>
      </c>
      <c r="B296" s="8" t="str">
        <f t="shared" si="73"/>
        <v>7</v>
      </c>
      <c r="C296" s="8">
        <f t="shared" si="76"/>
        <v>4</v>
      </c>
      <c r="D296" s="8"/>
      <c r="E296" s="9">
        <f>E295+F295/60/24</f>
        <v>43924.8125</v>
      </c>
      <c r="F296" s="8">
        <f t="shared" si="74"/>
        <v>105</v>
      </c>
      <c r="G296" s="8" t="s">
        <v>19</v>
      </c>
      <c r="H296" s="8" t="s">
        <v>13</v>
      </c>
      <c r="I296" s="8">
        <f t="shared" si="75"/>
        <v>6</v>
      </c>
    </row>
    <row r="297" spans="1:9" x14ac:dyDescent="0.25">
      <c r="A297" s="3">
        <f>A296+1</f>
        <v>296</v>
      </c>
      <c r="B297" s="4" t="str">
        <f t="shared" si="73"/>
        <v>8</v>
      </c>
      <c r="C297" s="4">
        <f t="shared" si="76"/>
        <v>5</v>
      </c>
      <c r="D297" s="4"/>
      <c r="E297" s="5">
        <f>E283</f>
        <v>43924.75</v>
      </c>
      <c r="F297" s="4">
        <f t="shared" si="74"/>
        <v>90</v>
      </c>
      <c r="G297" s="4" t="s">
        <v>20</v>
      </c>
      <c r="H297" s="4" t="s">
        <v>11</v>
      </c>
      <c r="I297" s="4">
        <f t="shared" si="75"/>
        <v>6</v>
      </c>
    </row>
    <row r="298" spans="1:9" ht="15.75" thickBot="1" x14ac:dyDescent="0.3">
      <c r="A298" s="10">
        <f t="shared" ref="A298" si="81">A297+1</f>
        <v>297</v>
      </c>
      <c r="B298" s="11" t="str">
        <f t="shared" si="73"/>
        <v>8</v>
      </c>
      <c r="C298" s="11">
        <f t="shared" si="76"/>
        <v>4</v>
      </c>
      <c r="D298" s="11"/>
      <c r="E298" s="12">
        <f>E297+F297/60/24</f>
        <v>43924.8125</v>
      </c>
      <c r="F298" s="11">
        <f t="shared" si="74"/>
        <v>105</v>
      </c>
      <c r="G298" s="11" t="s">
        <v>20</v>
      </c>
      <c r="H298" s="11" t="s">
        <v>13</v>
      </c>
      <c r="I298" s="11">
        <f t="shared" si="75"/>
        <v>6</v>
      </c>
    </row>
    <row r="299" spans="1:9" x14ac:dyDescent="0.25">
      <c r="A299" s="3">
        <f>A298+1</f>
        <v>298</v>
      </c>
      <c r="B299" s="4" t="str">
        <f t="shared" si="73"/>
        <v>4</v>
      </c>
      <c r="C299" s="4">
        <f t="shared" si="76"/>
        <v>1</v>
      </c>
      <c r="D299" s="4"/>
      <c r="E299" s="5">
        <v>43925.375</v>
      </c>
      <c r="F299" s="4">
        <f t="shared" si="74"/>
        <v>120</v>
      </c>
      <c r="G299" s="4" t="s">
        <v>8</v>
      </c>
      <c r="H299" s="4" t="s">
        <v>8</v>
      </c>
      <c r="I299" s="4">
        <f t="shared" si="75"/>
        <v>7</v>
      </c>
    </row>
    <row r="300" spans="1:9" x14ac:dyDescent="0.25">
      <c r="A300" s="7">
        <f>A299+1</f>
        <v>299</v>
      </c>
      <c r="B300" s="8" t="str">
        <f t="shared" si="73"/>
        <v>4</v>
      </c>
      <c r="C300" s="8">
        <f t="shared" si="76"/>
        <v>1</v>
      </c>
      <c r="D300" s="8"/>
      <c r="E300" s="9">
        <f>E299+F299/60/24</f>
        <v>43925.458333333336</v>
      </c>
      <c r="F300" s="8">
        <f t="shared" si="74"/>
        <v>120</v>
      </c>
      <c r="G300" s="8" t="s">
        <v>8</v>
      </c>
      <c r="H300" s="8" t="s">
        <v>8</v>
      </c>
      <c r="I300" s="8">
        <f t="shared" si="75"/>
        <v>7</v>
      </c>
    </row>
    <row r="301" spans="1:9" x14ac:dyDescent="0.25">
      <c r="A301" s="7">
        <f t="shared" ref="A301:A342" si="82">A300+1</f>
        <v>300</v>
      </c>
      <c r="B301" s="8" t="str">
        <f t="shared" si="73"/>
        <v>4</v>
      </c>
      <c r="C301" s="8">
        <f t="shared" si="76"/>
        <v>1</v>
      </c>
      <c r="D301" s="8"/>
      <c r="E301" s="9">
        <f>E300+F300/60/24</f>
        <v>43925.541666666672</v>
      </c>
      <c r="F301" s="8">
        <f t="shared" si="74"/>
        <v>120</v>
      </c>
      <c r="G301" s="8" t="s">
        <v>8</v>
      </c>
      <c r="H301" s="8" t="s">
        <v>8</v>
      </c>
      <c r="I301" s="8">
        <f t="shared" si="75"/>
        <v>7</v>
      </c>
    </row>
    <row r="302" spans="1:9" x14ac:dyDescent="0.25">
      <c r="A302" s="7">
        <f t="shared" si="82"/>
        <v>301</v>
      </c>
      <c r="B302" s="8" t="str">
        <f t="shared" si="73"/>
        <v>4</v>
      </c>
      <c r="C302" s="8">
        <f t="shared" si="76"/>
        <v>1</v>
      </c>
      <c r="D302" s="8"/>
      <c r="E302" s="9">
        <f>E301+F301/60/24</f>
        <v>43925.625000000007</v>
      </c>
      <c r="F302" s="8">
        <f t="shared" si="74"/>
        <v>120</v>
      </c>
      <c r="G302" s="8" t="s">
        <v>8</v>
      </c>
      <c r="H302" s="8" t="s">
        <v>8</v>
      </c>
      <c r="I302" s="8">
        <f t="shared" si="75"/>
        <v>7</v>
      </c>
    </row>
    <row r="303" spans="1:9" ht="15.75" thickBot="1" x14ac:dyDescent="0.3">
      <c r="A303" s="10">
        <f t="shared" si="82"/>
        <v>302</v>
      </c>
      <c r="B303" s="11" t="str">
        <f t="shared" si="73"/>
        <v>4</v>
      </c>
      <c r="C303" s="11">
        <f t="shared" si="76"/>
        <v>1</v>
      </c>
      <c r="D303" s="11"/>
      <c r="E303" s="12">
        <f>E302+F302/60/24</f>
        <v>43925.708333333343</v>
      </c>
      <c r="F303" s="11">
        <f t="shared" si="74"/>
        <v>120</v>
      </c>
      <c r="G303" s="11" t="s">
        <v>8</v>
      </c>
      <c r="H303" s="11" t="s">
        <v>8</v>
      </c>
      <c r="I303" s="11">
        <f t="shared" si="75"/>
        <v>7</v>
      </c>
    </row>
    <row r="304" spans="1:9" x14ac:dyDescent="0.25">
      <c r="A304" s="3">
        <f t="shared" si="82"/>
        <v>303</v>
      </c>
      <c r="B304" s="4" t="str">
        <f t="shared" si="73"/>
        <v>3</v>
      </c>
      <c r="C304" s="8" t="s">
        <v>50</v>
      </c>
      <c r="D304" s="4"/>
      <c r="E304" s="5">
        <f>E299</f>
        <v>43925.375</v>
      </c>
      <c r="F304" s="4">
        <f t="shared" si="74"/>
        <v>120</v>
      </c>
      <c r="G304" s="4" t="s">
        <v>9</v>
      </c>
      <c r="H304" s="4" t="s">
        <v>9</v>
      </c>
      <c r="I304" s="4">
        <f t="shared" si="75"/>
        <v>7</v>
      </c>
    </row>
    <row r="305" spans="1:9" x14ac:dyDescent="0.25">
      <c r="A305" s="7">
        <f t="shared" si="82"/>
        <v>304</v>
      </c>
      <c r="B305" s="8" t="str">
        <f t="shared" si="73"/>
        <v>3</v>
      </c>
      <c r="C305" s="8" t="s">
        <v>50</v>
      </c>
      <c r="D305" s="8"/>
      <c r="E305" s="9">
        <f>E304+F304/60/24</f>
        <v>43925.458333333336</v>
      </c>
      <c r="F305" s="8">
        <f t="shared" si="74"/>
        <v>120</v>
      </c>
      <c r="G305" s="8" t="s">
        <v>9</v>
      </c>
      <c r="H305" s="8" t="s">
        <v>9</v>
      </c>
      <c r="I305" s="8">
        <f t="shared" si="75"/>
        <v>7</v>
      </c>
    </row>
    <row r="306" spans="1:9" x14ac:dyDescent="0.25">
      <c r="A306" s="7">
        <f t="shared" si="82"/>
        <v>305</v>
      </c>
      <c r="B306" s="8" t="str">
        <f t="shared" si="73"/>
        <v>3</v>
      </c>
      <c r="C306" s="8" t="s">
        <v>50</v>
      </c>
      <c r="D306" s="8"/>
      <c r="E306" s="9">
        <f t="shared" ref="E306:E308" si="83">E305+F305/60/24</f>
        <v>43925.541666666672</v>
      </c>
      <c r="F306" s="8">
        <f t="shared" si="74"/>
        <v>120</v>
      </c>
      <c r="G306" s="8" t="s">
        <v>9</v>
      </c>
      <c r="H306" s="8" t="s">
        <v>9</v>
      </c>
      <c r="I306" s="8">
        <f t="shared" si="75"/>
        <v>7</v>
      </c>
    </row>
    <row r="307" spans="1:9" x14ac:dyDescent="0.25">
      <c r="A307" s="7">
        <f t="shared" si="82"/>
        <v>306</v>
      </c>
      <c r="B307" s="8" t="str">
        <f t="shared" si="73"/>
        <v>3</v>
      </c>
      <c r="C307" s="8" t="s">
        <v>50</v>
      </c>
      <c r="D307" s="8"/>
      <c r="E307" s="9">
        <f t="shared" si="83"/>
        <v>43925.625000000007</v>
      </c>
      <c r="F307" s="8">
        <f t="shared" si="74"/>
        <v>120</v>
      </c>
      <c r="G307" s="8" t="s">
        <v>9</v>
      </c>
      <c r="H307" s="8" t="s">
        <v>9</v>
      </c>
      <c r="I307" s="8">
        <f t="shared" si="75"/>
        <v>7</v>
      </c>
    </row>
    <row r="308" spans="1:9" ht="15.75" thickBot="1" x14ac:dyDescent="0.3">
      <c r="A308" s="10">
        <f t="shared" si="82"/>
        <v>307</v>
      </c>
      <c r="B308" s="11" t="str">
        <f t="shared" si="73"/>
        <v>3</v>
      </c>
      <c r="C308" s="8" t="s">
        <v>50</v>
      </c>
      <c r="D308" s="11"/>
      <c r="E308" s="9">
        <f t="shared" si="83"/>
        <v>43925.708333333343</v>
      </c>
      <c r="F308" s="11">
        <f t="shared" si="74"/>
        <v>120</v>
      </c>
      <c r="G308" s="11" t="s">
        <v>9</v>
      </c>
      <c r="H308" s="11" t="s">
        <v>9</v>
      </c>
      <c r="I308" s="11">
        <f t="shared" si="75"/>
        <v>7</v>
      </c>
    </row>
    <row r="309" spans="1:9" x14ac:dyDescent="0.25">
      <c r="A309" s="3">
        <f t="shared" si="82"/>
        <v>308</v>
      </c>
      <c r="B309" s="4" t="str">
        <f t="shared" si="73"/>
        <v>2</v>
      </c>
      <c r="C309" s="4">
        <f t="shared" si="76"/>
        <v>6</v>
      </c>
      <c r="D309" s="4"/>
      <c r="E309" s="5">
        <f>E299</f>
        <v>43925.375</v>
      </c>
      <c r="F309" s="4">
        <f t="shared" si="74"/>
        <v>60</v>
      </c>
      <c r="G309" s="4" t="s">
        <v>10</v>
      </c>
      <c r="H309" s="4" t="s">
        <v>14</v>
      </c>
      <c r="I309" s="4">
        <f t="shared" si="75"/>
        <v>7</v>
      </c>
    </row>
    <row r="310" spans="1:9" x14ac:dyDescent="0.25">
      <c r="A310" s="7">
        <f t="shared" si="82"/>
        <v>309</v>
      </c>
      <c r="B310" s="8" t="str">
        <f t="shared" si="73"/>
        <v>2</v>
      </c>
      <c r="C310" s="8">
        <f t="shared" si="76"/>
        <v>4</v>
      </c>
      <c r="D310" s="8"/>
      <c r="E310" s="9">
        <f>E309+F309/60/24</f>
        <v>43925.416666666664</v>
      </c>
      <c r="F310" s="8">
        <f t="shared" si="74"/>
        <v>105</v>
      </c>
      <c r="G310" s="8" t="s">
        <v>10</v>
      </c>
      <c r="H310" s="8" t="s">
        <v>13</v>
      </c>
      <c r="I310" s="8">
        <f t="shared" si="75"/>
        <v>7</v>
      </c>
    </row>
    <row r="311" spans="1:9" x14ac:dyDescent="0.25">
      <c r="A311" s="7">
        <f t="shared" si="82"/>
        <v>310</v>
      </c>
      <c r="B311" s="8" t="str">
        <f t="shared" si="73"/>
        <v>2</v>
      </c>
      <c r="C311" s="8">
        <f t="shared" si="76"/>
        <v>4</v>
      </c>
      <c r="D311" s="8"/>
      <c r="E311" s="9">
        <f t="shared" ref="E311:E314" si="84">E310+F310/60/24</f>
        <v>43925.489583333328</v>
      </c>
      <c r="F311" s="8">
        <f t="shared" si="74"/>
        <v>105</v>
      </c>
      <c r="G311" s="8" t="s">
        <v>10</v>
      </c>
      <c r="H311" s="8" t="s">
        <v>13</v>
      </c>
      <c r="I311" s="8">
        <f t="shared" si="75"/>
        <v>7</v>
      </c>
    </row>
    <row r="312" spans="1:9" x14ac:dyDescent="0.25">
      <c r="A312" s="7">
        <f t="shared" si="82"/>
        <v>311</v>
      </c>
      <c r="B312" s="8" t="str">
        <f t="shared" si="73"/>
        <v>2</v>
      </c>
      <c r="C312" s="8">
        <f t="shared" si="76"/>
        <v>4</v>
      </c>
      <c r="D312" s="8"/>
      <c r="E312" s="9">
        <f t="shared" si="84"/>
        <v>43925.562499999993</v>
      </c>
      <c r="F312" s="8">
        <f t="shared" si="74"/>
        <v>105</v>
      </c>
      <c r="G312" s="8" t="s">
        <v>10</v>
      </c>
      <c r="H312" s="8" t="s">
        <v>13</v>
      </c>
      <c r="I312" s="8">
        <f t="shared" si="75"/>
        <v>7</v>
      </c>
    </row>
    <row r="313" spans="1:9" x14ac:dyDescent="0.25">
      <c r="A313" s="7">
        <f t="shared" si="82"/>
        <v>312</v>
      </c>
      <c r="B313" s="8" t="str">
        <f t="shared" si="73"/>
        <v>2</v>
      </c>
      <c r="C313" s="8">
        <f t="shared" si="76"/>
        <v>4</v>
      </c>
      <c r="D313" s="8"/>
      <c r="E313" s="9">
        <f t="shared" si="84"/>
        <v>43925.635416666657</v>
      </c>
      <c r="F313" s="8">
        <f t="shared" si="74"/>
        <v>105</v>
      </c>
      <c r="G313" s="8" t="s">
        <v>10</v>
      </c>
      <c r="H313" s="8" t="s">
        <v>13</v>
      </c>
      <c r="I313" s="8">
        <f t="shared" si="75"/>
        <v>7</v>
      </c>
    </row>
    <row r="314" spans="1:9" ht="15.75" thickBot="1" x14ac:dyDescent="0.3">
      <c r="A314" s="10">
        <f t="shared" si="82"/>
        <v>313</v>
      </c>
      <c r="B314" s="11" t="str">
        <f t="shared" si="73"/>
        <v>2</v>
      </c>
      <c r="C314" s="11">
        <f t="shared" si="76"/>
        <v>4</v>
      </c>
      <c r="D314" s="11"/>
      <c r="E314" s="12">
        <f t="shared" si="84"/>
        <v>43925.708333333321</v>
      </c>
      <c r="F314" s="11">
        <f t="shared" si="74"/>
        <v>105</v>
      </c>
      <c r="G314" s="11" t="s">
        <v>10</v>
      </c>
      <c r="H314" s="11" t="s">
        <v>13</v>
      </c>
      <c r="I314" s="11">
        <f t="shared" si="75"/>
        <v>7</v>
      </c>
    </row>
    <row r="315" spans="1:9" x14ac:dyDescent="0.25">
      <c r="A315" s="3">
        <f t="shared" si="82"/>
        <v>314</v>
      </c>
      <c r="B315" s="4" t="str">
        <f t="shared" si="73"/>
        <v>1</v>
      </c>
      <c r="C315" s="4">
        <f t="shared" si="76"/>
        <v>7</v>
      </c>
      <c r="D315" s="4"/>
      <c r="E315" s="5">
        <f>E299</f>
        <v>43925.375</v>
      </c>
      <c r="F315" s="4">
        <f t="shared" si="74"/>
        <v>60</v>
      </c>
      <c r="G315" s="4" t="s">
        <v>16</v>
      </c>
      <c r="H315" s="4" t="s">
        <v>15</v>
      </c>
      <c r="I315" s="4">
        <f>WEEKDAY(E315)</f>
        <v>7</v>
      </c>
    </row>
    <row r="316" spans="1:9" x14ac:dyDescent="0.25">
      <c r="A316" s="7">
        <f t="shared" si="82"/>
        <v>315</v>
      </c>
      <c r="B316" s="8" t="str">
        <f t="shared" si="73"/>
        <v>1</v>
      </c>
      <c r="C316" s="8">
        <f t="shared" si="76"/>
        <v>6</v>
      </c>
      <c r="D316" s="8"/>
      <c r="E316" s="9">
        <f>E315+F315/60/24</f>
        <v>43925.416666666664</v>
      </c>
      <c r="F316" s="8">
        <f t="shared" si="74"/>
        <v>60</v>
      </c>
      <c r="G316" s="8" t="s">
        <v>16</v>
      </c>
      <c r="H316" s="8" t="s">
        <v>14</v>
      </c>
      <c r="I316" s="8">
        <f>WEEKDAY(E316)</f>
        <v>7</v>
      </c>
    </row>
    <row r="317" spans="1:9" x14ac:dyDescent="0.25">
      <c r="A317" s="7">
        <f t="shared" si="82"/>
        <v>316</v>
      </c>
      <c r="B317" s="8" t="str">
        <f t="shared" si="73"/>
        <v>1</v>
      </c>
      <c r="C317" s="8">
        <f t="shared" si="76"/>
        <v>5</v>
      </c>
      <c r="D317" s="8"/>
      <c r="E317" s="9">
        <f t="shared" ref="E317:E321" si="85">E316+F316/60/24</f>
        <v>43925.458333333328</v>
      </c>
      <c r="F317" s="8">
        <f t="shared" si="74"/>
        <v>90</v>
      </c>
      <c r="G317" s="8" t="s">
        <v>16</v>
      </c>
      <c r="H317" s="8" t="s">
        <v>11</v>
      </c>
      <c r="I317" s="8">
        <f>WEEKDAY(E317)</f>
        <v>7</v>
      </c>
    </row>
    <row r="318" spans="1:9" x14ac:dyDescent="0.25">
      <c r="A318" s="7">
        <f t="shared" si="82"/>
        <v>317</v>
      </c>
      <c r="B318" s="8" t="str">
        <f t="shared" si="73"/>
        <v>1</v>
      </c>
      <c r="C318" s="8">
        <f t="shared" si="76"/>
        <v>5</v>
      </c>
      <c r="D318" s="8"/>
      <c r="E318" s="9">
        <f t="shared" si="85"/>
        <v>43925.520833333328</v>
      </c>
      <c r="F318" s="8">
        <f t="shared" si="74"/>
        <v>90</v>
      </c>
      <c r="G318" s="8" t="s">
        <v>16</v>
      </c>
      <c r="H318" s="8" t="s">
        <v>11</v>
      </c>
      <c r="I318" s="8">
        <f>WEEKDAY(E318)</f>
        <v>7</v>
      </c>
    </row>
    <row r="319" spans="1:9" x14ac:dyDescent="0.25">
      <c r="A319" s="7">
        <f t="shared" si="82"/>
        <v>318</v>
      </c>
      <c r="B319" s="8" t="str">
        <f t="shared" si="73"/>
        <v>1</v>
      </c>
      <c r="C319" s="8">
        <f t="shared" si="76"/>
        <v>5</v>
      </c>
      <c r="D319" s="8"/>
      <c r="E319" s="9">
        <f t="shared" si="85"/>
        <v>43925.583333333328</v>
      </c>
      <c r="F319" s="8">
        <f t="shared" si="74"/>
        <v>90</v>
      </c>
      <c r="G319" s="8" t="s">
        <v>16</v>
      </c>
      <c r="H319" s="8" t="s">
        <v>11</v>
      </c>
      <c r="I319" s="8">
        <f t="shared" ref="I319:I321" si="86">WEEKDAY(E319)</f>
        <v>7</v>
      </c>
    </row>
    <row r="320" spans="1:9" x14ac:dyDescent="0.25">
      <c r="A320" s="7">
        <f t="shared" si="82"/>
        <v>319</v>
      </c>
      <c r="B320" s="8" t="str">
        <f t="shared" si="73"/>
        <v>1</v>
      </c>
      <c r="C320" s="8">
        <f t="shared" si="76"/>
        <v>5</v>
      </c>
      <c r="D320" s="8"/>
      <c r="E320" s="9">
        <f t="shared" si="85"/>
        <v>43925.645833333328</v>
      </c>
      <c r="F320" s="8">
        <f t="shared" si="74"/>
        <v>90</v>
      </c>
      <c r="G320" s="8" t="s">
        <v>16</v>
      </c>
      <c r="H320" s="8" t="s">
        <v>11</v>
      </c>
      <c r="I320" s="8">
        <f t="shared" si="86"/>
        <v>7</v>
      </c>
    </row>
    <row r="321" spans="1:9" ht="15.75" thickBot="1" x14ac:dyDescent="0.3">
      <c r="A321" s="10">
        <f t="shared" si="82"/>
        <v>320</v>
      </c>
      <c r="B321" s="11" t="str">
        <f t="shared" si="73"/>
        <v>1</v>
      </c>
      <c r="C321" s="11">
        <f t="shared" si="76"/>
        <v>5</v>
      </c>
      <c r="D321" s="11"/>
      <c r="E321" s="9">
        <f t="shared" si="85"/>
        <v>43925.708333333328</v>
      </c>
      <c r="F321" s="11">
        <f t="shared" si="74"/>
        <v>90</v>
      </c>
      <c r="G321" s="11" t="s">
        <v>16</v>
      </c>
      <c r="H321" s="11" t="s">
        <v>11</v>
      </c>
      <c r="I321" s="11">
        <f t="shared" si="86"/>
        <v>7</v>
      </c>
    </row>
    <row r="322" spans="1:9" x14ac:dyDescent="0.25">
      <c r="A322" s="3">
        <f t="shared" si="82"/>
        <v>321</v>
      </c>
      <c r="B322" s="4" t="str">
        <f t="shared" ref="B322:B385" si="87">VLOOKUP(G322,field_id,2,FALSE)</f>
        <v>5</v>
      </c>
      <c r="C322" s="4">
        <f t="shared" si="76"/>
        <v>6</v>
      </c>
      <c r="D322" s="4"/>
      <c r="E322" s="5">
        <f>E299</f>
        <v>43925.375</v>
      </c>
      <c r="F322" s="4">
        <f t="shared" ref="F322:F385" si="88">VLOOKUP(H322,GameDuration,2,FALSE)</f>
        <v>60</v>
      </c>
      <c r="G322" s="4" t="s">
        <v>17</v>
      </c>
      <c r="H322" s="4" t="s">
        <v>14</v>
      </c>
      <c r="I322" s="4">
        <f>WEEKDAY(E322)</f>
        <v>7</v>
      </c>
    </row>
    <row r="323" spans="1:9" x14ac:dyDescent="0.25">
      <c r="A323" s="7">
        <f t="shared" si="82"/>
        <v>322</v>
      </c>
      <c r="B323" s="8" t="str">
        <f t="shared" si="87"/>
        <v>5</v>
      </c>
      <c r="C323" s="8">
        <f t="shared" ref="C323:C342" si="89">VLOOKUP(H323,league_id,2,FALSE)</f>
        <v>5</v>
      </c>
      <c r="D323" s="8"/>
      <c r="E323" s="9">
        <f>E322+F322/60/24</f>
        <v>43925.416666666664</v>
      </c>
      <c r="F323" s="8">
        <f t="shared" si="88"/>
        <v>90</v>
      </c>
      <c r="G323" s="8" t="s">
        <v>17</v>
      </c>
      <c r="H323" s="8" t="s">
        <v>11</v>
      </c>
      <c r="I323" s="8">
        <f>WEEKDAY(E323)</f>
        <v>7</v>
      </c>
    </row>
    <row r="324" spans="1:9" x14ac:dyDescent="0.25">
      <c r="A324" s="7">
        <f t="shared" si="82"/>
        <v>323</v>
      </c>
      <c r="B324" s="8" t="str">
        <f t="shared" si="87"/>
        <v>5</v>
      </c>
      <c r="C324" s="8">
        <f t="shared" si="89"/>
        <v>4</v>
      </c>
      <c r="D324" s="8"/>
      <c r="E324" s="9">
        <f t="shared" ref="E324:E327" si="90">E323+F323/60/24</f>
        <v>43925.479166666664</v>
      </c>
      <c r="F324" s="8">
        <f t="shared" si="88"/>
        <v>105</v>
      </c>
      <c r="G324" s="8" t="s">
        <v>17</v>
      </c>
      <c r="H324" s="8" t="s">
        <v>13</v>
      </c>
      <c r="I324" s="8">
        <f>WEEKDAY(E324)</f>
        <v>7</v>
      </c>
    </row>
    <row r="325" spans="1:9" x14ac:dyDescent="0.25">
      <c r="A325" s="7">
        <f t="shared" si="82"/>
        <v>324</v>
      </c>
      <c r="B325" s="8" t="str">
        <f t="shared" si="87"/>
        <v>5</v>
      </c>
      <c r="C325" s="8">
        <f t="shared" si="89"/>
        <v>4</v>
      </c>
      <c r="D325" s="8"/>
      <c r="E325" s="9">
        <f t="shared" si="90"/>
        <v>43925.552083333328</v>
      </c>
      <c r="F325" s="8">
        <f t="shared" si="88"/>
        <v>105</v>
      </c>
      <c r="G325" s="8" t="s">
        <v>17</v>
      </c>
      <c r="H325" s="8" t="s">
        <v>13</v>
      </c>
      <c r="I325" s="8">
        <f>WEEKDAY(E325)</f>
        <v>7</v>
      </c>
    </row>
    <row r="326" spans="1:9" x14ac:dyDescent="0.25">
      <c r="A326" s="7">
        <f t="shared" si="82"/>
        <v>325</v>
      </c>
      <c r="B326" s="8" t="str">
        <f t="shared" si="87"/>
        <v>5</v>
      </c>
      <c r="C326" s="8">
        <f t="shared" si="89"/>
        <v>4</v>
      </c>
      <c r="D326" s="8"/>
      <c r="E326" s="9">
        <f t="shared" si="90"/>
        <v>43925.624999999993</v>
      </c>
      <c r="F326" s="8">
        <f t="shared" si="88"/>
        <v>105</v>
      </c>
      <c r="G326" s="8" t="s">
        <v>17</v>
      </c>
      <c r="H326" s="8" t="s">
        <v>13</v>
      </c>
      <c r="I326" s="8">
        <f t="shared" ref="I326:I327" si="91">WEEKDAY(E326)</f>
        <v>7</v>
      </c>
    </row>
    <row r="327" spans="1:9" ht="15.75" thickBot="1" x14ac:dyDescent="0.3">
      <c r="A327" s="10">
        <f t="shared" si="82"/>
        <v>326</v>
      </c>
      <c r="B327" s="11" t="str">
        <f t="shared" si="87"/>
        <v>5</v>
      </c>
      <c r="C327" s="11">
        <f t="shared" si="89"/>
        <v>4</v>
      </c>
      <c r="D327" s="11"/>
      <c r="E327" s="12">
        <f t="shared" si="90"/>
        <v>43925.697916666657</v>
      </c>
      <c r="F327" s="11">
        <f t="shared" si="88"/>
        <v>105</v>
      </c>
      <c r="G327" s="11" t="s">
        <v>17</v>
      </c>
      <c r="H327" s="11" t="s">
        <v>13</v>
      </c>
      <c r="I327" s="11">
        <f t="shared" si="91"/>
        <v>7</v>
      </c>
    </row>
    <row r="328" spans="1:9" x14ac:dyDescent="0.25">
      <c r="A328" s="3">
        <f t="shared" si="82"/>
        <v>327</v>
      </c>
      <c r="B328" s="4" t="str">
        <f t="shared" si="87"/>
        <v>6</v>
      </c>
      <c r="C328" s="4">
        <f t="shared" si="89"/>
        <v>4</v>
      </c>
      <c r="D328" s="4"/>
      <c r="E328" s="5">
        <f>E299</f>
        <v>43925.375</v>
      </c>
      <c r="F328" s="4">
        <f t="shared" si="88"/>
        <v>105</v>
      </c>
      <c r="G328" s="4" t="s">
        <v>18</v>
      </c>
      <c r="H328" s="4" t="s">
        <v>13</v>
      </c>
      <c r="I328" s="4">
        <f>WEEKDAY(E328)</f>
        <v>7</v>
      </c>
    </row>
    <row r="329" spans="1:9" x14ac:dyDescent="0.25">
      <c r="A329" s="7">
        <f t="shared" si="82"/>
        <v>328</v>
      </c>
      <c r="B329" s="8" t="str">
        <f t="shared" si="87"/>
        <v>6</v>
      </c>
      <c r="C329" s="8" t="s">
        <v>50</v>
      </c>
      <c r="D329" s="8"/>
      <c r="E329" s="9">
        <f>E328+F328/60/24</f>
        <v>43925.447916666664</v>
      </c>
      <c r="F329" s="8">
        <f t="shared" si="88"/>
        <v>105</v>
      </c>
      <c r="G329" s="8" t="s">
        <v>18</v>
      </c>
      <c r="H329" s="8" t="s">
        <v>12</v>
      </c>
      <c r="I329" s="8">
        <f>WEEKDAY(E329)</f>
        <v>7</v>
      </c>
    </row>
    <row r="330" spans="1:9" x14ac:dyDescent="0.25">
      <c r="A330" s="7">
        <f t="shared" si="82"/>
        <v>329</v>
      </c>
      <c r="B330" s="8" t="str">
        <f t="shared" si="87"/>
        <v>6</v>
      </c>
      <c r="C330" s="8" t="s">
        <v>50</v>
      </c>
      <c r="D330" s="8"/>
      <c r="E330" s="9">
        <f t="shared" ref="E330:E332" si="92">E329+F329/60/24</f>
        <v>43925.520833333328</v>
      </c>
      <c r="F330" s="8">
        <f t="shared" si="88"/>
        <v>105</v>
      </c>
      <c r="G330" s="8" t="s">
        <v>18</v>
      </c>
      <c r="H330" s="8" t="s">
        <v>12</v>
      </c>
      <c r="I330" s="8">
        <f>WEEKDAY(E330)</f>
        <v>7</v>
      </c>
    </row>
    <row r="331" spans="1:9" x14ac:dyDescent="0.25">
      <c r="A331" s="7">
        <f t="shared" si="82"/>
        <v>330</v>
      </c>
      <c r="B331" s="8" t="str">
        <f t="shared" si="87"/>
        <v>6</v>
      </c>
      <c r="C331" s="8" t="s">
        <v>50</v>
      </c>
      <c r="D331" s="8"/>
      <c r="E331" s="9">
        <f t="shared" si="92"/>
        <v>43925.593749999993</v>
      </c>
      <c r="F331" s="8">
        <f t="shared" si="88"/>
        <v>105</v>
      </c>
      <c r="G331" s="8" t="s">
        <v>18</v>
      </c>
      <c r="H331" s="8" t="s">
        <v>12</v>
      </c>
      <c r="I331" s="8">
        <f>WEEKDAY(E331)</f>
        <v>7</v>
      </c>
    </row>
    <row r="332" spans="1:9" ht="15.75" thickBot="1" x14ac:dyDescent="0.3">
      <c r="A332" s="10">
        <f t="shared" si="82"/>
        <v>331</v>
      </c>
      <c r="B332" s="11" t="str">
        <f t="shared" si="87"/>
        <v>6</v>
      </c>
      <c r="C332" s="8" t="s">
        <v>50</v>
      </c>
      <c r="D332" s="11"/>
      <c r="E332" s="12">
        <f t="shared" si="92"/>
        <v>43925.666666666657</v>
      </c>
      <c r="F332" s="11">
        <f t="shared" si="88"/>
        <v>105</v>
      </c>
      <c r="G332" s="11" t="s">
        <v>18</v>
      </c>
      <c r="H332" s="11" t="s">
        <v>12</v>
      </c>
      <c r="I332" s="11">
        <f t="shared" ref="I332" si="93">WEEKDAY(E332)</f>
        <v>7</v>
      </c>
    </row>
    <row r="333" spans="1:9" x14ac:dyDescent="0.25">
      <c r="A333" s="3">
        <f t="shared" si="82"/>
        <v>332</v>
      </c>
      <c r="B333" s="4" t="str">
        <f t="shared" si="87"/>
        <v>7</v>
      </c>
      <c r="C333" s="4">
        <f t="shared" si="89"/>
        <v>6</v>
      </c>
      <c r="D333" s="4"/>
      <c r="E333" s="5">
        <f>E299</f>
        <v>43925.375</v>
      </c>
      <c r="F333" s="4">
        <f t="shared" si="88"/>
        <v>60</v>
      </c>
      <c r="G333" s="4" t="s">
        <v>19</v>
      </c>
      <c r="H333" s="4" t="s">
        <v>14</v>
      </c>
      <c r="I333" s="4">
        <f>WEEKDAY(E333)</f>
        <v>7</v>
      </c>
    </row>
    <row r="334" spans="1:9" x14ac:dyDescent="0.25">
      <c r="A334" s="7">
        <f t="shared" si="82"/>
        <v>333</v>
      </c>
      <c r="B334" s="8" t="str">
        <f t="shared" si="87"/>
        <v>7</v>
      </c>
      <c r="C334" s="8">
        <f t="shared" si="89"/>
        <v>3</v>
      </c>
      <c r="D334" s="8"/>
      <c r="E334" s="9">
        <f>E333+F333/60/24</f>
        <v>43925.416666666664</v>
      </c>
      <c r="F334" s="8">
        <f t="shared" si="88"/>
        <v>105</v>
      </c>
      <c r="G334" s="8" t="s">
        <v>19</v>
      </c>
      <c r="H334" s="8" t="s">
        <v>12</v>
      </c>
      <c r="I334" s="8">
        <f>WEEKDAY(E334)</f>
        <v>7</v>
      </c>
    </row>
    <row r="335" spans="1:9" x14ac:dyDescent="0.25">
      <c r="A335" s="7">
        <f t="shared" si="82"/>
        <v>334</v>
      </c>
      <c r="B335" s="8" t="str">
        <f t="shared" si="87"/>
        <v>7</v>
      </c>
      <c r="C335" s="8">
        <f t="shared" si="89"/>
        <v>3</v>
      </c>
      <c r="D335" s="8"/>
      <c r="E335" s="9">
        <f t="shared" ref="E335:E337" si="94">E334+F334/60/24</f>
        <v>43925.489583333328</v>
      </c>
      <c r="F335" s="8">
        <f t="shared" si="88"/>
        <v>105</v>
      </c>
      <c r="G335" s="8" t="s">
        <v>19</v>
      </c>
      <c r="H335" s="8" t="s">
        <v>12</v>
      </c>
      <c r="I335" s="8">
        <f>WEEKDAY(E335)</f>
        <v>7</v>
      </c>
    </row>
    <row r="336" spans="1:9" x14ac:dyDescent="0.25">
      <c r="A336" s="7">
        <f t="shared" si="82"/>
        <v>335</v>
      </c>
      <c r="B336" s="8" t="str">
        <f t="shared" si="87"/>
        <v>7</v>
      </c>
      <c r="C336" s="8" t="s">
        <v>50</v>
      </c>
      <c r="D336" s="8"/>
      <c r="E336" s="9">
        <f t="shared" si="94"/>
        <v>43925.562499999993</v>
      </c>
      <c r="F336" s="8">
        <f t="shared" si="88"/>
        <v>120</v>
      </c>
      <c r="G336" s="8" t="s">
        <v>19</v>
      </c>
      <c r="H336" s="8" t="s">
        <v>9</v>
      </c>
      <c r="I336" s="8">
        <f>WEEKDAY(E336)</f>
        <v>7</v>
      </c>
    </row>
    <row r="337" spans="1:9" ht="15.75" thickBot="1" x14ac:dyDescent="0.3">
      <c r="A337" s="10">
        <f t="shared" si="82"/>
        <v>336</v>
      </c>
      <c r="B337" s="11" t="str">
        <f t="shared" si="87"/>
        <v>7</v>
      </c>
      <c r="C337" s="8" t="s">
        <v>50</v>
      </c>
      <c r="D337" s="11"/>
      <c r="E337" s="12">
        <f t="shared" si="94"/>
        <v>43925.645833333328</v>
      </c>
      <c r="F337" s="11">
        <f t="shared" si="88"/>
        <v>120</v>
      </c>
      <c r="G337" s="11" t="s">
        <v>19</v>
      </c>
      <c r="H337" s="11" t="s">
        <v>9</v>
      </c>
      <c r="I337" s="11">
        <f t="shared" ref="I337" si="95">WEEKDAY(E337)</f>
        <v>7</v>
      </c>
    </row>
    <row r="338" spans="1:9" x14ac:dyDescent="0.25">
      <c r="A338" s="3">
        <f t="shared" si="82"/>
        <v>337</v>
      </c>
      <c r="B338" s="4" t="str">
        <f t="shared" si="87"/>
        <v>8</v>
      </c>
      <c r="C338" s="4">
        <f t="shared" si="89"/>
        <v>5</v>
      </c>
      <c r="D338" s="4"/>
      <c r="E338" s="5">
        <f>E299</f>
        <v>43925.375</v>
      </c>
      <c r="F338" s="4">
        <f t="shared" si="88"/>
        <v>90</v>
      </c>
      <c r="G338" s="4" t="s">
        <v>20</v>
      </c>
      <c r="H338" s="4" t="s">
        <v>11</v>
      </c>
      <c r="I338" s="4">
        <f>WEEKDAY(E338)</f>
        <v>7</v>
      </c>
    </row>
    <row r="339" spans="1:9" x14ac:dyDescent="0.25">
      <c r="A339" s="7">
        <f t="shared" si="82"/>
        <v>338</v>
      </c>
      <c r="B339" s="8" t="str">
        <f t="shared" si="87"/>
        <v>8</v>
      </c>
      <c r="C339" s="8">
        <f t="shared" si="89"/>
        <v>5</v>
      </c>
      <c r="D339" s="8"/>
      <c r="E339" s="9">
        <f>E338+F338/60/24</f>
        <v>43925.4375</v>
      </c>
      <c r="F339" s="8">
        <f t="shared" si="88"/>
        <v>90</v>
      </c>
      <c r="G339" s="8" t="s">
        <v>20</v>
      </c>
      <c r="H339" s="8" t="s">
        <v>11</v>
      </c>
      <c r="I339" s="8">
        <f>WEEKDAY(E339)</f>
        <v>7</v>
      </c>
    </row>
    <row r="340" spans="1:9" x14ac:dyDescent="0.25">
      <c r="A340" s="7">
        <f t="shared" si="82"/>
        <v>339</v>
      </c>
      <c r="B340" s="8" t="str">
        <f t="shared" si="87"/>
        <v>8</v>
      </c>
      <c r="C340" s="8">
        <f t="shared" si="89"/>
        <v>3</v>
      </c>
      <c r="D340" s="8"/>
      <c r="E340" s="9">
        <f t="shared" ref="E340:E342" si="96">E339+F339/60/24</f>
        <v>43925.5</v>
      </c>
      <c r="F340" s="8">
        <f t="shared" si="88"/>
        <v>105</v>
      </c>
      <c r="G340" s="8" t="s">
        <v>20</v>
      </c>
      <c r="H340" s="8" t="s">
        <v>12</v>
      </c>
      <c r="I340" s="8">
        <f>WEEKDAY(E340)</f>
        <v>7</v>
      </c>
    </row>
    <row r="341" spans="1:9" x14ac:dyDescent="0.25">
      <c r="A341" s="7">
        <f t="shared" si="82"/>
        <v>340</v>
      </c>
      <c r="B341" s="8" t="str">
        <f t="shared" si="87"/>
        <v>8</v>
      </c>
      <c r="C341" s="8" t="s">
        <v>50</v>
      </c>
      <c r="D341" s="8"/>
      <c r="E341" s="9">
        <f t="shared" si="96"/>
        <v>43925.572916666664</v>
      </c>
      <c r="F341" s="8">
        <f t="shared" si="88"/>
        <v>120</v>
      </c>
      <c r="G341" s="8" t="s">
        <v>20</v>
      </c>
      <c r="H341" s="8" t="s">
        <v>9</v>
      </c>
      <c r="I341" s="8">
        <f>WEEKDAY(E341)</f>
        <v>7</v>
      </c>
    </row>
    <row r="342" spans="1:9" ht="15.75" thickBot="1" x14ac:dyDescent="0.3">
      <c r="A342" s="10">
        <f t="shared" si="82"/>
        <v>341</v>
      </c>
      <c r="B342" s="11" t="str">
        <f t="shared" si="87"/>
        <v>8</v>
      </c>
      <c r="C342" s="8" t="s">
        <v>50</v>
      </c>
      <c r="D342" s="11"/>
      <c r="E342" s="12">
        <f t="shared" si="96"/>
        <v>43925.65625</v>
      </c>
      <c r="F342" s="11">
        <f t="shared" si="88"/>
        <v>120</v>
      </c>
      <c r="G342" s="11" t="s">
        <v>20</v>
      </c>
      <c r="H342" s="11" t="s">
        <v>9</v>
      </c>
      <c r="I342" s="11">
        <f t="shared" ref="I342:I398" si="97">WEEKDAY(E342)</f>
        <v>7</v>
      </c>
    </row>
    <row r="343" spans="1:9" x14ac:dyDescent="0.25">
      <c r="A343" s="3">
        <f>A342+1</f>
        <v>342</v>
      </c>
      <c r="B343" s="4" t="str">
        <f t="shared" si="87"/>
        <v>4</v>
      </c>
      <c r="C343" s="4">
        <f t="shared" ref="C343:C406" si="98">VLOOKUP(H343,league_id,2,FALSE)</f>
        <v>1</v>
      </c>
      <c r="D343" s="4"/>
      <c r="E343" s="5">
        <v>43936.75</v>
      </c>
      <c r="F343" s="4">
        <f t="shared" si="88"/>
        <v>120</v>
      </c>
      <c r="G343" s="4" t="s">
        <v>8</v>
      </c>
      <c r="H343" s="4" t="s">
        <v>8</v>
      </c>
      <c r="I343" s="4">
        <f t="shared" si="97"/>
        <v>4</v>
      </c>
    </row>
    <row r="344" spans="1:9" ht="15.75" thickBot="1" x14ac:dyDescent="0.3">
      <c r="A344" s="7">
        <f>A343+1</f>
        <v>343</v>
      </c>
      <c r="B344" s="8" t="str">
        <f t="shared" si="87"/>
        <v>4</v>
      </c>
      <c r="C344" s="8">
        <f t="shared" si="98"/>
        <v>1</v>
      </c>
      <c r="D344" s="8"/>
      <c r="E344" s="9">
        <f>E343+F343/60/24</f>
        <v>43936.833333333336</v>
      </c>
      <c r="F344" s="8">
        <f t="shared" si="88"/>
        <v>120</v>
      </c>
      <c r="G344" s="8" t="s">
        <v>8</v>
      </c>
      <c r="H344" s="8" t="s">
        <v>8</v>
      </c>
      <c r="I344" s="8">
        <f t="shared" si="97"/>
        <v>4</v>
      </c>
    </row>
    <row r="345" spans="1:9" x14ac:dyDescent="0.25">
      <c r="A345" s="3">
        <f>A344+1</f>
        <v>344</v>
      </c>
      <c r="B345" s="4" t="str">
        <f t="shared" si="87"/>
        <v>3</v>
      </c>
      <c r="C345" s="4">
        <f t="shared" si="98"/>
        <v>2</v>
      </c>
      <c r="D345" s="4"/>
      <c r="E345" s="5">
        <f>E343</f>
        <v>43936.75</v>
      </c>
      <c r="F345" s="4">
        <f t="shared" si="88"/>
        <v>120</v>
      </c>
      <c r="G345" s="4" t="s">
        <v>9</v>
      </c>
      <c r="H345" s="4" t="s">
        <v>9</v>
      </c>
      <c r="I345" s="4">
        <f t="shared" si="97"/>
        <v>4</v>
      </c>
    </row>
    <row r="346" spans="1:9" ht="15.75" thickBot="1" x14ac:dyDescent="0.3">
      <c r="A346" s="7">
        <f t="shared" ref="A346:A354" si="99">A345+1</f>
        <v>345</v>
      </c>
      <c r="B346" s="8" t="str">
        <f t="shared" si="87"/>
        <v>3</v>
      </c>
      <c r="C346" s="8">
        <f t="shared" si="98"/>
        <v>2</v>
      </c>
      <c r="D346" s="8"/>
      <c r="E346" s="9">
        <f>E345+F345/60/24</f>
        <v>43936.833333333336</v>
      </c>
      <c r="F346" s="8">
        <f t="shared" si="88"/>
        <v>120</v>
      </c>
      <c r="G346" s="8" t="s">
        <v>9</v>
      </c>
      <c r="H346" s="8" t="s">
        <v>9</v>
      </c>
      <c r="I346" s="8">
        <f t="shared" si="97"/>
        <v>4</v>
      </c>
    </row>
    <row r="347" spans="1:9" x14ac:dyDescent="0.25">
      <c r="A347" s="3">
        <f>A346+1</f>
        <v>346</v>
      </c>
      <c r="B347" s="4" t="str">
        <f t="shared" si="87"/>
        <v>2</v>
      </c>
      <c r="C347" s="4">
        <f t="shared" si="98"/>
        <v>4</v>
      </c>
      <c r="D347" s="4"/>
      <c r="E347" s="5">
        <f>E343</f>
        <v>43936.75</v>
      </c>
      <c r="F347" s="4">
        <f t="shared" si="88"/>
        <v>105</v>
      </c>
      <c r="G347" s="4" t="s">
        <v>10</v>
      </c>
      <c r="H347" s="4" t="s">
        <v>13</v>
      </c>
      <c r="I347" s="4">
        <f t="shared" si="97"/>
        <v>4</v>
      </c>
    </row>
    <row r="348" spans="1:9" ht="15.75" thickBot="1" x14ac:dyDescent="0.3">
      <c r="A348" s="7">
        <f t="shared" si="99"/>
        <v>347</v>
      </c>
      <c r="B348" s="8" t="str">
        <f t="shared" si="87"/>
        <v>2</v>
      </c>
      <c r="C348" s="8">
        <f t="shared" si="98"/>
        <v>4</v>
      </c>
      <c r="D348" s="8"/>
      <c r="E348" s="9">
        <f>E347+F347/60/24</f>
        <v>43936.822916666664</v>
      </c>
      <c r="F348" s="8">
        <f t="shared" si="88"/>
        <v>105</v>
      </c>
      <c r="G348" s="8" t="s">
        <v>10</v>
      </c>
      <c r="H348" s="8" t="s">
        <v>13</v>
      </c>
      <c r="I348" s="8">
        <f t="shared" si="97"/>
        <v>4</v>
      </c>
    </row>
    <row r="349" spans="1:9" x14ac:dyDescent="0.25">
      <c r="A349" s="3">
        <f>A348+1</f>
        <v>348</v>
      </c>
      <c r="B349" s="4" t="str">
        <f t="shared" si="87"/>
        <v>1</v>
      </c>
      <c r="C349" s="4">
        <f t="shared" si="98"/>
        <v>5</v>
      </c>
      <c r="D349" s="4"/>
      <c r="E349" s="5">
        <f>E343</f>
        <v>43936.75</v>
      </c>
      <c r="F349" s="4">
        <f t="shared" si="88"/>
        <v>90</v>
      </c>
      <c r="G349" s="4" t="s">
        <v>16</v>
      </c>
      <c r="H349" s="4" t="s">
        <v>11</v>
      </c>
      <c r="I349" s="4">
        <f t="shared" si="97"/>
        <v>4</v>
      </c>
    </row>
    <row r="350" spans="1:9" ht="15.75" thickBot="1" x14ac:dyDescent="0.3">
      <c r="A350" s="7">
        <f t="shared" si="99"/>
        <v>349</v>
      </c>
      <c r="B350" s="8" t="str">
        <f t="shared" si="87"/>
        <v>1</v>
      </c>
      <c r="C350" s="8">
        <f t="shared" si="98"/>
        <v>5</v>
      </c>
      <c r="D350" s="8"/>
      <c r="E350" s="9">
        <f>E349+F349/60/24</f>
        <v>43936.8125</v>
      </c>
      <c r="F350" s="8">
        <f t="shared" si="88"/>
        <v>90</v>
      </c>
      <c r="G350" s="8" t="s">
        <v>16</v>
      </c>
      <c r="H350" s="8" t="s">
        <v>11</v>
      </c>
      <c r="I350" s="8">
        <f t="shared" si="97"/>
        <v>4</v>
      </c>
    </row>
    <row r="351" spans="1:9" x14ac:dyDescent="0.25">
      <c r="A351" s="3">
        <f>A350+1</f>
        <v>350</v>
      </c>
      <c r="B351" s="4" t="str">
        <f t="shared" si="87"/>
        <v>5</v>
      </c>
      <c r="C351" s="4">
        <f t="shared" si="98"/>
        <v>5</v>
      </c>
      <c r="D351" s="4"/>
      <c r="E351" s="5">
        <f>E343</f>
        <v>43936.75</v>
      </c>
      <c r="F351" s="4">
        <f t="shared" si="88"/>
        <v>90</v>
      </c>
      <c r="G351" s="4" t="s">
        <v>17</v>
      </c>
      <c r="H351" s="4" t="s">
        <v>11</v>
      </c>
      <c r="I351" s="4">
        <f t="shared" si="97"/>
        <v>4</v>
      </c>
    </row>
    <row r="352" spans="1:9" ht="15.75" thickBot="1" x14ac:dyDescent="0.3">
      <c r="A352" s="7">
        <f t="shared" si="99"/>
        <v>351</v>
      </c>
      <c r="B352" s="8" t="str">
        <f t="shared" si="87"/>
        <v>5</v>
      </c>
      <c r="C352" s="8">
        <f t="shared" si="98"/>
        <v>4</v>
      </c>
      <c r="D352" s="8"/>
      <c r="E352" s="9">
        <f>E351+F351/60/24</f>
        <v>43936.8125</v>
      </c>
      <c r="F352" s="8">
        <f t="shared" si="88"/>
        <v>105</v>
      </c>
      <c r="G352" s="8" t="s">
        <v>17</v>
      </c>
      <c r="H352" s="8" t="s">
        <v>13</v>
      </c>
      <c r="I352" s="8">
        <f t="shared" si="97"/>
        <v>4</v>
      </c>
    </row>
    <row r="353" spans="1:9" x14ac:dyDescent="0.25">
      <c r="A353" s="3">
        <f>A352+1</f>
        <v>352</v>
      </c>
      <c r="B353" s="4" t="str">
        <f t="shared" si="87"/>
        <v>6</v>
      </c>
      <c r="C353" s="4">
        <f t="shared" si="98"/>
        <v>3</v>
      </c>
      <c r="D353" s="4"/>
      <c r="E353" s="5">
        <f>E343</f>
        <v>43936.75</v>
      </c>
      <c r="F353" s="4">
        <f t="shared" si="88"/>
        <v>105</v>
      </c>
      <c r="G353" s="4" t="s">
        <v>18</v>
      </c>
      <c r="H353" s="4" t="s">
        <v>12</v>
      </c>
      <c r="I353" s="4">
        <f t="shared" si="97"/>
        <v>4</v>
      </c>
    </row>
    <row r="354" spans="1:9" ht="15.75" thickBot="1" x14ac:dyDescent="0.3">
      <c r="A354" s="10">
        <f t="shared" si="99"/>
        <v>353</v>
      </c>
      <c r="B354" s="11" t="str">
        <f t="shared" si="87"/>
        <v>6</v>
      </c>
      <c r="C354" s="11">
        <f t="shared" si="98"/>
        <v>3</v>
      </c>
      <c r="D354" s="11"/>
      <c r="E354" s="12">
        <f>E353+F353/60/24</f>
        <v>43936.822916666664</v>
      </c>
      <c r="F354" s="11">
        <f t="shared" si="88"/>
        <v>105</v>
      </c>
      <c r="G354" s="11" t="s">
        <v>18</v>
      </c>
      <c r="H354" s="11" t="s">
        <v>12</v>
      </c>
      <c r="I354" s="11">
        <f t="shared" si="97"/>
        <v>4</v>
      </c>
    </row>
    <row r="355" spans="1:9" x14ac:dyDescent="0.25">
      <c r="A355" s="3">
        <f>A354+1</f>
        <v>354</v>
      </c>
      <c r="B355" s="4" t="str">
        <f t="shared" si="87"/>
        <v>4</v>
      </c>
      <c r="C355" s="4">
        <f t="shared" si="98"/>
        <v>1</v>
      </c>
      <c r="D355" s="4"/>
      <c r="E355" s="5">
        <v>43937.75</v>
      </c>
      <c r="F355" s="4">
        <f t="shared" si="88"/>
        <v>120</v>
      </c>
      <c r="G355" s="4" t="s">
        <v>8</v>
      </c>
      <c r="H355" s="4" t="s">
        <v>8</v>
      </c>
      <c r="I355" s="4">
        <f t="shared" si="97"/>
        <v>5</v>
      </c>
    </row>
    <row r="356" spans="1:9" ht="15.75" thickBot="1" x14ac:dyDescent="0.3">
      <c r="A356" s="7">
        <f>A355+1</f>
        <v>355</v>
      </c>
      <c r="B356" s="8" t="str">
        <f t="shared" si="87"/>
        <v>4</v>
      </c>
      <c r="C356" s="8">
        <f t="shared" si="98"/>
        <v>1</v>
      </c>
      <c r="D356" s="8"/>
      <c r="E356" s="9">
        <f>E355+F355/60/24</f>
        <v>43937.833333333336</v>
      </c>
      <c r="F356" s="8">
        <f t="shared" si="88"/>
        <v>120</v>
      </c>
      <c r="G356" s="8" t="s">
        <v>8</v>
      </c>
      <c r="H356" s="8" t="s">
        <v>8</v>
      </c>
      <c r="I356" s="8">
        <f t="shared" si="97"/>
        <v>5</v>
      </c>
    </row>
    <row r="357" spans="1:9" x14ac:dyDescent="0.25">
      <c r="A357" s="3">
        <f>A356+1</f>
        <v>356</v>
      </c>
      <c r="B357" s="4" t="str">
        <f t="shared" si="87"/>
        <v>3</v>
      </c>
      <c r="C357" s="4">
        <f t="shared" si="98"/>
        <v>2</v>
      </c>
      <c r="D357" s="4"/>
      <c r="E357" s="5">
        <f>E355</f>
        <v>43937.75</v>
      </c>
      <c r="F357" s="4">
        <f t="shared" si="88"/>
        <v>120</v>
      </c>
      <c r="G357" s="4" t="s">
        <v>9</v>
      </c>
      <c r="H357" s="4" t="s">
        <v>9</v>
      </c>
      <c r="I357" s="4">
        <f t="shared" si="97"/>
        <v>5</v>
      </c>
    </row>
    <row r="358" spans="1:9" ht="15.75" thickBot="1" x14ac:dyDescent="0.3">
      <c r="A358" s="7">
        <f t="shared" ref="A358:A366" si="100">A357+1</f>
        <v>357</v>
      </c>
      <c r="B358" s="8" t="str">
        <f t="shared" si="87"/>
        <v>3</v>
      </c>
      <c r="C358" s="8">
        <f t="shared" si="98"/>
        <v>2</v>
      </c>
      <c r="D358" s="8"/>
      <c r="E358" s="9">
        <f>E357+F357/60/24</f>
        <v>43937.833333333336</v>
      </c>
      <c r="F358" s="8">
        <f t="shared" si="88"/>
        <v>120</v>
      </c>
      <c r="G358" s="8" t="s">
        <v>9</v>
      </c>
      <c r="H358" s="8" t="s">
        <v>9</v>
      </c>
      <c r="I358" s="8">
        <f t="shared" si="97"/>
        <v>5</v>
      </c>
    </row>
    <row r="359" spans="1:9" x14ac:dyDescent="0.25">
      <c r="A359" s="3">
        <f>A358+1</f>
        <v>358</v>
      </c>
      <c r="B359" s="4" t="str">
        <f t="shared" si="87"/>
        <v>2</v>
      </c>
      <c r="C359" s="4">
        <f t="shared" si="98"/>
        <v>4</v>
      </c>
      <c r="D359" s="4"/>
      <c r="E359" s="5">
        <f>E355</f>
        <v>43937.75</v>
      </c>
      <c r="F359" s="4">
        <f t="shared" si="88"/>
        <v>105</v>
      </c>
      <c r="G359" s="4" t="s">
        <v>10</v>
      </c>
      <c r="H359" s="4" t="s">
        <v>13</v>
      </c>
      <c r="I359" s="4">
        <f t="shared" si="97"/>
        <v>5</v>
      </c>
    </row>
    <row r="360" spans="1:9" ht="15.75" thickBot="1" x14ac:dyDescent="0.3">
      <c r="A360" s="7">
        <f t="shared" si="100"/>
        <v>359</v>
      </c>
      <c r="B360" s="8" t="str">
        <f t="shared" si="87"/>
        <v>2</v>
      </c>
      <c r="C360" s="8">
        <f t="shared" si="98"/>
        <v>4</v>
      </c>
      <c r="D360" s="8"/>
      <c r="E360" s="9">
        <f>E359+F359/60/24</f>
        <v>43937.822916666664</v>
      </c>
      <c r="F360" s="8">
        <f t="shared" si="88"/>
        <v>105</v>
      </c>
      <c r="G360" s="8" t="s">
        <v>10</v>
      </c>
      <c r="H360" s="8" t="s">
        <v>13</v>
      </c>
      <c r="I360" s="8">
        <f t="shared" si="97"/>
        <v>5</v>
      </c>
    </row>
    <row r="361" spans="1:9" x14ac:dyDescent="0.25">
      <c r="A361" s="3">
        <f>A360+1</f>
        <v>360</v>
      </c>
      <c r="B361" s="4" t="str">
        <f t="shared" si="87"/>
        <v>1</v>
      </c>
      <c r="C361" s="4">
        <f t="shared" si="98"/>
        <v>5</v>
      </c>
      <c r="D361" s="4"/>
      <c r="E361" s="5">
        <f>E355</f>
        <v>43937.75</v>
      </c>
      <c r="F361" s="4">
        <f t="shared" si="88"/>
        <v>90</v>
      </c>
      <c r="G361" s="4" t="s">
        <v>16</v>
      </c>
      <c r="H361" s="4" t="s">
        <v>11</v>
      </c>
      <c r="I361" s="4">
        <f t="shared" si="97"/>
        <v>5</v>
      </c>
    </row>
    <row r="362" spans="1:9" ht="15.75" thickBot="1" x14ac:dyDescent="0.3">
      <c r="A362" s="7">
        <f t="shared" si="100"/>
        <v>361</v>
      </c>
      <c r="B362" s="8" t="str">
        <f t="shared" si="87"/>
        <v>1</v>
      </c>
      <c r="C362" s="8">
        <f t="shared" si="98"/>
        <v>5</v>
      </c>
      <c r="D362" s="8"/>
      <c r="E362" s="9">
        <f>E361+F361/60/24</f>
        <v>43937.8125</v>
      </c>
      <c r="F362" s="8">
        <f t="shared" si="88"/>
        <v>90</v>
      </c>
      <c r="G362" s="8" t="s">
        <v>16</v>
      </c>
      <c r="H362" s="8" t="s">
        <v>11</v>
      </c>
      <c r="I362" s="8">
        <f t="shared" si="97"/>
        <v>5</v>
      </c>
    </row>
    <row r="363" spans="1:9" x14ac:dyDescent="0.25">
      <c r="A363" s="3">
        <f>A362+1</f>
        <v>362</v>
      </c>
      <c r="B363" s="4" t="str">
        <f t="shared" si="87"/>
        <v>5</v>
      </c>
      <c r="C363" s="4">
        <f t="shared" si="98"/>
        <v>5</v>
      </c>
      <c r="D363" s="4"/>
      <c r="E363" s="5">
        <f>E355</f>
        <v>43937.75</v>
      </c>
      <c r="F363" s="4">
        <f t="shared" si="88"/>
        <v>90</v>
      </c>
      <c r="G363" s="4" t="s">
        <v>17</v>
      </c>
      <c r="H363" s="4" t="s">
        <v>11</v>
      </c>
      <c r="I363" s="4">
        <f t="shared" si="97"/>
        <v>5</v>
      </c>
    </row>
    <row r="364" spans="1:9" ht="15.75" thickBot="1" x14ac:dyDescent="0.3">
      <c r="A364" s="7">
        <f t="shared" si="100"/>
        <v>363</v>
      </c>
      <c r="B364" s="8" t="str">
        <f t="shared" si="87"/>
        <v>5</v>
      </c>
      <c r="C364" s="8">
        <f t="shared" si="98"/>
        <v>4</v>
      </c>
      <c r="D364" s="8"/>
      <c r="E364" s="9">
        <f>E363+F363/60/24</f>
        <v>43937.8125</v>
      </c>
      <c r="F364" s="8">
        <f t="shared" si="88"/>
        <v>105</v>
      </c>
      <c r="G364" s="8" t="s">
        <v>17</v>
      </c>
      <c r="H364" s="8" t="s">
        <v>13</v>
      </c>
      <c r="I364" s="8">
        <f t="shared" si="97"/>
        <v>5</v>
      </c>
    </row>
    <row r="365" spans="1:9" x14ac:dyDescent="0.25">
      <c r="A365" s="3">
        <f>A364+1</f>
        <v>364</v>
      </c>
      <c r="B365" s="4" t="str">
        <f t="shared" si="87"/>
        <v>6</v>
      </c>
      <c r="C365" s="4">
        <f t="shared" si="98"/>
        <v>3</v>
      </c>
      <c r="D365" s="4"/>
      <c r="E365" s="5">
        <f>E355</f>
        <v>43937.75</v>
      </c>
      <c r="F365" s="4">
        <f t="shared" si="88"/>
        <v>105</v>
      </c>
      <c r="G365" s="4" t="s">
        <v>18</v>
      </c>
      <c r="H365" s="4" t="s">
        <v>12</v>
      </c>
      <c r="I365" s="4">
        <f t="shared" si="97"/>
        <v>5</v>
      </c>
    </row>
    <row r="366" spans="1:9" ht="15.75" thickBot="1" x14ac:dyDescent="0.3">
      <c r="A366" s="10">
        <f t="shared" si="100"/>
        <v>365</v>
      </c>
      <c r="B366" s="11" t="str">
        <f t="shared" si="87"/>
        <v>6</v>
      </c>
      <c r="C366" s="11">
        <f t="shared" si="98"/>
        <v>3</v>
      </c>
      <c r="D366" s="11"/>
      <c r="E366" s="12">
        <f>E365+F365/60/24</f>
        <v>43937.822916666664</v>
      </c>
      <c r="F366" s="11">
        <f t="shared" si="88"/>
        <v>105</v>
      </c>
      <c r="G366" s="11" t="s">
        <v>18</v>
      </c>
      <c r="H366" s="11" t="s">
        <v>12</v>
      </c>
      <c r="I366" s="11">
        <f t="shared" si="97"/>
        <v>5</v>
      </c>
    </row>
    <row r="367" spans="1:9" x14ac:dyDescent="0.25">
      <c r="A367" s="3">
        <f>A366+1</f>
        <v>366</v>
      </c>
      <c r="B367" s="4" t="str">
        <f t="shared" si="87"/>
        <v>4</v>
      </c>
      <c r="C367" s="4">
        <f t="shared" si="98"/>
        <v>1</v>
      </c>
      <c r="D367" s="4"/>
      <c r="E367" s="5">
        <v>43938.75</v>
      </c>
      <c r="F367" s="4">
        <f t="shared" si="88"/>
        <v>120</v>
      </c>
      <c r="G367" s="4" t="s">
        <v>8</v>
      </c>
      <c r="H367" s="4" t="s">
        <v>8</v>
      </c>
      <c r="I367" s="4">
        <f t="shared" si="97"/>
        <v>6</v>
      </c>
    </row>
    <row r="368" spans="1:9" ht="15.75" thickBot="1" x14ac:dyDescent="0.3">
      <c r="A368" s="7">
        <f>A367+1</f>
        <v>367</v>
      </c>
      <c r="B368" s="8" t="str">
        <f t="shared" si="87"/>
        <v>4</v>
      </c>
      <c r="C368" s="8">
        <f t="shared" si="98"/>
        <v>1</v>
      </c>
      <c r="D368" s="8"/>
      <c r="E368" s="9">
        <f>E367+F367/60/24</f>
        <v>43938.833333333336</v>
      </c>
      <c r="F368" s="8">
        <f t="shared" si="88"/>
        <v>120</v>
      </c>
      <c r="G368" s="8" t="s">
        <v>8</v>
      </c>
      <c r="H368" s="8" t="s">
        <v>8</v>
      </c>
      <c r="I368" s="8">
        <f t="shared" si="97"/>
        <v>6</v>
      </c>
    </row>
    <row r="369" spans="1:9" x14ac:dyDescent="0.25">
      <c r="A369" s="3">
        <f>A368+1</f>
        <v>368</v>
      </c>
      <c r="B369" s="4" t="str">
        <f t="shared" si="87"/>
        <v>3</v>
      </c>
      <c r="C369" s="4">
        <f t="shared" si="98"/>
        <v>2</v>
      </c>
      <c r="D369" s="4"/>
      <c r="E369" s="5">
        <f>E367</f>
        <v>43938.75</v>
      </c>
      <c r="F369" s="4">
        <f t="shared" si="88"/>
        <v>120</v>
      </c>
      <c r="G369" s="4" t="s">
        <v>9</v>
      </c>
      <c r="H369" s="4" t="s">
        <v>9</v>
      </c>
      <c r="I369" s="4">
        <f t="shared" si="97"/>
        <v>6</v>
      </c>
    </row>
    <row r="370" spans="1:9" ht="15.75" thickBot="1" x14ac:dyDescent="0.3">
      <c r="A370" s="7">
        <f t="shared" ref="A370:A378" si="101">A369+1</f>
        <v>369</v>
      </c>
      <c r="B370" s="8" t="str">
        <f t="shared" si="87"/>
        <v>3</v>
      </c>
      <c r="C370" s="8">
        <f t="shared" si="98"/>
        <v>2</v>
      </c>
      <c r="D370" s="8"/>
      <c r="E370" s="9">
        <f>E369+F369/60/24</f>
        <v>43938.833333333336</v>
      </c>
      <c r="F370" s="8">
        <f t="shared" si="88"/>
        <v>120</v>
      </c>
      <c r="G370" s="8" t="s">
        <v>9</v>
      </c>
      <c r="H370" s="8" t="s">
        <v>9</v>
      </c>
      <c r="I370" s="8">
        <f t="shared" si="97"/>
        <v>6</v>
      </c>
    </row>
    <row r="371" spans="1:9" x14ac:dyDescent="0.25">
      <c r="A371" s="3">
        <f>A370+1</f>
        <v>370</v>
      </c>
      <c r="B371" s="4" t="str">
        <f t="shared" si="87"/>
        <v>2</v>
      </c>
      <c r="C371" s="4">
        <f t="shared" si="98"/>
        <v>4</v>
      </c>
      <c r="D371" s="4"/>
      <c r="E371" s="5">
        <f>E367</f>
        <v>43938.75</v>
      </c>
      <c r="F371" s="4">
        <f t="shared" si="88"/>
        <v>105</v>
      </c>
      <c r="G371" s="4" t="s">
        <v>10</v>
      </c>
      <c r="H371" s="4" t="s">
        <v>13</v>
      </c>
      <c r="I371" s="4">
        <f t="shared" si="97"/>
        <v>6</v>
      </c>
    </row>
    <row r="372" spans="1:9" ht="15.75" thickBot="1" x14ac:dyDescent="0.3">
      <c r="A372" s="7">
        <f t="shared" si="101"/>
        <v>371</v>
      </c>
      <c r="B372" s="8" t="str">
        <f t="shared" si="87"/>
        <v>2</v>
      </c>
      <c r="C372" s="8">
        <f t="shared" si="98"/>
        <v>4</v>
      </c>
      <c r="D372" s="8"/>
      <c r="E372" s="9">
        <f>E371+F371/60/24</f>
        <v>43938.822916666664</v>
      </c>
      <c r="F372" s="8">
        <f t="shared" si="88"/>
        <v>105</v>
      </c>
      <c r="G372" s="8" t="s">
        <v>10</v>
      </c>
      <c r="H372" s="8" t="s">
        <v>13</v>
      </c>
      <c r="I372" s="8">
        <f t="shared" si="97"/>
        <v>6</v>
      </c>
    </row>
    <row r="373" spans="1:9" x14ac:dyDescent="0.25">
      <c r="A373" s="3">
        <f>A372+1</f>
        <v>372</v>
      </c>
      <c r="B373" s="4" t="str">
        <f t="shared" si="87"/>
        <v>1</v>
      </c>
      <c r="C373" s="4">
        <f t="shared" si="98"/>
        <v>5</v>
      </c>
      <c r="D373" s="4"/>
      <c r="E373" s="5">
        <f>E367</f>
        <v>43938.75</v>
      </c>
      <c r="F373" s="4">
        <f t="shared" si="88"/>
        <v>90</v>
      </c>
      <c r="G373" s="4" t="s">
        <v>16</v>
      </c>
      <c r="H373" s="4" t="s">
        <v>11</v>
      </c>
      <c r="I373" s="4">
        <f t="shared" si="97"/>
        <v>6</v>
      </c>
    </row>
    <row r="374" spans="1:9" ht="15.75" thickBot="1" x14ac:dyDescent="0.3">
      <c r="A374" s="7">
        <f t="shared" si="101"/>
        <v>373</v>
      </c>
      <c r="B374" s="8" t="str">
        <f t="shared" si="87"/>
        <v>1</v>
      </c>
      <c r="C374" s="8">
        <f t="shared" si="98"/>
        <v>5</v>
      </c>
      <c r="D374" s="8"/>
      <c r="E374" s="9">
        <f>E373+F373/60/24</f>
        <v>43938.8125</v>
      </c>
      <c r="F374" s="8">
        <f t="shared" si="88"/>
        <v>90</v>
      </c>
      <c r="G374" s="8" t="s">
        <v>16</v>
      </c>
      <c r="H374" s="8" t="s">
        <v>11</v>
      </c>
      <c r="I374" s="8">
        <f t="shared" si="97"/>
        <v>6</v>
      </c>
    </row>
    <row r="375" spans="1:9" x14ac:dyDescent="0.25">
      <c r="A375" s="3">
        <f>A374+1</f>
        <v>374</v>
      </c>
      <c r="B375" s="4" t="str">
        <f t="shared" si="87"/>
        <v>5</v>
      </c>
      <c r="C375" s="4">
        <f t="shared" si="98"/>
        <v>5</v>
      </c>
      <c r="D375" s="4"/>
      <c r="E375" s="5">
        <f>E367</f>
        <v>43938.75</v>
      </c>
      <c r="F375" s="4">
        <f t="shared" si="88"/>
        <v>90</v>
      </c>
      <c r="G375" s="4" t="s">
        <v>17</v>
      </c>
      <c r="H375" s="4" t="s">
        <v>11</v>
      </c>
      <c r="I375" s="4">
        <f t="shared" si="97"/>
        <v>6</v>
      </c>
    </row>
    <row r="376" spans="1:9" ht="15.75" thickBot="1" x14ac:dyDescent="0.3">
      <c r="A376" s="7">
        <f t="shared" si="101"/>
        <v>375</v>
      </c>
      <c r="B376" s="8" t="str">
        <f t="shared" si="87"/>
        <v>5</v>
      </c>
      <c r="C376" s="8">
        <f t="shared" si="98"/>
        <v>4</v>
      </c>
      <c r="D376" s="8"/>
      <c r="E376" s="9">
        <f>E375+F375/60/24</f>
        <v>43938.8125</v>
      </c>
      <c r="F376" s="8">
        <f t="shared" si="88"/>
        <v>105</v>
      </c>
      <c r="G376" s="8" t="s">
        <v>17</v>
      </c>
      <c r="H376" s="8" t="s">
        <v>13</v>
      </c>
      <c r="I376" s="8">
        <f t="shared" si="97"/>
        <v>6</v>
      </c>
    </row>
    <row r="377" spans="1:9" x14ac:dyDescent="0.25">
      <c r="A377" s="3">
        <f>A376+1</f>
        <v>376</v>
      </c>
      <c r="B377" s="4" t="str">
        <f t="shared" si="87"/>
        <v>6</v>
      </c>
      <c r="C377" s="4">
        <f t="shared" si="98"/>
        <v>3</v>
      </c>
      <c r="D377" s="4"/>
      <c r="E377" s="5">
        <f>E367</f>
        <v>43938.75</v>
      </c>
      <c r="F377" s="4">
        <f t="shared" si="88"/>
        <v>105</v>
      </c>
      <c r="G377" s="4" t="s">
        <v>18</v>
      </c>
      <c r="H377" s="4" t="s">
        <v>12</v>
      </c>
      <c r="I377" s="4">
        <f t="shared" si="97"/>
        <v>6</v>
      </c>
    </row>
    <row r="378" spans="1:9" ht="15.75" thickBot="1" x14ac:dyDescent="0.3">
      <c r="A378" s="10">
        <f t="shared" si="101"/>
        <v>377</v>
      </c>
      <c r="B378" s="11" t="str">
        <f t="shared" si="87"/>
        <v>6</v>
      </c>
      <c r="C378" s="11">
        <f t="shared" si="98"/>
        <v>3</v>
      </c>
      <c r="D378" s="11"/>
      <c r="E378" s="12">
        <f>E377+F377/60/24</f>
        <v>43938.822916666664</v>
      </c>
      <c r="F378" s="11">
        <f t="shared" si="88"/>
        <v>105</v>
      </c>
      <c r="G378" s="11" t="s">
        <v>18</v>
      </c>
      <c r="H378" s="11" t="s">
        <v>12</v>
      </c>
      <c r="I378" s="11">
        <f t="shared" si="97"/>
        <v>6</v>
      </c>
    </row>
    <row r="379" spans="1:9" x14ac:dyDescent="0.25">
      <c r="A379" s="3">
        <f>A378+1</f>
        <v>378</v>
      </c>
      <c r="B379" s="4" t="str">
        <f t="shared" si="87"/>
        <v>7</v>
      </c>
      <c r="C379" s="4">
        <f t="shared" si="98"/>
        <v>5</v>
      </c>
      <c r="D379" s="4"/>
      <c r="E379" s="5">
        <f>E367</f>
        <v>43938.75</v>
      </c>
      <c r="F379" s="4">
        <f t="shared" si="88"/>
        <v>90</v>
      </c>
      <c r="G379" s="4" t="s">
        <v>19</v>
      </c>
      <c r="H379" s="4" t="s">
        <v>11</v>
      </c>
      <c r="I379" s="4">
        <f t="shared" si="97"/>
        <v>6</v>
      </c>
    </row>
    <row r="380" spans="1:9" ht="15.75" thickBot="1" x14ac:dyDescent="0.3">
      <c r="A380" s="7">
        <f t="shared" ref="A380" si="102">A379+1</f>
        <v>379</v>
      </c>
      <c r="B380" s="8" t="str">
        <f t="shared" si="87"/>
        <v>7</v>
      </c>
      <c r="C380" s="8">
        <f t="shared" si="98"/>
        <v>4</v>
      </c>
      <c r="D380" s="8"/>
      <c r="E380" s="9">
        <f>E379+F379/60/24</f>
        <v>43938.8125</v>
      </c>
      <c r="F380" s="8">
        <f t="shared" si="88"/>
        <v>105</v>
      </c>
      <c r="G380" s="8" t="s">
        <v>19</v>
      </c>
      <c r="H380" s="8" t="s">
        <v>13</v>
      </c>
      <c r="I380" s="8">
        <f t="shared" si="97"/>
        <v>6</v>
      </c>
    </row>
    <row r="381" spans="1:9" x14ac:dyDescent="0.25">
      <c r="A381" s="3">
        <f>A380+1</f>
        <v>380</v>
      </c>
      <c r="B381" s="4" t="str">
        <f t="shared" si="87"/>
        <v>8</v>
      </c>
      <c r="C381" s="4">
        <f t="shared" si="98"/>
        <v>5</v>
      </c>
      <c r="D381" s="4"/>
      <c r="E381" s="5">
        <f>E367</f>
        <v>43938.75</v>
      </c>
      <c r="F381" s="4">
        <f t="shared" si="88"/>
        <v>90</v>
      </c>
      <c r="G381" s="4" t="s">
        <v>20</v>
      </c>
      <c r="H381" s="4" t="s">
        <v>11</v>
      </c>
      <c r="I381" s="4">
        <f t="shared" si="97"/>
        <v>6</v>
      </c>
    </row>
    <row r="382" spans="1:9" ht="15.75" thickBot="1" x14ac:dyDescent="0.3">
      <c r="A382" s="10">
        <f t="shared" ref="A382" si="103">A381+1</f>
        <v>381</v>
      </c>
      <c r="B382" s="11" t="str">
        <f t="shared" si="87"/>
        <v>8</v>
      </c>
      <c r="C382" s="11">
        <f t="shared" si="98"/>
        <v>4</v>
      </c>
      <c r="D382" s="11"/>
      <c r="E382" s="12">
        <f>E381+F381/60/24</f>
        <v>43938.8125</v>
      </c>
      <c r="F382" s="11">
        <f t="shared" si="88"/>
        <v>105</v>
      </c>
      <c r="G382" s="11" t="s">
        <v>20</v>
      </c>
      <c r="H382" s="11" t="s">
        <v>13</v>
      </c>
      <c r="I382" s="11">
        <f t="shared" si="97"/>
        <v>6</v>
      </c>
    </row>
    <row r="383" spans="1:9" x14ac:dyDescent="0.25">
      <c r="A383" s="3">
        <f>A382+1</f>
        <v>382</v>
      </c>
      <c r="B383" s="4" t="str">
        <f t="shared" si="87"/>
        <v>4</v>
      </c>
      <c r="C383" s="4">
        <f t="shared" si="98"/>
        <v>1</v>
      </c>
      <c r="D383" s="4"/>
      <c r="E383" s="5">
        <v>43939.375</v>
      </c>
      <c r="F383" s="4">
        <f t="shared" si="88"/>
        <v>120</v>
      </c>
      <c r="G383" s="4" t="s">
        <v>8</v>
      </c>
      <c r="H383" s="4" t="s">
        <v>8</v>
      </c>
      <c r="I383" s="4">
        <f t="shared" si="97"/>
        <v>7</v>
      </c>
    </row>
    <row r="384" spans="1:9" x14ac:dyDescent="0.25">
      <c r="A384" s="7">
        <f>A383+1</f>
        <v>383</v>
      </c>
      <c r="B384" s="8" t="str">
        <f t="shared" si="87"/>
        <v>4</v>
      </c>
      <c r="C384" s="8">
        <f t="shared" si="98"/>
        <v>1</v>
      </c>
      <c r="D384" s="8"/>
      <c r="E384" s="9">
        <f>E383+F383/60/24</f>
        <v>43939.458333333336</v>
      </c>
      <c r="F384" s="8">
        <f t="shared" si="88"/>
        <v>120</v>
      </c>
      <c r="G384" s="8" t="s">
        <v>8</v>
      </c>
      <c r="H384" s="8" t="s">
        <v>8</v>
      </c>
      <c r="I384" s="8">
        <f t="shared" si="97"/>
        <v>7</v>
      </c>
    </row>
    <row r="385" spans="1:9" x14ac:dyDescent="0.25">
      <c r="A385" s="7">
        <f t="shared" ref="A385:A426" si="104">A384+1</f>
        <v>384</v>
      </c>
      <c r="B385" s="8" t="str">
        <f t="shared" si="87"/>
        <v>4</v>
      </c>
      <c r="C385" s="8">
        <f t="shared" si="98"/>
        <v>1</v>
      </c>
      <c r="D385" s="8"/>
      <c r="E385" s="9">
        <f>E384+F384/60/24</f>
        <v>43939.541666666672</v>
      </c>
      <c r="F385" s="8">
        <f t="shared" si="88"/>
        <v>120</v>
      </c>
      <c r="G385" s="8" t="s">
        <v>8</v>
      </c>
      <c r="H385" s="8" t="s">
        <v>8</v>
      </c>
      <c r="I385" s="8">
        <f t="shared" si="97"/>
        <v>7</v>
      </c>
    </row>
    <row r="386" spans="1:9" x14ac:dyDescent="0.25">
      <c r="A386" s="7">
        <f t="shared" si="104"/>
        <v>385</v>
      </c>
      <c r="B386" s="8" t="str">
        <f t="shared" ref="B386:B449" si="105">VLOOKUP(G386,field_id,2,FALSE)</f>
        <v>4</v>
      </c>
      <c r="C386" s="8">
        <f t="shared" si="98"/>
        <v>1</v>
      </c>
      <c r="D386" s="8"/>
      <c r="E386" s="9">
        <f>E385+F385/60/24</f>
        <v>43939.625000000007</v>
      </c>
      <c r="F386" s="8">
        <f t="shared" ref="F386:F449" si="106">VLOOKUP(H386,GameDuration,2,FALSE)</f>
        <v>120</v>
      </c>
      <c r="G386" s="8" t="s">
        <v>8</v>
      </c>
      <c r="H386" s="8" t="s">
        <v>8</v>
      </c>
      <c r="I386" s="8">
        <f t="shared" si="97"/>
        <v>7</v>
      </c>
    </row>
    <row r="387" spans="1:9" ht="15.75" thickBot="1" x14ac:dyDescent="0.3">
      <c r="A387" s="10">
        <f t="shared" si="104"/>
        <v>386</v>
      </c>
      <c r="B387" s="11" t="str">
        <f t="shared" si="105"/>
        <v>4</v>
      </c>
      <c r="C387" s="11">
        <f t="shared" si="98"/>
        <v>1</v>
      </c>
      <c r="D387" s="11"/>
      <c r="E387" s="12">
        <f>E386+F386/60/24</f>
        <v>43939.708333333343</v>
      </c>
      <c r="F387" s="11">
        <f t="shared" si="106"/>
        <v>120</v>
      </c>
      <c r="G387" s="11" t="s">
        <v>8</v>
      </c>
      <c r="H387" s="11" t="s">
        <v>8</v>
      </c>
      <c r="I387" s="11">
        <f t="shared" si="97"/>
        <v>7</v>
      </c>
    </row>
    <row r="388" spans="1:9" x14ac:dyDescent="0.25">
      <c r="A388" s="3">
        <f t="shared" si="104"/>
        <v>387</v>
      </c>
      <c r="B388" s="4" t="str">
        <f t="shared" si="105"/>
        <v>3</v>
      </c>
      <c r="C388" s="8" t="s">
        <v>50</v>
      </c>
      <c r="D388" s="4"/>
      <c r="E388" s="5">
        <f>E383</f>
        <v>43939.375</v>
      </c>
      <c r="F388" s="4">
        <f t="shared" si="106"/>
        <v>120</v>
      </c>
      <c r="G388" s="4" t="s">
        <v>9</v>
      </c>
      <c r="H388" s="4" t="s">
        <v>9</v>
      </c>
      <c r="I388" s="4">
        <f t="shared" si="97"/>
        <v>7</v>
      </c>
    </row>
    <row r="389" spans="1:9" x14ac:dyDescent="0.25">
      <c r="A389" s="7">
        <f t="shared" si="104"/>
        <v>388</v>
      </c>
      <c r="B389" s="8" t="str">
        <f t="shared" si="105"/>
        <v>3</v>
      </c>
      <c r="C389" s="8" t="s">
        <v>50</v>
      </c>
      <c r="D389" s="8"/>
      <c r="E389" s="9">
        <f>E388+F388/60/24</f>
        <v>43939.458333333336</v>
      </c>
      <c r="F389" s="8">
        <f t="shared" si="106"/>
        <v>120</v>
      </c>
      <c r="G389" s="8" t="s">
        <v>9</v>
      </c>
      <c r="H389" s="8" t="s">
        <v>9</v>
      </c>
      <c r="I389" s="8">
        <f t="shared" si="97"/>
        <v>7</v>
      </c>
    </row>
    <row r="390" spans="1:9" x14ac:dyDescent="0.25">
      <c r="A390" s="7">
        <f t="shared" si="104"/>
        <v>389</v>
      </c>
      <c r="B390" s="8" t="str">
        <f t="shared" si="105"/>
        <v>3</v>
      </c>
      <c r="C390" s="8" t="s">
        <v>50</v>
      </c>
      <c r="D390" s="8"/>
      <c r="E390" s="9">
        <f t="shared" ref="E390:E392" si="107">E389+F389/60/24</f>
        <v>43939.541666666672</v>
      </c>
      <c r="F390" s="8">
        <f t="shared" si="106"/>
        <v>120</v>
      </c>
      <c r="G390" s="8" t="s">
        <v>9</v>
      </c>
      <c r="H390" s="8" t="s">
        <v>9</v>
      </c>
      <c r="I390" s="8">
        <f t="shared" si="97"/>
        <v>7</v>
      </c>
    </row>
    <row r="391" spans="1:9" x14ac:dyDescent="0.25">
      <c r="A391" s="7">
        <f t="shared" si="104"/>
        <v>390</v>
      </c>
      <c r="B391" s="8" t="str">
        <f t="shared" si="105"/>
        <v>3</v>
      </c>
      <c r="C391" s="8" t="s">
        <v>50</v>
      </c>
      <c r="D391" s="8"/>
      <c r="E391" s="9">
        <f t="shared" si="107"/>
        <v>43939.625000000007</v>
      </c>
      <c r="F391" s="8">
        <f t="shared" si="106"/>
        <v>120</v>
      </c>
      <c r="G391" s="8" t="s">
        <v>9</v>
      </c>
      <c r="H391" s="8" t="s">
        <v>9</v>
      </c>
      <c r="I391" s="8">
        <f t="shared" si="97"/>
        <v>7</v>
      </c>
    </row>
    <row r="392" spans="1:9" ht="15.75" thickBot="1" x14ac:dyDescent="0.3">
      <c r="A392" s="10">
        <f t="shared" si="104"/>
        <v>391</v>
      </c>
      <c r="B392" s="11" t="str">
        <f t="shared" si="105"/>
        <v>3</v>
      </c>
      <c r="C392" s="8" t="s">
        <v>50</v>
      </c>
      <c r="D392" s="11"/>
      <c r="E392" s="9">
        <f t="shared" si="107"/>
        <v>43939.708333333343</v>
      </c>
      <c r="F392" s="11">
        <f t="shared" si="106"/>
        <v>120</v>
      </c>
      <c r="G392" s="11" t="s">
        <v>9</v>
      </c>
      <c r="H392" s="11" t="s">
        <v>9</v>
      </c>
      <c r="I392" s="11">
        <f t="shared" si="97"/>
        <v>7</v>
      </c>
    </row>
    <row r="393" spans="1:9" x14ac:dyDescent="0.25">
      <c r="A393" s="3">
        <f t="shared" si="104"/>
        <v>392</v>
      </c>
      <c r="B393" s="4" t="str">
        <f t="shared" si="105"/>
        <v>2</v>
      </c>
      <c r="C393" s="4">
        <f t="shared" si="98"/>
        <v>6</v>
      </c>
      <c r="D393" s="4"/>
      <c r="E393" s="5">
        <f>E383</f>
        <v>43939.375</v>
      </c>
      <c r="F393" s="4">
        <f t="shared" si="106"/>
        <v>60</v>
      </c>
      <c r="G393" s="4" t="s">
        <v>10</v>
      </c>
      <c r="H393" s="4" t="s">
        <v>14</v>
      </c>
      <c r="I393" s="4">
        <f t="shared" si="97"/>
        <v>7</v>
      </c>
    </row>
    <row r="394" spans="1:9" x14ac:dyDescent="0.25">
      <c r="A394" s="7">
        <f t="shared" si="104"/>
        <v>393</v>
      </c>
      <c r="B394" s="8" t="str">
        <f t="shared" si="105"/>
        <v>2</v>
      </c>
      <c r="C394" s="8">
        <f t="shared" si="98"/>
        <v>4</v>
      </c>
      <c r="D394" s="8"/>
      <c r="E394" s="9">
        <f>E393+F393/60/24</f>
        <v>43939.416666666664</v>
      </c>
      <c r="F394" s="8">
        <f t="shared" si="106"/>
        <v>105</v>
      </c>
      <c r="G394" s="8" t="s">
        <v>10</v>
      </c>
      <c r="H394" s="8" t="s">
        <v>13</v>
      </c>
      <c r="I394" s="8">
        <f t="shared" si="97"/>
        <v>7</v>
      </c>
    </row>
    <row r="395" spans="1:9" x14ac:dyDescent="0.25">
      <c r="A395" s="7">
        <f t="shared" si="104"/>
        <v>394</v>
      </c>
      <c r="B395" s="8" t="str">
        <f t="shared" si="105"/>
        <v>2</v>
      </c>
      <c r="C395" s="8">
        <f t="shared" si="98"/>
        <v>4</v>
      </c>
      <c r="D395" s="8"/>
      <c r="E395" s="9">
        <f t="shared" ref="E395:E398" si="108">E394+F394/60/24</f>
        <v>43939.489583333328</v>
      </c>
      <c r="F395" s="8">
        <f t="shared" si="106"/>
        <v>105</v>
      </c>
      <c r="G395" s="8" t="s">
        <v>10</v>
      </c>
      <c r="H395" s="8" t="s">
        <v>13</v>
      </c>
      <c r="I395" s="8">
        <f t="shared" si="97"/>
        <v>7</v>
      </c>
    </row>
    <row r="396" spans="1:9" x14ac:dyDescent="0.25">
      <c r="A396" s="7">
        <f t="shared" si="104"/>
        <v>395</v>
      </c>
      <c r="B396" s="8" t="str">
        <f t="shared" si="105"/>
        <v>2</v>
      </c>
      <c r="C396" s="8">
        <f t="shared" si="98"/>
        <v>4</v>
      </c>
      <c r="D396" s="8"/>
      <c r="E396" s="9">
        <f t="shared" si="108"/>
        <v>43939.562499999993</v>
      </c>
      <c r="F396" s="8">
        <f t="shared" si="106"/>
        <v>105</v>
      </c>
      <c r="G396" s="8" t="s">
        <v>10</v>
      </c>
      <c r="H396" s="8" t="s">
        <v>13</v>
      </c>
      <c r="I396" s="8">
        <f t="shared" si="97"/>
        <v>7</v>
      </c>
    </row>
    <row r="397" spans="1:9" x14ac:dyDescent="0.25">
      <c r="A397" s="7">
        <f t="shared" si="104"/>
        <v>396</v>
      </c>
      <c r="B397" s="8" t="str">
        <f t="shared" si="105"/>
        <v>2</v>
      </c>
      <c r="C397" s="8">
        <f t="shared" si="98"/>
        <v>4</v>
      </c>
      <c r="D397" s="8"/>
      <c r="E397" s="9">
        <f t="shared" si="108"/>
        <v>43939.635416666657</v>
      </c>
      <c r="F397" s="8">
        <f t="shared" si="106"/>
        <v>105</v>
      </c>
      <c r="G397" s="8" t="s">
        <v>10</v>
      </c>
      <c r="H397" s="8" t="s">
        <v>13</v>
      </c>
      <c r="I397" s="8">
        <f t="shared" si="97"/>
        <v>7</v>
      </c>
    </row>
    <row r="398" spans="1:9" ht="15.75" thickBot="1" x14ac:dyDescent="0.3">
      <c r="A398" s="10">
        <f t="shared" si="104"/>
        <v>397</v>
      </c>
      <c r="B398" s="11" t="str">
        <f t="shared" si="105"/>
        <v>2</v>
      </c>
      <c r="C398" s="11">
        <f t="shared" si="98"/>
        <v>4</v>
      </c>
      <c r="D398" s="11"/>
      <c r="E398" s="12">
        <f t="shared" si="108"/>
        <v>43939.708333333321</v>
      </c>
      <c r="F398" s="11">
        <f t="shared" si="106"/>
        <v>105</v>
      </c>
      <c r="G398" s="11" t="s">
        <v>10</v>
      </c>
      <c r="H398" s="11" t="s">
        <v>13</v>
      </c>
      <c r="I398" s="11">
        <f t="shared" si="97"/>
        <v>7</v>
      </c>
    </row>
    <row r="399" spans="1:9" x14ac:dyDescent="0.25">
      <c r="A399" s="3">
        <f t="shared" si="104"/>
        <v>398</v>
      </c>
      <c r="B399" s="4" t="str">
        <f t="shared" si="105"/>
        <v>1</v>
      </c>
      <c r="C399" s="4">
        <f t="shared" si="98"/>
        <v>7</v>
      </c>
      <c r="D399" s="4"/>
      <c r="E399" s="5">
        <f>E383</f>
        <v>43939.375</v>
      </c>
      <c r="F399" s="4">
        <f t="shared" si="106"/>
        <v>60</v>
      </c>
      <c r="G399" s="4" t="s">
        <v>16</v>
      </c>
      <c r="H399" s="4" t="s">
        <v>15</v>
      </c>
      <c r="I399" s="4">
        <f>WEEKDAY(E399)</f>
        <v>7</v>
      </c>
    </row>
    <row r="400" spans="1:9" x14ac:dyDescent="0.25">
      <c r="A400" s="7">
        <f t="shared" si="104"/>
        <v>399</v>
      </c>
      <c r="B400" s="8" t="str">
        <f t="shared" si="105"/>
        <v>1</v>
      </c>
      <c r="C400" s="8">
        <f t="shared" si="98"/>
        <v>6</v>
      </c>
      <c r="D400" s="8"/>
      <c r="E400" s="9">
        <f>E399+F399/60/24</f>
        <v>43939.416666666664</v>
      </c>
      <c r="F400" s="8">
        <f t="shared" si="106"/>
        <v>60</v>
      </c>
      <c r="G400" s="8" t="s">
        <v>16</v>
      </c>
      <c r="H400" s="8" t="s">
        <v>14</v>
      </c>
      <c r="I400" s="8">
        <f>WEEKDAY(E400)</f>
        <v>7</v>
      </c>
    </row>
    <row r="401" spans="1:9" x14ac:dyDescent="0.25">
      <c r="A401" s="7">
        <f t="shared" si="104"/>
        <v>400</v>
      </c>
      <c r="B401" s="8" t="str">
        <f t="shared" si="105"/>
        <v>1</v>
      </c>
      <c r="C401" s="8">
        <f t="shared" si="98"/>
        <v>5</v>
      </c>
      <c r="D401" s="8"/>
      <c r="E401" s="9">
        <f t="shared" ref="E401:E405" si="109">E400+F400/60/24</f>
        <v>43939.458333333328</v>
      </c>
      <c r="F401" s="8">
        <f t="shared" si="106"/>
        <v>90</v>
      </c>
      <c r="G401" s="8" t="s">
        <v>16</v>
      </c>
      <c r="H401" s="8" t="s">
        <v>11</v>
      </c>
      <c r="I401" s="8">
        <f>WEEKDAY(E401)</f>
        <v>7</v>
      </c>
    </row>
    <row r="402" spans="1:9" x14ac:dyDescent="0.25">
      <c r="A402" s="7">
        <f t="shared" si="104"/>
        <v>401</v>
      </c>
      <c r="B402" s="8" t="str">
        <f t="shared" si="105"/>
        <v>1</v>
      </c>
      <c r="C402" s="8">
        <f t="shared" si="98"/>
        <v>5</v>
      </c>
      <c r="D402" s="8"/>
      <c r="E402" s="9">
        <f t="shared" si="109"/>
        <v>43939.520833333328</v>
      </c>
      <c r="F402" s="8">
        <f t="shared" si="106"/>
        <v>90</v>
      </c>
      <c r="G402" s="8" t="s">
        <v>16</v>
      </c>
      <c r="H402" s="8" t="s">
        <v>11</v>
      </c>
      <c r="I402" s="8">
        <f>WEEKDAY(E402)</f>
        <v>7</v>
      </c>
    </row>
    <row r="403" spans="1:9" x14ac:dyDescent="0.25">
      <c r="A403" s="7">
        <f t="shared" si="104"/>
        <v>402</v>
      </c>
      <c r="B403" s="8" t="str">
        <f t="shared" si="105"/>
        <v>1</v>
      </c>
      <c r="C403" s="8">
        <f t="shared" si="98"/>
        <v>5</v>
      </c>
      <c r="D403" s="8"/>
      <c r="E403" s="9">
        <f t="shared" si="109"/>
        <v>43939.583333333328</v>
      </c>
      <c r="F403" s="8">
        <f t="shared" si="106"/>
        <v>90</v>
      </c>
      <c r="G403" s="8" t="s">
        <v>16</v>
      </c>
      <c r="H403" s="8" t="s">
        <v>11</v>
      </c>
      <c r="I403" s="8">
        <f t="shared" ref="I403:I405" si="110">WEEKDAY(E403)</f>
        <v>7</v>
      </c>
    </row>
    <row r="404" spans="1:9" x14ac:dyDescent="0.25">
      <c r="A404" s="7">
        <f t="shared" si="104"/>
        <v>403</v>
      </c>
      <c r="B404" s="8" t="str">
        <f t="shared" si="105"/>
        <v>1</v>
      </c>
      <c r="C404" s="8">
        <f t="shared" si="98"/>
        <v>5</v>
      </c>
      <c r="D404" s="8"/>
      <c r="E404" s="9">
        <f t="shared" si="109"/>
        <v>43939.645833333328</v>
      </c>
      <c r="F404" s="8">
        <f t="shared" si="106"/>
        <v>90</v>
      </c>
      <c r="G404" s="8" t="s">
        <v>16</v>
      </c>
      <c r="H404" s="8" t="s">
        <v>11</v>
      </c>
      <c r="I404" s="8">
        <f t="shared" si="110"/>
        <v>7</v>
      </c>
    </row>
    <row r="405" spans="1:9" ht="15.75" thickBot="1" x14ac:dyDescent="0.3">
      <c r="A405" s="10">
        <f t="shared" si="104"/>
        <v>404</v>
      </c>
      <c r="B405" s="11" t="str">
        <f t="shared" si="105"/>
        <v>1</v>
      </c>
      <c r="C405" s="11">
        <f t="shared" si="98"/>
        <v>5</v>
      </c>
      <c r="D405" s="11"/>
      <c r="E405" s="9">
        <f t="shared" si="109"/>
        <v>43939.708333333328</v>
      </c>
      <c r="F405" s="11">
        <f t="shared" si="106"/>
        <v>90</v>
      </c>
      <c r="G405" s="11" t="s">
        <v>16</v>
      </c>
      <c r="H405" s="11" t="s">
        <v>11</v>
      </c>
      <c r="I405" s="11">
        <f t="shared" si="110"/>
        <v>7</v>
      </c>
    </row>
    <row r="406" spans="1:9" x14ac:dyDescent="0.25">
      <c r="A406" s="3">
        <f t="shared" si="104"/>
        <v>405</v>
      </c>
      <c r="B406" s="4" t="str">
        <f t="shared" si="105"/>
        <v>5</v>
      </c>
      <c r="C406" s="4">
        <f t="shared" si="98"/>
        <v>6</v>
      </c>
      <c r="D406" s="4"/>
      <c r="E406" s="5">
        <f>E383</f>
        <v>43939.375</v>
      </c>
      <c r="F406" s="4">
        <f t="shared" si="106"/>
        <v>60</v>
      </c>
      <c r="G406" s="4" t="s">
        <v>17</v>
      </c>
      <c r="H406" s="4" t="s">
        <v>14</v>
      </c>
      <c r="I406" s="4">
        <f>WEEKDAY(E406)</f>
        <v>7</v>
      </c>
    </row>
    <row r="407" spans="1:9" x14ac:dyDescent="0.25">
      <c r="A407" s="7">
        <f t="shared" si="104"/>
        <v>406</v>
      </c>
      <c r="B407" s="8" t="str">
        <f t="shared" si="105"/>
        <v>5</v>
      </c>
      <c r="C407" s="8">
        <f t="shared" ref="C407:C426" si="111">VLOOKUP(H407,league_id,2,FALSE)</f>
        <v>5</v>
      </c>
      <c r="D407" s="8"/>
      <c r="E407" s="9">
        <f>E406+F406/60/24</f>
        <v>43939.416666666664</v>
      </c>
      <c r="F407" s="8">
        <f t="shared" si="106"/>
        <v>90</v>
      </c>
      <c r="G407" s="8" t="s">
        <v>17</v>
      </c>
      <c r="H407" s="8" t="s">
        <v>11</v>
      </c>
      <c r="I407" s="8">
        <f>WEEKDAY(E407)</f>
        <v>7</v>
      </c>
    </row>
    <row r="408" spans="1:9" x14ac:dyDescent="0.25">
      <c r="A408" s="7">
        <f t="shared" si="104"/>
        <v>407</v>
      </c>
      <c r="B408" s="8" t="str">
        <f t="shared" si="105"/>
        <v>5</v>
      </c>
      <c r="C408" s="8">
        <f t="shared" si="111"/>
        <v>4</v>
      </c>
      <c r="D408" s="8"/>
      <c r="E408" s="9">
        <f t="shared" ref="E408:E411" si="112">E407+F407/60/24</f>
        <v>43939.479166666664</v>
      </c>
      <c r="F408" s="8">
        <f t="shared" si="106"/>
        <v>105</v>
      </c>
      <c r="G408" s="8" t="s">
        <v>17</v>
      </c>
      <c r="H408" s="8" t="s">
        <v>13</v>
      </c>
      <c r="I408" s="8">
        <f>WEEKDAY(E408)</f>
        <v>7</v>
      </c>
    </row>
    <row r="409" spans="1:9" x14ac:dyDescent="0.25">
      <c r="A409" s="7">
        <f t="shared" si="104"/>
        <v>408</v>
      </c>
      <c r="B409" s="8" t="str">
        <f t="shared" si="105"/>
        <v>5</v>
      </c>
      <c r="C409" s="8">
        <f t="shared" si="111"/>
        <v>4</v>
      </c>
      <c r="D409" s="8"/>
      <c r="E409" s="9">
        <f t="shared" si="112"/>
        <v>43939.552083333328</v>
      </c>
      <c r="F409" s="8">
        <f t="shared" si="106"/>
        <v>105</v>
      </c>
      <c r="G409" s="8" t="s">
        <v>17</v>
      </c>
      <c r="H409" s="8" t="s">
        <v>13</v>
      </c>
      <c r="I409" s="8">
        <f>WEEKDAY(E409)</f>
        <v>7</v>
      </c>
    </row>
    <row r="410" spans="1:9" x14ac:dyDescent="0.25">
      <c r="A410" s="7">
        <f t="shared" si="104"/>
        <v>409</v>
      </c>
      <c r="B410" s="8" t="str">
        <f t="shared" si="105"/>
        <v>5</v>
      </c>
      <c r="C410" s="8">
        <f t="shared" si="111"/>
        <v>4</v>
      </c>
      <c r="D410" s="8"/>
      <c r="E410" s="9">
        <f t="shared" si="112"/>
        <v>43939.624999999993</v>
      </c>
      <c r="F410" s="8">
        <f t="shared" si="106"/>
        <v>105</v>
      </c>
      <c r="G410" s="8" t="s">
        <v>17</v>
      </c>
      <c r="H410" s="8" t="s">
        <v>13</v>
      </c>
      <c r="I410" s="8">
        <f t="shared" ref="I410:I411" si="113">WEEKDAY(E410)</f>
        <v>7</v>
      </c>
    </row>
    <row r="411" spans="1:9" ht="15.75" thickBot="1" x14ac:dyDescent="0.3">
      <c r="A411" s="10">
        <f t="shared" si="104"/>
        <v>410</v>
      </c>
      <c r="B411" s="11" t="str">
        <f t="shared" si="105"/>
        <v>5</v>
      </c>
      <c r="C411" s="11">
        <f t="shared" si="111"/>
        <v>4</v>
      </c>
      <c r="D411" s="11"/>
      <c r="E411" s="12">
        <f t="shared" si="112"/>
        <v>43939.697916666657</v>
      </c>
      <c r="F411" s="11">
        <f t="shared" si="106"/>
        <v>105</v>
      </c>
      <c r="G411" s="11" t="s">
        <v>17</v>
      </c>
      <c r="H411" s="11" t="s">
        <v>13</v>
      </c>
      <c r="I411" s="11">
        <f t="shared" si="113"/>
        <v>7</v>
      </c>
    </row>
    <row r="412" spans="1:9" x14ac:dyDescent="0.25">
      <c r="A412" s="3">
        <f t="shared" si="104"/>
        <v>411</v>
      </c>
      <c r="B412" s="4" t="str">
        <f t="shared" si="105"/>
        <v>6</v>
      </c>
      <c r="C412" s="4">
        <f t="shared" si="111"/>
        <v>4</v>
      </c>
      <c r="D412" s="4"/>
      <c r="E412" s="5">
        <f>E383</f>
        <v>43939.375</v>
      </c>
      <c r="F412" s="4">
        <f t="shared" si="106"/>
        <v>105</v>
      </c>
      <c r="G412" s="4" t="s">
        <v>18</v>
      </c>
      <c r="H412" s="4" t="s">
        <v>13</v>
      </c>
      <c r="I412" s="4">
        <f>WEEKDAY(E412)</f>
        <v>7</v>
      </c>
    </row>
    <row r="413" spans="1:9" x14ac:dyDescent="0.25">
      <c r="A413" s="7">
        <f t="shared" si="104"/>
        <v>412</v>
      </c>
      <c r="B413" s="8" t="str">
        <f t="shared" si="105"/>
        <v>6</v>
      </c>
      <c r="C413" s="8" t="s">
        <v>50</v>
      </c>
      <c r="D413" s="8"/>
      <c r="E413" s="9">
        <f>E412+F412/60/24</f>
        <v>43939.447916666664</v>
      </c>
      <c r="F413" s="8">
        <f t="shared" si="106"/>
        <v>105</v>
      </c>
      <c r="G413" s="8" t="s">
        <v>18</v>
      </c>
      <c r="H413" s="8" t="s">
        <v>12</v>
      </c>
      <c r="I413" s="8">
        <f>WEEKDAY(E413)</f>
        <v>7</v>
      </c>
    </row>
    <row r="414" spans="1:9" x14ac:dyDescent="0.25">
      <c r="A414" s="7">
        <f t="shared" si="104"/>
        <v>413</v>
      </c>
      <c r="B414" s="8" t="str">
        <f t="shared" si="105"/>
        <v>6</v>
      </c>
      <c r="C414" s="8" t="s">
        <v>50</v>
      </c>
      <c r="D414" s="8"/>
      <c r="E414" s="9">
        <f t="shared" ref="E414:E416" si="114">E413+F413/60/24</f>
        <v>43939.520833333328</v>
      </c>
      <c r="F414" s="8">
        <f t="shared" si="106"/>
        <v>105</v>
      </c>
      <c r="G414" s="8" t="s">
        <v>18</v>
      </c>
      <c r="H414" s="8" t="s">
        <v>12</v>
      </c>
      <c r="I414" s="8">
        <f>WEEKDAY(E414)</f>
        <v>7</v>
      </c>
    </row>
    <row r="415" spans="1:9" x14ac:dyDescent="0.25">
      <c r="A415" s="7">
        <f t="shared" si="104"/>
        <v>414</v>
      </c>
      <c r="B415" s="8" t="str">
        <f t="shared" si="105"/>
        <v>6</v>
      </c>
      <c r="C415" s="8" t="s">
        <v>50</v>
      </c>
      <c r="D415" s="8"/>
      <c r="E415" s="9">
        <f t="shared" si="114"/>
        <v>43939.593749999993</v>
      </c>
      <c r="F415" s="8">
        <f t="shared" si="106"/>
        <v>105</v>
      </c>
      <c r="G415" s="8" t="s">
        <v>18</v>
      </c>
      <c r="H415" s="8" t="s">
        <v>12</v>
      </c>
      <c r="I415" s="8">
        <f>WEEKDAY(E415)</f>
        <v>7</v>
      </c>
    </row>
    <row r="416" spans="1:9" ht="15.75" thickBot="1" x14ac:dyDescent="0.3">
      <c r="A416" s="10">
        <f t="shared" si="104"/>
        <v>415</v>
      </c>
      <c r="B416" s="11" t="str">
        <f t="shared" si="105"/>
        <v>6</v>
      </c>
      <c r="C416" s="8" t="s">
        <v>50</v>
      </c>
      <c r="D416" s="11"/>
      <c r="E416" s="12">
        <f t="shared" si="114"/>
        <v>43939.666666666657</v>
      </c>
      <c r="F416" s="11">
        <f t="shared" si="106"/>
        <v>105</v>
      </c>
      <c r="G416" s="11" t="s">
        <v>18</v>
      </c>
      <c r="H416" s="11" t="s">
        <v>12</v>
      </c>
      <c r="I416" s="11">
        <f t="shared" ref="I416" si="115">WEEKDAY(E416)</f>
        <v>7</v>
      </c>
    </row>
    <row r="417" spans="1:9" x14ac:dyDescent="0.25">
      <c r="A417" s="3">
        <f t="shared" si="104"/>
        <v>416</v>
      </c>
      <c r="B417" s="4" t="str">
        <f t="shared" si="105"/>
        <v>7</v>
      </c>
      <c r="C417" s="4">
        <f t="shared" si="111"/>
        <v>6</v>
      </c>
      <c r="D417" s="4"/>
      <c r="E417" s="5">
        <f>E383</f>
        <v>43939.375</v>
      </c>
      <c r="F417" s="4">
        <f t="shared" si="106"/>
        <v>60</v>
      </c>
      <c r="G417" s="4" t="s">
        <v>19</v>
      </c>
      <c r="H417" s="4" t="s">
        <v>14</v>
      </c>
      <c r="I417" s="4">
        <f>WEEKDAY(E417)</f>
        <v>7</v>
      </c>
    </row>
    <row r="418" spans="1:9" x14ac:dyDescent="0.25">
      <c r="A418" s="7">
        <f t="shared" si="104"/>
        <v>417</v>
      </c>
      <c r="B418" s="8" t="str">
        <f t="shared" si="105"/>
        <v>7</v>
      </c>
      <c r="C418" s="8">
        <f t="shared" si="111"/>
        <v>3</v>
      </c>
      <c r="D418" s="8"/>
      <c r="E418" s="9">
        <f>E417+F417/60/24</f>
        <v>43939.416666666664</v>
      </c>
      <c r="F418" s="8">
        <f t="shared" si="106"/>
        <v>105</v>
      </c>
      <c r="G418" s="8" t="s">
        <v>19</v>
      </c>
      <c r="H418" s="8" t="s">
        <v>12</v>
      </c>
      <c r="I418" s="8">
        <f>WEEKDAY(E418)</f>
        <v>7</v>
      </c>
    </row>
    <row r="419" spans="1:9" x14ac:dyDescent="0.25">
      <c r="A419" s="7">
        <f t="shared" si="104"/>
        <v>418</v>
      </c>
      <c r="B419" s="8" t="str">
        <f t="shared" si="105"/>
        <v>7</v>
      </c>
      <c r="C419" s="8">
        <f t="shared" si="111"/>
        <v>3</v>
      </c>
      <c r="D419" s="8"/>
      <c r="E419" s="9">
        <f t="shared" ref="E419:E421" si="116">E418+F418/60/24</f>
        <v>43939.489583333328</v>
      </c>
      <c r="F419" s="8">
        <f t="shared" si="106"/>
        <v>105</v>
      </c>
      <c r="G419" s="8" t="s">
        <v>19</v>
      </c>
      <c r="H419" s="8" t="s">
        <v>12</v>
      </c>
      <c r="I419" s="8">
        <f>WEEKDAY(E419)</f>
        <v>7</v>
      </c>
    </row>
    <row r="420" spans="1:9" x14ac:dyDescent="0.25">
      <c r="A420" s="7">
        <f t="shared" si="104"/>
        <v>419</v>
      </c>
      <c r="B420" s="8" t="str">
        <f t="shared" si="105"/>
        <v>7</v>
      </c>
      <c r="C420" s="8" t="s">
        <v>50</v>
      </c>
      <c r="D420" s="8"/>
      <c r="E420" s="9">
        <f t="shared" si="116"/>
        <v>43939.562499999993</v>
      </c>
      <c r="F420" s="8">
        <f t="shared" si="106"/>
        <v>120</v>
      </c>
      <c r="G420" s="8" t="s">
        <v>19</v>
      </c>
      <c r="H420" s="8" t="s">
        <v>9</v>
      </c>
      <c r="I420" s="8">
        <f>WEEKDAY(E420)</f>
        <v>7</v>
      </c>
    </row>
    <row r="421" spans="1:9" ht="15.75" thickBot="1" x14ac:dyDescent="0.3">
      <c r="A421" s="10">
        <f t="shared" si="104"/>
        <v>420</v>
      </c>
      <c r="B421" s="11" t="str">
        <f t="shared" si="105"/>
        <v>7</v>
      </c>
      <c r="C421" s="8" t="s">
        <v>50</v>
      </c>
      <c r="D421" s="11"/>
      <c r="E421" s="12">
        <f t="shared" si="116"/>
        <v>43939.645833333328</v>
      </c>
      <c r="F421" s="11">
        <f t="shared" si="106"/>
        <v>120</v>
      </c>
      <c r="G421" s="11" t="s">
        <v>19</v>
      </c>
      <c r="H421" s="11" t="s">
        <v>9</v>
      </c>
      <c r="I421" s="11">
        <f t="shared" ref="I421" si="117">WEEKDAY(E421)</f>
        <v>7</v>
      </c>
    </row>
    <row r="422" spans="1:9" x14ac:dyDescent="0.25">
      <c r="A422" s="3">
        <f t="shared" si="104"/>
        <v>421</v>
      </c>
      <c r="B422" s="4" t="str">
        <f t="shared" si="105"/>
        <v>8</v>
      </c>
      <c r="C422" s="4">
        <f t="shared" si="111"/>
        <v>5</v>
      </c>
      <c r="D422" s="4"/>
      <c r="E422" s="5">
        <f>E383</f>
        <v>43939.375</v>
      </c>
      <c r="F422" s="4">
        <f t="shared" si="106"/>
        <v>90</v>
      </c>
      <c r="G422" s="4" t="s">
        <v>20</v>
      </c>
      <c r="H422" s="4" t="s">
        <v>11</v>
      </c>
      <c r="I422" s="4">
        <f>WEEKDAY(E422)</f>
        <v>7</v>
      </c>
    </row>
    <row r="423" spans="1:9" x14ac:dyDescent="0.25">
      <c r="A423" s="7">
        <f t="shared" si="104"/>
        <v>422</v>
      </c>
      <c r="B423" s="8" t="str">
        <f t="shared" si="105"/>
        <v>8</v>
      </c>
      <c r="C423" s="8">
        <f t="shared" si="111"/>
        <v>5</v>
      </c>
      <c r="D423" s="8"/>
      <c r="E423" s="9">
        <f>E422+F422/60/24</f>
        <v>43939.4375</v>
      </c>
      <c r="F423" s="8">
        <f t="shared" si="106"/>
        <v>90</v>
      </c>
      <c r="G423" s="8" t="s">
        <v>20</v>
      </c>
      <c r="H423" s="8" t="s">
        <v>11</v>
      </c>
      <c r="I423" s="8">
        <f>WEEKDAY(E423)</f>
        <v>7</v>
      </c>
    </row>
    <row r="424" spans="1:9" x14ac:dyDescent="0.25">
      <c r="A424" s="7">
        <f t="shared" si="104"/>
        <v>423</v>
      </c>
      <c r="B424" s="8" t="str">
        <f t="shared" si="105"/>
        <v>8</v>
      </c>
      <c r="C424" s="8">
        <f t="shared" si="111"/>
        <v>3</v>
      </c>
      <c r="D424" s="8"/>
      <c r="E424" s="9">
        <f t="shared" ref="E424:E426" si="118">E423+F423/60/24</f>
        <v>43939.5</v>
      </c>
      <c r="F424" s="8">
        <f t="shared" si="106"/>
        <v>105</v>
      </c>
      <c r="G424" s="8" t="s">
        <v>20</v>
      </c>
      <c r="H424" s="8" t="s">
        <v>12</v>
      </c>
      <c r="I424" s="8">
        <f>WEEKDAY(E424)</f>
        <v>7</v>
      </c>
    </row>
    <row r="425" spans="1:9" x14ac:dyDescent="0.25">
      <c r="A425" s="7">
        <f t="shared" si="104"/>
        <v>424</v>
      </c>
      <c r="B425" s="8" t="str">
        <f t="shared" si="105"/>
        <v>8</v>
      </c>
      <c r="C425" s="8" t="s">
        <v>50</v>
      </c>
      <c r="D425" s="8"/>
      <c r="E425" s="9">
        <f t="shared" si="118"/>
        <v>43939.572916666664</v>
      </c>
      <c r="F425" s="8">
        <f t="shared" si="106"/>
        <v>120</v>
      </c>
      <c r="G425" s="8" t="s">
        <v>20</v>
      </c>
      <c r="H425" s="8" t="s">
        <v>9</v>
      </c>
      <c r="I425" s="8">
        <f>WEEKDAY(E425)</f>
        <v>7</v>
      </c>
    </row>
    <row r="426" spans="1:9" ht="15.75" thickBot="1" x14ac:dyDescent="0.3">
      <c r="A426" s="10">
        <f t="shared" si="104"/>
        <v>425</v>
      </c>
      <c r="B426" s="11" t="str">
        <f t="shared" si="105"/>
        <v>8</v>
      </c>
      <c r="C426" s="8" t="s">
        <v>50</v>
      </c>
      <c r="D426" s="11"/>
      <c r="E426" s="12">
        <f t="shared" si="118"/>
        <v>43939.65625</v>
      </c>
      <c r="F426" s="11">
        <f t="shared" si="106"/>
        <v>120</v>
      </c>
      <c r="G426" s="11" t="s">
        <v>20</v>
      </c>
      <c r="H426" s="11" t="s">
        <v>9</v>
      </c>
      <c r="I426" s="11">
        <f t="shared" ref="I426:I470" si="119">WEEKDAY(E426)</f>
        <v>7</v>
      </c>
    </row>
    <row r="427" spans="1:9" x14ac:dyDescent="0.25">
      <c r="A427" s="3">
        <f>A426+1</f>
        <v>426</v>
      </c>
      <c r="B427" s="4" t="str">
        <f t="shared" si="105"/>
        <v>4</v>
      </c>
      <c r="C427" s="4">
        <f t="shared" ref="C427:C490" si="120">VLOOKUP(H427,league_id,2,FALSE)</f>
        <v>1</v>
      </c>
      <c r="D427" s="4"/>
      <c r="E427" s="5">
        <v>43944.75</v>
      </c>
      <c r="F427" s="4">
        <f t="shared" si="106"/>
        <v>120</v>
      </c>
      <c r="G427" s="4" t="s">
        <v>8</v>
      </c>
      <c r="H427" s="4" t="s">
        <v>8</v>
      </c>
      <c r="I427" s="4">
        <f t="shared" si="119"/>
        <v>5</v>
      </c>
    </row>
    <row r="428" spans="1:9" ht="15.75" thickBot="1" x14ac:dyDescent="0.3">
      <c r="A428" s="7">
        <f>A427+1</f>
        <v>427</v>
      </c>
      <c r="B428" s="8" t="str">
        <f t="shared" si="105"/>
        <v>4</v>
      </c>
      <c r="C428" s="8">
        <f t="shared" si="120"/>
        <v>1</v>
      </c>
      <c r="D428" s="8"/>
      <c r="E428" s="9">
        <f>E427+F427/60/24</f>
        <v>43944.833333333336</v>
      </c>
      <c r="F428" s="8">
        <f t="shared" si="106"/>
        <v>120</v>
      </c>
      <c r="G428" s="8" t="s">
        <v>8</v>
      </c>
      <c r="H428" s="8" t="s">
        <v>8</v>
      </c>
      <c r="I428" s="8">
        <f t="shared" si="119"/>
        <v>5</v>
      </c>
    </row>
    <row r="429" spans="1:9" x14ac:dyDescent="0.25">
      <c r="A429" s="3">
        <f>A428+1</f>
        <v>428</v>
      </c>
      <c r="B429" s="4" t="str">
        <f t="shared" si="105"/>
        <v>3</v>
      </c>
      <c r="C429" s="4">
        <f t="shared" si="120"/>
        <v>2</v>
      </c>
      <c r="D429" s="4"/>
      <c r="E429" s="5">
        <f>E427</f>
        <v>43944.75</v>
      </c>
      <c r="F429" s="4">
        <f t="shared" si="106"/>
        <v>120</v>
      </c>
      <c r="G429" s="4" t="s">
        <v>9</v>
      </c>
      <c r="H429" s="4" t="s">
        <v>9</v>
      </c>
      <c r="I429" s="4">
        <f t="shared" si="119"/>
        <v>5</v>
      </c>
    </row>
    <row r="430" spans="1:9" ht="15.75" thickBot="1" x14ac:dyDescent="0.3">
      <c r="A430" s="7">
        <f t="shared" ref="A430:A438" si="121">A429+1</f>
        <v>429</v>
      </c>
      <c r="B430" s="8" t="str">
        <f t="shared" si="105"/>
        <v>3</v>
      </c>
      <c r="C430" s="8">
        <f t="shared" si="120"/>
        <v>2</v>
      </c>
      <c r="D430" s="8"/>
      <c r="E430" s="9">
        <f>E429+F429/60/24</f>
        <v>43944.833333333336</v>
      </c>
      <c r="F430" s="8">
        <f t="shared" si="106"/>
        <v>120</v>
      </c>
      <c r="G430" s="8" t="s">
        <v>9</v>
      </c>
      <c r="H430" s="8" t="s">
        <v>9</v>
      </c>
      <c r="I430" s="8">
        <f t="shared" si="119"/>
        <v>5</v>
      </c>
    </row>
    <row r="431" spans="1:9" x14ac:dyDescent="0.25">
      <c r="A431" s="3">
        <f>A430+1</f>
        <v>430</v>
      </c>
      <c r="B431" s="4" t="str">
        <f t="shared" si="105"/>
        <v>2</v>
      </c>
      <c r="C431" s="4">
        <f t="shared" si="120"/>
        <v>4</v>
      </c>
      <c r="D431" s="4"/>
      <c r="E431" s="5">
        <f>E427</f>
        <v>43944.75</v>
      </c>
      <c r="F431" s="4">
        <f t="shared" si="106"/>
        <v>105</v>
      </c>
      <c r="G431" s="4" t="s">
        <v>10</v>
      </c>
      <c r="H431" s="4" t="s">
        <v>13</v>
      </c>
      <c r="I431" s="4">
        <f t="shared" si="119"/>
        <v>5</v>
      </c>
    </row>
    <row r="432" spans="1:9" ht="15.75" thickBot="1" x14ac:dyDescent="0.3">
      <c r="A432" s="7">
        <f t="shared" si="121"/>
        <v>431</v>
      </c>
      <c r="B432" s="8" t="str">
        <f t="shared" si="105"/>
        <v>2</v>
      </c>
      <c r="C432" s="8">
        <f t="shared" si="120"/>
        <v>4</v>
      </c>
      <c r="D432" s="8"/>
      <c r="E432" s="9">
        <f>E431+F431/60/24</f>
        <v>43944.822916666664</v>
      </c>
      <c r="F432" s="8">
        <f t="shared" si="106"/>
        <v>105</v>
      </c>
      <c r="G432" s="8" t="s">
        <v>10</v>
      </c>
      <c r="H432" s="8" t="s">
        <v>13</v>
      </c>
      <c r="I432" s="8">
        <f t="shared" si="119"/>
        <v>5</v>
      </c>
    </row>
    <row r="433" spans="1:9" x14ac:dyDescent="0.25">
      <c r="A433" s="3">
        <f>A432+1</f>
        <v>432</v>
      </c>
      <c r="B433" s="4" t="str">
        <f t="shared" si="105"/>
        <v>1</v>
      </c>
      <c r="C433" s="4">
        <f t="shared" si="120"/>
        <v>5</v>
      </c>
      <c r="D433" s="4"/>
      <c r="E433" s="5">
        <f>E427</f>
        <v>43944.75</v>
      </c>
      <c r="F433" s="4">
        <f t="shared" si="106"/>
        <v>90</v>
      </c>
      <c r="G433" s="4" t="s">
        <v>16</v>
      </c>
      <c r="H433" s="4" t="s">
        <v>11</v>
      </c>
      <c r="I433" s="4">
        <f t="shared" si="119"/>
        <v>5</v>
      </c>
    </row>
    <row r="434" spans="1:9" ht="15.75" thickBot="1" x14ac:dyDescent="0.3">
      <c r="A434" s="7">
        <f t="shared" si="121"/>
        <v>433</v>
      </c>
      <c r="B434" s="8" t="str">
        <f t="shared" si="105"/>
        <v>1</v>
      </c>
      <c r="C434" s="8">
        <f t="shared" si="120"/>
        <v>5</v>
      </c>
      <c r="D434" s="8"/>
      <c r="E434" s="9">
        <f>E433+F433/60/24</f>
        <v>43944.8125</v>
      </c>
      <c r="F434" s="8">
        <f t="shared" si="106"/>
        <v>90</v>
      </c>
      <c r="G434" s="8" t="s">
        <v>16</v>
      </c>
      <c r="H434" s="8" t="s">
        <v>11</v>
      </c>
      <c r="I434" s="8">
        <f t="shared" si="119"/>
        <v>5</v>
      </c>
    </row>
    <row r="435" spans="1:9" x14ac:dyDescent="0.25">
      <c r="A435" s="3">
        <f>A434+1</f>
        <v>434</v>
      </c>
      <c r="B435" s="4" t="str">
        <f t="shared" si="105"/>
        <v>5</v>
      </c>
      <c r="C435" s="4">
        <f t="shared" si="120"/>
        <v>5</v>
      </c>
      <c r="D435" s="4"/>
      <c r="E435" s="5">
        <f>E427</f>
        <v>43944.75</v>
      </c>
      <c r="F435" s="4">
        <f t="shared" si="106"/>
        <v>90</v>
      </c>
      <c r="G435" s="4" t="s">
        <v>17</v>
      </c>
      <c r="H435" s="4" t="s">
        <v>11</v>
      </c>
      <c r="I435" s="4">
        <f t="shared" si="119"/>
        <v>5</v>
      </c>
    </row>
    <row r="436" spans="1:9" ht="15.75" thickBot="1" x14ac:dyDescent="0.3">
      <c r="A436" s="7">
        <f t="shared" si="121"/>
        <v>435</v>
      </c>
      <c r="B436" s="8" t="str">
        <f t="shared" si="105"/>
        <v>5</v>
      </c>
      <c r="C436" s="8">
        <f t="shared" si="120"/>
        <v>4</v>
      </c>
      <c r="D436" s="8"/>
      <c r="E436" s="9">
        <f>E435+F435/60/24</f>
        <v>43944.8125</v>
      </c>
      <c r="F436" s="8">
        <f t="shared" si="106"/>
        <v>105</v>
      </c>
      <c r="G436" s="8" t="s">
        <v>17</v>
      </c>
      <c r="H436" s="8" t="s">
        <v>13</v>
      </c>
      <c r="I436" s="8">
        <f t="shared" si="119"/>
        <v>5</v>
      </c>
    </row>
    <row r="437" spans="1:9" x14ac:dyDescent="0.25">
      <c r="A437" s="3">
        <f>A436+1</f>
        <v>436</v>
      </c>
      <c r="B437" s="4" t="str">
        <f t="shared" si="105"/>
        <v>6</v>
      </c>
      <c r="C437" s="4">
        <f t="shared" si="120"/>
        <v>3</v>
      </c>
      <c r="D437" s="4"/>
      <c r="E437" s="5">
        <f>E427</f>
        <v>43944.75</v>
      </c>
      <c r="F437" s="4">
        <f t="shared" si="106"/>
        <v>105</v>
      </c>
      <c r="G437" s="4" t="s">
        <v>18</v>
      </c>
      <c r="H437" s="4" t="s">
        <v>12</v>
      </c>
      <c r="I437" s="4">
        <f t="shared" si="119"/>
        <v>5</v>
      </c>
    </row>
    <row r="438" spans="1:9" ht="15.75" thickBot="1" x14ac:dyDescent="0.3">
      <c r="A438" s="10">
        <f t="shared" si="121"/>
        <v>437</v>
      </c>
      <c r="B438" s="11" t="str">
        <f t="shared" si="105"/>
        <v>6</v>
      </c>
      <c r="C438" s="11">
        <f t="shared" si="120"/>
        <v>3</v>
      </c>
      <c r="D438" s="11"/>
      <c r="E438" s="12">
        <f>E437+F437/60/24</f>
        <v>43944.822916666664</v>
      </c>
      <c r="F438" s="11">
        <f t="shared" si="106"/>
        <v>105</v>
      </c>
      <c r="G438" s="11" t="s">
        <v>18</v>
      </c>
      <c r="H438" s="11" t="s">
        <v>12</v>
      </c>
      <c r="I438" s="11">
        <f t="shared" si="119"/>
        <v>5</v>
      </c>
    </row>
    <row r="439" spans="1:9" x14ac:dyDescent="0.25">
      <c r="A439" s="3">
        <f>A438+1</f>
        <v>438</v>
      </c>
      <c r="B439" s="4" t="str">
        <f t="shared" si="105"/>
        <v>4</v>
      </c>
      <c r="C439" s="4">
        <f t="shared" si="120"/>
        <v>1</v>
      </c>
      <c r="D439" s="4"/>
      <c r="E439" s="5">
        <v>43945.75</v>
      </c>
      <c r="F439" s="4">
        <f t="shared" si="106"/>
        <v>120</v>
      </c>
      <c r="G439" s="4" t="s">
        <v>8</v>
      </c>
      <c r="H439" s="4" t="s">
        <v>8</v>
      </c>
      <c r="I439" s="4">
        <f t="shared" si="119"/>
        <v>6</v>
      </c>
    </row>
    <row r="440" spans="1:9" ht="15.75" thickBot="1" x14ac:dyDescent="0.3">
      <c r="A440" s="7">
        <f>A439+1</f>
        <v>439</v>
      </c>
      <c r="B440" s="8" t="str">
        <f t="shared" si="105"/>
        <v>4</v>
      </c>
      <c r="C440" s="8">
        <f t="shared" si="120"/>
        <v>1</v>
      </c>
      <c r="D440" s="8"/>
      <c r="E440" s="9">
        <f>E439+F439/60/24</f>
        <v>43945.833333333336</v>
      </c>
      <c r="F440" s="8">
        <f t="shared" si="106"/>
        <v>120</v>
      </c>
      <c r="G440" s="8" t="s">
        <v>8</v>
      </c>
      <c r="H440" s="8" t="s">
        <v>8</v>
      </c>
      <c r="I440" s="8">
        <f t="shared" si="119"/>
        <v>6</v>
      </c>
    </row>
    <row r="441" spans="1:9" x14ac:dyDescent="0.25">
      <c r="A441" s="3">
        <f>A440+1</f>
        <v>440</v>
      </c>
      <c r="B441" s="4" t="str">
        <f t="shared" si="105"/>
        <v>3</v>
      </c>
      <c r="C441" s="4">
        <f t="shared" si="120"/>
        <v>2</v>
      </c>
      <c r="D441" s="4"/>
      <c r="E441" s="5">
        <f>E439</f>
        <v>43945.75</v>
      </c>
      <c r="F441" s="4">
        <f t="shared" si="106"/>
        <v>120</v>
      </c>
      <c r="G441" s="4" t="s">
        <v>9</v>
      </c>
      <c r="H441" s="4" t="s">
        <v>9</v>
      </c>
      <c r="I441" s="4">
        <f t="shared" si="119"/>
        <v>6</v>
      </c>
    </row>
    <row r="442" spans="1:9" ht="15.75" thickBot="1" x14ac:dyDescent="0.3">
      <c r="A442" s="7">
        <f t="shared" ref="A442:A450" si="122">A441+1</f>
        <v>441</v>
      </c>
      <c r="B442" s="8" t="str">
        <f t="shared" si="105"/>
        <v>3</v>
      </c>
      <c r="C442" s="8">
        <f t="shared" si="120"/>
        <v>2</v>
      </c>
      <c r="D442" s="8"/>
      <c r="E442" s="9">
        <f>E441+F441/60/24</f>
        <v>43945.833333333336</v>
      </c>
      <c r="F442" s="8">
        <f t="shared" si="106"/>
        <v>120</v>
      </c>
      <c r="G442" s="8" t="s">
        <v>9</v>
      </c>
      <c r="H442" s="8" t="s">
        <v>9</v>
      </c>
      <c r="I442" s="8">
        <f t="shared" si="119"/>
        <v>6</v>
      </c>
    </row>
    <row r="443" spans="1:9" x14ac:dyDescent="0.25">
      <c r="A443" s="3">
        <f>A442+1</f>
        <v>442</v>
      </c>
      <c r="B443" s="4" t="str">
        <f t="shared" si="105"/>
        <v>2</v>
      </c>
      <c r="C443" s="4">
        <f t="shared" si="120"/>
        <v>4</v>
      </c>
      <c r="D443" s="4"/>
      <c r="E443" s="5">
        <f>E439</f>
        <v>43945.75</v>
      </c>
      <c r="F443" s="4">
        <f t="shared" si="106"/>
        <v>105</v>
      </c>
      <c r="G443" s="4" t="s">
        <v>10</v>
      </c>
      <c r="H443" s="4" t="s">
        <v>13</v>
      </c>
      <c r="I443" s="4">
        <f t="shared" si="119"/>
        <v>6</v>
      </c>
    </row>
    <row r="444" spans="1:9" ht="15.75" thickBot="1" x14ac:dyDescent="0.3">
      <c r="A444" s="7">
        <f t="shared" si="122"/>
        <v>443</v>
      </c>
      <c r="B444" s="8" t="str">
        <f t="shared" si="105"/>
        <v>2</v>
      </c>
      <c r="C444" s="8">
        <f t="shared" si="120"/>
        <v>4</v>
      </c>
      <c r="D444" s="8"/>
      <c r="E444" s="9">
        <f>E443+F443/60/24</f>
        <v>43945.822916666664</v>
      </c>
      <c r="F444" s="8">
        <f t="shared" si="106"/>
        <v>105</v>
      </c>
      <c r="G444" s="8" t="s">
        <v>10</v>
      </c>
      <c r="H444" s="8" t="s">
        <v>13</v>
      </c>
      <c r="I444" s="8">
        <f t="shared" si="119"/>
        <v>6</v>
      </c>
    </row>
    <row r="445" spans="1:9" x14ac:dyDescent="0.25">
      <c r="A445" s="3">
        <f>A444+1</f>
        <v>444</v>
      </c>
      <c r="B445" s="4" t="str">
        <f t="shared" si="105"/>
        <v>1</v>
      </c>
      <c r="C445" s="4">
        <f t="shared" si="120"/>
        <v>5</v>
      </c>
      <c r="D445" s="4"/>
      <c r="E445" s="5">
        <f>E439</f>
        <v>43945.75</v>
      </c>
      <c r="F445" s="4">
        <f t="shared" si="106"/>
        <v>90</v>
      </c>
      <c r="G445" s="4" t="s">
        <v>16</v>
      </c>
      <c r="H445" s="4" t="s">
        <v>11</v>
      </c>
      <c r="I445" s="4">
        <f t="shared" si="119"/>
        <v>6</v>
      </c>
    </row>
    <row r="446" spans="1:9" ht="15.75" thickBot="1" x14ac:dyDescent="0.3">
      <c r="A446" s="7">
        <f t="shared" si="122"/>
        <v>445</v>
      </c>
      <c r="B446" s="8" t="str">
        <f t="shared" si="105"/>
        <v>1</v>
      </c>
      <c r="C446" s="8">
        <f t="shared" si="120"/>
        <v>5</v>
      </c>
      <c r="D446" s="8"/>
      <c r="E446" s="9">
        <f>E445+F445/60/24</f>
        <v>43945.8125</v>
      </c>
      <c r="F446" s="8">
        <f t="shared" si="106"/>
        <v>90</v>
      </c>
      <c r="G446" s="8" t="s">
        <v>16</v>
      </c>
      <c r="H446" s="8" t="s">
        <v>11</v>
      </c>
      <c r="I446" s="8">
        <f t="shared" si="119"/>
        <v>6</v>
      </c>
    </row>
    <row r="447" spans="1:9" x14ac:dyDescent="0.25">
      <c r="A447" s="3">
        <f>A446+1</f>
        <v>446</v>
      </c>
      <c r="B447" s="4" t="str">
        <f t="shared" si="105"/>
        <v>5</v>
      </c>
      <c r="C447" s="4">
        <f t="shared" si="120"/>
        <v>5</v>
      </c>
      <c r="D447" s="4"/>
      <c r="E447" s="5">
        <f>E439</f>
        <v>43945.75</v>
      </c>
      <c r="F447" s="4">
        <f t="shared" si="106"/>
        <v>90</v>
      </c>
      <c r="G447" s="4" t="s">
        <v>17</v>
      </c>
      <c r="H447" s="4" t="s">
        <v>11</v>
      </c>
      <c r="I447" s="4">
        <f t="shared" si="119"/>
        <v>6</v>
      </c>
    </row>
    <row r="448" spans="1:9" ht="15.75" thickBot="1" x14ac:dyDescent="0.3">
      <c r="A448" s="7">
        <f t="shared" si="122"/>
        <v>447</v>
      </c>
      <c r="B448" s="8" t="str">
        <f t="shared" si="105"/>
        <v>5</v>
      </c>
      <c r="C448" s="8">
        <f t="shared" si="120"/>
        <v>4</v>
      </c>
      <c r="D448" s="8"/>
      <c r="E448" s="9">
        <f>E447+F447/60/24</f>
        <v>43945.8125</v>
      </c>
      <c r="F448" s="8">
        <f t="shared" si="106"/>
        <v>105</v>
      </c>
      <c r="G448" s="8" t="s">
        <v>17</v>
      </c>
      <c r="H448" s="8" t="s">
        <v>13</v>
      </c>
      <c r="I448" s="8">
        <f t="shared" si="119"/>
        <v>6</v>
      </c>
    </row>
    <row r="449" spans="1:9" x14ac:dyDescent="0.25">
      <c r="A449" s="3">
        <f>A448+1</f>
        <v>448</v>
      </c>
      <c r="B449" s="4" t="str">
        <f t="shared" si="105"/>
        <v>6</v>
      </c>
      <c r="C449" s="4">
        <f t="shared" si="120"/>
        <v>3</v>
      </c>
      <c r="D449" s="4"/>
      <c r="E449" s="5">
        <f>E439</f>
        <v>43945.75</v>
      </c>
      <c r="F449" s="4">
        <f t="shared" si="106"/>
        <v>105</v>
      </c>
      <c r="G449" s="4" t="s">
        <v>18</v>
      </c>
      <c r="H449" s="4" t="s">
        <v>12</v>
      </c>
      <c r="I449" s="4">
        <f t="shared" si="119"/>
        <v>6</v>
      </c>
    </row>
    <row r="450" spans="1:9" ht="15.75" thickBot="1" x14ac:dyDescent="0.3">
      <c r="A450" s="10">
        <f t="shared" si="122"/>
        <v>449</v>
      </c>
      <c r="B450" s="11" t="str">
        <f t="shared" ref="B450:B513" si="123">VLOOKUP(G450,field_id,2,FALSE)</f>
        <v>6</v>
      </c>
      <c r="C450" s="11">
        <f t="shared" si="120"/>
        <v>3</v>
      </c>
      <c r="D450" s="11"/>
      <c r="E450" s="12">
        <f>E449+F449/60/24</f>
        <v>43945.822916666664</v>
      </c>
      <c r="F450" s="11">
        <f t="shared" ref="F450:F513" si="124">VLOOKUP(H450,GameDuration,2,FALSE)</f>
        <v>105</v>
      </c>
      <c r="G450" s="11" t="s">
        <v>18</v>
      </c>
      <c r="H450" s="11" t="s">
        <v>12</v>
      </c>
      <c r="I450" s="11">
        <f t="shared" si="119"/>
        <v>6</v>
      </c>
    </row>
    <row r="451" spans="1:9" x14ac:dyDescent="0.25">
      <c r="A451" s="3">
        <f>A450+1</f>
        <v>450</v>
      </c>
      <c r="B451" s="4" t="str">
        <f t="shared" si="123"/>
        <v>7</v>
      </c>
      <c r="C451" s="4">
        <f t="shared" si="120"/>
        <v>5</v>
      </c>
      <c r="D451" s="4"/>
      <c r="E451" s="5">
        <f>E439</f>
        <v>43945.75</v>
      </c>
      <c r="F451" s="4">
        <f t="shared" si="124"/>
        <v>90</v>
      </c>
      <c r="G451" s="4" t="s">
        <v>19</v>
      </c>
      <c r="H451" s="4" t="s">
        <v>11</v>
      </c>
      <c r="I451" s="4">
        <f t="shared" si="119"/>
        <v>6</v>
      </c>
    </row>
    <row r="452" spans="1:9" ht="15.75" thickBot="1" x14ac:dyDescent="0.3">
      <c r="A452" s="7">
        <f t="shared" ref="A452" si="125">A451+1</f>
        <v>451</v>
      </c>
      <c r="B452" s="8" t="str">
        <f t="shared" si="123"/>
        <v>7</v>
      </c>
      <c r="C452" s="8">
        <f t="shared" si="120"/>
        <v>4</v>
      </c>
      <c r="D452" s="8"/>
      <c r="E452" s="9">
        <f>E451+F451/60/24</f>
        <v>43945.8125</v>
      </c>
      <c r="F452" s="8">
        <f t="shared" si="124"/>
        <v>105</v>
      </c>
      <c r="G452" s="8" t="s">
        <v>19</v>
      </c>
      <c r="H452" s="8" t="s">
        <v>13</v>
      </c>
      <c r="I452" s="8">
        <f t="shared" si="119"/>
        <v>6</v>
      </c>
    </row>
    <row r="453" spans="1:9" x14ac:dyDescent="0.25">
      <c r="A453" s="3">
        <f>A452+1</f>
        <v>452</v>
      </c>
      <c r="B453" s="4" t="str">
        <f t="shared" si="123"/>
        <v>8</v>
      </c>
      <c r="C453" s="4">
        <f t="shared" si="120"/>
        <v>5</v>
      </c>
      <c r="D453" s="4"/>
      <c r="E453" s="5">
        <f>E439</f>
        <v>43945.75</v>
      </c>
      <c r="F453" s="4">
        <f t="shared" si="124"/>
        <v>90</v>
      </c>
      <c r="G453" s="4" t="s">
        <v>20</v>
      </c>
      <c r="H453" s="4" t="s">
        <v>11</v>
      </c>
      <c r="I453" s="4">
        <f t="shared" si="119"/>
        <v>6</v>
      </c>
    </row>
    <row r="454" spans="1:9" ht="15.75" thickBot="1" x14ac:dyDescent="0.3">
      <c r="A454" s="10">
        <f t="shared" ref="A454" si="126">A453+1</f>
        <v>453</v>
      </c>
      <c r="B454" s="11" t="str">
        <f t="shared" si="123"/>
        <v>8</v>
      </c>
      <c r="C454" s="11">
        <f t="shared" si="120"/>
        <v>4</v>
      </c>
      <c r="D454" s="11"/>
      <c r="E454" s="12">
        <f>E453+F453/60/24</f>
        <v>43945.8125</v>
      </c>
      <c r="F454" s="11">
        <f t="shared" si="124"/>
        <v>105</v>
      </c>
      <c r="G454" s="11" t="s">
        <v>20</v>
      </c>
      <c r="H454" s="11" t="s">
        <v>13</v>
      </c>
      <c r="I454" s="11">
        <f t="shared" si="119"/>
        <v>6</v>
      </c>
    </row>
    <row r="455" spans="1:9" x14ac:dyDescent="0.25">
      <c r="A455" s="3">
        <f>A454+1</f>
        <v>454</v>
      </c>
      <c r="B455" s="4" t="str">
        <f t="shared" si="123"/>
        <v>4</v>
      </c>
      <c r="C455" s="4">
        <f t="shared" si="120"/>
        <v>1</v>
      </c>
      <c r="D455" s="4"/>
      <c r="E455" s="5">
        <v>43946.375</v>
      </c>
      <c r="F455" s="4">
        <f t="shared" si="124"/>
        <v>120</v>
      </c>
      <c r="G455" s="4" t="s">
        <v>8</v>
      </c>
      <c r="H455" s="4" t="s">
        <v>8</v>
      </c>
      <c r="I455" s="4">
        <f t="shared" si="119"/>
        <v>7</v>
      </c>
    </row>
    <row r="456" spans="1:9" x14ac:dyDescent="0.25">
      <c r="A456" s="7">
        <f>A455+1</f>
        <v>455</v>
      </c>
      <c r="B456" s="8" t="str">
        <f t="shared" si="123"/>
        <v>4</v>
      </c>
      <c r="C456" s="8">
        <f t="shared" si="120"/>
        <v>1</v>
      </c>
      <c r="D456" s="8"/>
      <c r="E456" s="9">
        <f>E455+F455/60/24</f>
        <v>43946.458333333336</v>
      </c>
      <c r="F456" s="8">
        <f t="shared" si="124"/>
        <v>120</v>
      </c>
      <c r="G456" s="8" t="s">
        <v>8</v>
      </c>
      <c r="H456" s="8" t="s">
        <v>8</v>
      </c>
      <c r="I456" s="8">
        <f t="shared" si="119"/>
        <v>7</v>
      </c>
    </row>
    <row r="457" spans="1:9" x14ac:dyDescent="0.25">
      <c r="A457" s="7">
        <f t="shared" ref="A457:A498" si="127">A456+1</f>
        <v>456</v>
      </c>
      <c r="B457" s="8" t="str">
        <f t="shared" si="123"/>
        <v>4</v>
      </c>
      <c r="C457" s="8">
        <f t="shared" si="120"/>
        <v>1</v>
      </c>
      <c r="D457" s="8"/>
      <c r="E457" s="9">
        <f>E456+F456/60/24</f>
        <v>43946.541666666672</v>
      </c>
      <c r="F457" s="8">
        <f t="shared" si="124"/>
        <v>120</v>
      </c>
      <c r="G457" s="8" t="s">
        <v>8</v>
      </c>
      <c r="H457" s="8" t="s">
        <v>8</v>
      </c>
      <c r="I457" s="8">
        <f t="shared" si="119"/>
        <v>7</v>
      </c>
    </row>
    <row r="458" spans="1:9" x14ac:dyDescent="0.25">
      <c r="A458" s="7">
        <f t="shared" si="127"/>
        <v>457</v>
      </c>
      <c r="B458" s="8" t="str">
        <f t="shared" si="123"/>
        <v>4</v>
      </c>
      <c r="C458" s="8">
        <f t="shared" si="120"/>
        <v>1</v>
      </c>
      <c r="D458" s="8"/>
      <c r="E458" s="9">
        <f>E457+F457/60/24</f>
        <v>43946.625000000007</v>
      </c>
      <c r="F458" s="8">
        <f t="shared" si="124"/>
        <v>120</v>
      </c>
      <c r="G458" s="8" t="s">
        <v>8</v>
      </c>
      <c r="H458" s="8" t="s">
        <v>8</v>
      </c>
      <c r="I458" s="8">
        <f t="shared" si="119"/>
        <v>7</v>
      </c>
    </row>
    <row r="459" spans="1:9" ht="15.75" thickBot="1" x14ac:dyDescent="0.3">
      <c r="A459" s="10">
        <f t="shared" si="127"/>
        <v>458</v>
      </c>
      <c r="B459" s="11" t="str">
        <f t="shared" si="123"/>
        <v>4</v>
      </c>
      <c r="C459" s="11">
        <f t="shared" si="120"/>
        <v>1</v>
      </c>
      <c r="D459" s="11"/>
      <c r="E459" s="12">
        <f>E458+F458/60/24</f>
        <v>43946.708333333343</v>
      </c>
      <c r="F459" s="11">
        <f t="shared" si="124"/>
        <v>120</v>
      </c>
      <c r="G459" s="11" t="s">
        <v>8</v>
      </c>
      <c r="H459" s="11" t="s">
        <v>8</v>
      </c>
      <c r="I459" s="11">
        <f t="shared" si="119"/>
        <v>7</v>
      </c>
    </row>
    <row r="460" spans="1:9" x14ac:dyDescent="0.25">
      <c r="A460" s="3">
        <f t="shared" si="127"/>
        <v>459</v>
      </c>
      <c r="B460" s="4" t="str">
        <f t="shared" si="123"/>
        <v>3</v>
      </c>
      <c r="C460" s="8" t="s">
        <v>50</v>
      </c>
      <c r="D460" s="4"/>
      <c r="E460" s="5">
        <f>E455</f>
        <v>43946.375</v>
      </c>
      <c r="F460" s="4">
        <f t="shared" si="124"/>
        <v>120</v>
      </c>
      <c r="G460" s="4" t="s">
        <v>9</v>
      </c>
      <c r="H460" s="4" t="s">
        <v>9</v>
      </c>
      <c r="I460" s="4">
        <f t="shared" si="119"/>
        <v>7</v>
      </c>
    </row>
    <row r="461" spans="1:9" x14ac:dyDescent="0.25">
      <c r="A461" s="7">
        <f t="shared" si="127"/>
        <v>460</v>
      </c>
      <c r="B461" s="8" t="str">
        <f t="shared" si="123"/>
        <v>3</v>
      </c>
      <c r="C461" s="8" t="s">
        <v>50</v>
      </c>
      <c r="D461" s="8"/>
      <c r="E461" s="9">
        <f>E460+F460/60/24</f>
        <v>43946.458333333336</v>
      </c>
      <c r="F461" s="8">
        <f t="shared" si="124"/>
        <v>120</v>
      </c>
      <c r="G461" s="8" t="s">
        <v>9</v>
      </c>
      <c r="H461" s="8" t="s">
        <v>9</v>
      </c>
      <c r="I461" s="8">
        <f t="shared" si="119"/>
        <v>7</v>
      </c>
    </row>
    <row r="462" spans="1:9" x14ac:dyDescent="0.25">
      <c r="A462" s="7">
        <f t="shared" si="127"/>
        <v>461</v>
      </c>
      <c r="B462" s="8" t="str">
        <f t="shared" si="123"/>
        <v>3</v>
      </c>
      <c r="C462" s="8" t="s">
        <v>50</v>
      </c>
      <c r="D462" s="8"/>
      <c r="E462" s="9">
        <f t="shared" ref="E462:E464" si="128">E461+F461/60/24</f>
        <v>43946.541666666672</v>
      </c>
      <c r="F462" s="8">
        <f t="shared" si="124"/>
        <v>120</v>
      </c>
      <c r="G462" s="8" t="s">
        <v>9</v>
      </c>
      <c r="H462" s="8" t="s">
        <v>9</v>
      </c>
      <c r="I462" s="8">
        <f t="shared" si="119"/>
        <v>7</v>
      </c>
    </row>
    <row r="463" spans="1:9" x14ac:dyDescent="0.25">
      <c r="A463" s="7">
        <f t="shared" si="127"/>
        <v>462</v>
      </c>
      <c r="B463" s="8" t="str">
        <f t="shared" si="123"/>
        <v>3</v>
      </c>
      <c r="C463" s="8" t="s">
        <v>50</v>
      </c>
      <c r="D463" s="8"/>
      <c r="E463" s="9">
        <f t="shared" si="128"/>
        <v>43946.625000000007</v>
      </c>
      <c r="F463" s="8">
        <f t="shared" si="124"/>
        <v>120</v>
      </c>
      <c r="G463" s="8" t="s">
        <v>9</v>
      </c>
      <c r="H463" s="8" t="s">
        <v>9</v>
      </c>
      <c r="I463" s="8">
        <f t="shared" si="119"/>
        <v>7</v>
      </c>
    </row>
    <row r="464" spans="1:9" ht="15.75" thickBot="1" x14ac:dyDescent="0.3">
      <c r="A464" s="10">
        <f t="shared" si="127"/>
        <v>463</v>
      </c>
      <c r="B464" s="11" t="str">
        <f t="shared" si="123"/>
        <v>3</v>
      </c>
      <c r="C464" s="8" t="s">
        <v>50</v>
      </c>
      <c r="D464" s="11"/>
      <c r="E464" s="9">
        <f t="shared" si="128"/>
        <v>43946.708333333343</v>
      </c>
      <c r="F464" s="11">
        <f t="shared" si="124"/>
        <v>120</v>
      </c>
      <c r="G464" s="11" t="s">
        <v>9</v>
      </c>
      <c r="H464" s="11" t="s">
        <v>9</v>
      </c>
      <c r="I464" s="11">
        <f t="shared" si="119"/>
        <v>7</v>
      </c>
    </row>
    <row r="465" spans="1:9" x14ac:dyDescent="0.25">
      <c r="A465" s="3">
        <f t="shared" si="127"/>
        <v>464</v>
      </c>
      <c r="B465" s="4" t="str">
        <f t="shared" si="123"/>
        <v>2</v>
      </c>
      <c r="C465" s="4">
        <f t="shared" si="120"/>
        <v>6</v>
      </c>
      <c r="D465" s="4"/>
      <c r="E465" s="5">
        <f>E455</f>
        <v>43946.375</v>
      </c>
      <c r="F465" s="4">
        <f t="shared" si="124"/>
        <v>60</v>
      </c>
      <c r="G465" s="4" t="s">
        <v>10</v>
      </c>
      <c r="H465" s="4" t="s">
        <v>14</v>
      </c>
      <c r="I465" s="4">
        <f t="shared" si="119"/>
        <v>7</v>
      </c>
    </row>
    <row r="466" spans="1:9" x14ac:dyDescent="0.25">
      <c r="A466" s="7">
        <f t="shared" si="127"/>
        <v>465</v>
      </c>
      <c r="B466" s="8" t="str">
        <f t="shared" si="123"/>
        <v>2</v>
      </c>
      <c r="C466" s="8">
        <f t="shared" si="120"/>
        <v>4</v>
      </c>
      <c r="D466" s="8"/>
      <c r="E466" s="9">
        <f>E465+F465/60/24</f>
        <v>43946.416666666664</v>
      </c>
      <c r="F466" s="8">
        <f t="shared" si="124"/>
        <v>105</v>
      </c>
      <c r="G466" s="8" t="s">
        <v>10</v>
      </c>
      <c r="H466" s="8" t="s">
        <v>13</v>
      </c>
      <c r="I466" s="8">
        <f t="shared" si="119"/>
        <v>7</v>
      </c>
    </row>
    <row r="467" spans="1:9" x14ac:dyDescent="0.25">
      <c r="A467" s="7">
        <f t="shared" si="127"/>
        <v>466</v>
      </c>
      <c r="B467" s="8" t="str">
        <f t="shared" si="123"/>
        <v>2</v>
      </c>
      <c r="C467" s="8">
        <f t="shared" si="120"/>
        <v>4</v>
      </c>
      <c r="D467" s="8"/>
      <c r="E467" s="9">
        <f t="shared" ref="E467:E470" si="129">E466+F466/60/24</f>
        <v>43946.489583333328</v>
      </c>
      <c r="F467" s="8">
        <f t="shared" si="124"/>
        <v>105</v>
      </c>
      <c r="G467" s="8" t="s">
        <v>10</v>
      </c>
      <c r="H467" s="8" t="s">
        <v>13</v>
      </c>
      <c r="I467" s="8">
        <f t="shared" si="119"/>
        <v>7</v>
      </c>
    </row>
    <row r="468" spans="1:9" x14ac:dyDescent="0.25">
      <c r="A468" s="7">
        <f t="shared" si="127"/>
        <v>467</v>
      </c>
      <c r="B468" s="8" t="str">
        <f t="shared" si="123"/>
        <v>2</v>
      </c>
      <c r="C468" s="8">
        <f t="shared" si="120"/>
        <v>4</v>
      </c>
      <c r="D468" s="8"/>
      <c r="E468" s="9">
        <f t="shared" si="129"/>
        <v>43946.562499999993</v>
      </c>
      <c r="F468" s="8">
        <f t="shared" si="124"/>
        <v>105</v>
      </c>
      <c r="G468" s="8" t="s">
        <v>10</v>
      </c>
      <c r="H468" s="8" t="s">
        <v>13</v>
      </c>
      <c r="I468" s="8">
        <f t="shared" si="119"/>
        <v>7</v>
      </c>
    </row>
    <row r="469" spans="1:9" x14ac:dyDescent="0.25">
      <c r="A469" s="7">
        <f t="shared" si="127"/>
        <v>468</v>
      </c>
      <c r="B469" s="8" t="str">
        <f t="shared" si="123"/>
        <v>2</v>
      </c>
      <c r="C469" s="8">
        <f t="shared" si="120"/>
        <v>4</v>
      </c>
      <c r="D469" s="8"/>
      <c r="E469" s="9">
        <f t="shared" si="129"/>
        <v>43946.635416666657</v>
      </c>
      <c r="F469" s="8">
        <f t="shared" si="124"/>
        <v>105</v>
      </c>
      <c r="G469" s="8" t="s">
        <v>10</v>
      </c>
      <c r="H469" s="8" t="s">
        <v>13</v>
      </c>
      <c r="I469" s="8">
        <f t="shared" si="119"/>
        <v>7</v>
      </c>
    </row>
    <row r="470" spans="1:9" ht="15.75" thickBot="1" x14ac:dyDescent="0.3">
      <c r="A470" s="10">
        <f t="shared" si="127"/>
        <v>469</v>
      </c>
      <c r="B470" s="11" t="str">
        <f t="shared" si="123"/>
        <v>2</v>
      </c>
      <c r="C470" s="11">
        <f t="shared" si="120"/>
        <v>4</v>
      </c>
      <c r="D470" s="11"/>
      <c r="E470" s="12">
        <f t="shared" si="129"/>
        <v>43946.708333333321</v>
      </c>
      <c r="F470" s="11">
        <f t="shared" si="124"/>
        <v>105</v>
      </c>
      <c r="G470" s="11" t="s">
        <v>10</v>
      </c>
      <c r="H470" s="11" t="s">
        <v>13</v>
      </c>
      <c r="I470" s="11">
        <f t="shared" si="119"/>
        <v>7</v>
      </c>
    </row>
    <row r="471" spans="1:9" x14ac:dyDescent="0.25">
      <c r="A471" s="3">
        <f t="shared" si="127"/>
        <v>470</v>
      </c>
      <c r="B471" s="4" t="str">
        <f t="shared" si="123"/>
        <v>1</v>
      </c>
      <c r="C471" s="4">
        <f t="shared" si="120"/>
        <v>7</v>
      </c>
      <c r="D471" s="4"/>
      <c r="E471" s="5">
        <f>E455</f>
        <v>43946.375</v>
      </c>
      <c r="F471" s="4">
        <f t="shared" si="124"/>
        <v>60</v>
      </c>
      <c r="G471" s="4" t="s">
        <v>16</v>
      </c>
      <c r="H471" s="4" t="s">
        <v>15</v>
      </c>
      <c r="I471" s="4">
        <f>WEEKDAY(E471)</f>
        <v>7</v>
      </c>
    </row>
    <row r="472" spans="1:9" x14ac:dyDescent="0.25">
      <c r="A472" s="7">
        <f t="shared" si="127"/>
        <v>471</v>
      </c>
      <c r="B472" s="8" t="str">
        <f t="shared" si="123"/>
        <v>1</v>
      </c>
      <c r="C472" s="8">
        <f t="shared" si="120"/>
        <v>6</v>
      </c>
      <c r="D472" s="8"/>
      <c r="E472" s="9">
        <f>E471+F471/60/24</f>
        <v>43946.416666666664</v>
      </c>
      <c r="F472" s="8">
        <f t="shared" si="124"/>
        <v>60</v>
      </c>
      <c r="G472" s="8" t="s">
        <v>16</v>
      </c>
      <c r="H472" s="8" t="s">
        <v>14</v>
      </c>
      <c r="I472" s="8">
        <f>WEEKDAY(E472)</f>
        <v>7</v>
      </c>
    </row>
    <row r="473" spans="1:9" x14ac:dyDescent="0.25">
      <c r="A473" s="7">
        <f t="shared" si="127"/>
        <v>472</v>
      </c>
      <c r="B473" s="8" t="str">
        <f t="shared" si="123"/>
        <v>1</v>
      </c>
      <c r="C473" s="8">
        <f t="shared" si="120"/>
        <v>5</v>
      </c>
      <c r="D473" s="8"/>
      <c r="E473" s="9">
        <f t="shared" ref="E473:E477" si="130">E472+F472/60/24</f>
        <v>43946.458333333328</v>
      </c>
      <c r="F473" s="8">
        <f t="shared" si="124"/>
        <v>90</v>
      </c>
      <c r="G473" s="8" t="s">
        <v>16</v>
      </c>
      <c r="H473" s="8" t="s">
        <v>11</v>
      </c>
      <c r="I473" s="8">
        <f>WEEKDAY(E473)</f>
        <v>7</v>
      </c>
    </row>
    <row r="474" spans="1:9" x14ac:dyDescent="0.25">
      <c r="A474" s="7">
        <f t="shared" si="127"/>
        <v>473</v>
      </c>
      <c r="B474" s="8" t="str">
        <f t="shared" si="123"/>
        <v>1</v>
      </c>
      <c r="C474" s="8">
        <f t="shared" si="120"/>
        <v>5</v>
      </c>
      <c r="D474" s="8"/>
      <c r="E474" s="9">
        <f t="shared" si="130"/>
        <v>43946.520833333328</v>
      </c>
      <c r="F474" s="8">
        <f t="shared" si="124"/>
        <v>90</v>
      </c>
      <c r="G474" s="8" t="s">
        <v>16</v>
      </c>
      <c r="H474" s="8" t="s">
        <v>11</v>
      </c>
      <c r="I474" s="8">
        <f>WEEKDAY(E474)</f>
        <v>7</v>
      </c>
    </row>
    <row r="475" spans="1:9" x14ac:dyDescent="0.25">
      <c r="A475" s="7">
        <f t="shared" si="127"/>
        <v>474</v>
      </c>
      <c r="B475" s="8" t="str">
        <f t="shared" si="123"/>
        <v>1</v>
      </c>
      <c r="C475" s="8">
        <f t="shared" si="120"/>
        <v>5</v>
      </c>
      <c r="D475" s="8"/>
      <c r="E475" s="9">
        <f t="shared" si="130"/>
        <v>43946.583333333328</v>
      </c>
      <c r="F475" s="8">
        <f t="shared" si="124"/>
        <v>90</v>
      </c>
      <c r="G475" s="8" t="s">
        <v>16</v>
      </c>
      <c r="H475" s="8" t="s">
        <v>11</v>
      </c>
      <c r="I475" s="8">
        <f t="shared" ref="I475:I477" si="131">WEEKDAY(E475)</f>
        <v>7</v>
      </c>
    </row>
    <row r="476" spans="1:9" x14ac:dyDescent="0.25">
      <c r="A476" s="7">
        <f t="shared" si="127"/>
        <v>475</v>
      </c>
      <c r="B476" s="8" t="str">
        <f t="shared" si="123"/>
        <v>1</v>
      </c>
      <c r="C476" s="8">
        <f t="shared" si="120"/>
        <v>5</v>
      </c>
      <c r="D476" s="8"/>
      <c r="E476" s="9">
        <f t="shared" si="130"/>
        <v>43946.645833333328</v>
      </c>
      <c r="F476" s="8">
        <f t="shared" si="124"/>
        <v>90</v>
      </c>
      <c r="G476" s="8" t="s">
        <v>16</v>
      </c>
      <c r="H476" s="8" t="s">
        <v>11</v>
      </c>
      <c r="I476" s="8">
        <f t="shared" si="131"/>
        <v>7</v>
      </c>
    </row>
    <row r="477" spans="1:9" ht="15.75" thickBot="1" x14ac:dyDescent="0.3">
      <c r="A477" s="10">
        <f t="shared" si="127"/>
        <v>476</v>
      </c>
      <c r="B477" s="11" t="str">
        <f t="shared" si="123"/>
        <v>1</v>
      </c>
      <c r="C477" s="11">
        <f t="shared" si="120"/>
        <v>5</v>
      </c>
      <c r="D477" s="11"/>
      <c r="E477" s="9">
        <f t="shared" si="130"/>
        <v>43946.708333333328</v>
      </c>
      <c r="F477" s="11">
        <f t="shared" si="124"/>
        <v>90</v>
      </c>
      <c r="G477" s="11" t="s">
        <v>16</v>
      </c>
      <c r="H477" s="11" t="s">
        <v>11</v>
      </c>
      <c r="I477" s="11">
        <f t="shared" si="131"/>
        <v>7</v>
      </c>
    </row>
    <row r="478" spans="1:9" x14ac:dyDescent="0.25">
      <c r="A478" s="3">
        <f t="shared" si="127"/>
        <v>477</v>
      </c>
      <c r="B478" s="4" t="str">
        <f t="shared" si="123"/>
        <v>5</v>
      </c>
      <c r="C478" s="4">
        <f t="shared" si="120"/>
        <v>6</v>
      </c>
      <c r="D478" s="4"/>
      <c r="E478" s="5">
        <f>E455</f>
        <v>43946.375</v>
      </c>
      <c r="F478" s="4">
        <f t="shared" si="124"/>
        <v>60</v>
      </c>
      <c r="G478" s="4" t="s">
        <v>17</v>
      </c>
      <c r="H478" s="4" t="s">
        <v>14</v>
      </c>
      <c r="I478" s="4">
        <f>WEEKDAY(E478)</f>
        <v>7</v>
      </c>
    </row>
    <row r="479" spans="1:9" x14ac:dyDescent="0.25">
      <c r="A479" s="7">
        <f t="shared" si="127"/>
        <v>478</v>
      </c>
      <c r="B479" s="8" t="str">
        <f t="shared" si="123"/>
        <v>5</v>
      </c>
      <c r="C479" s="8">
        <f t="shared" si="120"/>
        <v>5</v>
      </c>
      <c r="D479" s="8"/>
      <c r="E479" s="9">
        <f>E478+F478/60/24</f>
        <v>43946.416666666664</v>
      </c>
      <c r="F479" s="8">
        <f t="shared" si="124"/>
        <v>90</v>
      </c>
      <c r="G479" s="8" t="s">
        <v>17</v>
      </c>
      <c r="H479" s="8" t="s">
        <v>11</v>
      </c>
      <c r="I479" s="8">
        <f>WEEKDAY(E479)</f>
        <v>7</v>
      </c>
    </row>
    <row r="480" spans="1:9" x14ac:dyDescent="0.25">
      <c r="A480" s="7">
        <f t="shared" si="127"/>
        <v>479</v>
      </c>
      <c r="B480" s="8" t="str">
        <f t="shared" si="123"/>
        <v>5</v>
      </c>
      <c r="C480" s="8">
        <f t="shared" si="120"/>
        <v>4</v>
      </c>
      <c r="D480" s="8"/>
      <c r="E480" s="9">
        <f t="shared" ref="E480:E483" si="132">E479+F479/60/24</f>
        <v>43946.479166666664</v>
      </c>
      <c r="F480" s="8">
        <f t="shared" si="124"/>
        <v>105</v>
      </c>
      <c r="G480" s="8" t="s">
        <v>17</v>
      </c>
      <c r="H480" s="8" t="s">
        <v>13</v>
      </c>
      <c r="I480" s="8">
        <f>WEEKDAY(E480)</f>
        <v>7</v>
      </c>
    </row>
    <row r="481" spans="1:9" x14ac:dyDescent="0.25">
      <c r="A481" s="7">
        <f t="shared" si="127"/>
        <v>480</v>
      </c>
      <c r="B481" s="8" t="str">
        <f t="shared" si="123"/>
        <v>5</v>
      </c>
      <c r="C481" s="8">
        <f t="shared" si="120"/>
        <v>4</v>
      </c>
      <c r="D481" s="8"/>
      <c r="E481" s="9">
        <f t="shared" si="132"/>
        <v>43946.552083333328</v>
      </c>
      <c r="F481" s="8">
        <f t="shared" si="124"/>
        <v>105</v>
      </c>
      <c r="G481" s="8" t="s">
        <v>17</v>
      </c>
      <c r="H481" s="8" t="s">
        <v>13</v>
      </c>
      <c r="I481" s="8">
        <f>WEEKDAY(E481)</f>
        <v>7</v>
      </c>
    </row>
    <row r="482" spans="1:9" x14ac:dyDescent="0.25">
      <c r="A482" s="7">
        <f t="shared" si="127"/>
        <v>481</v>
      </c>
      <c r="B482" s="8" t="str">
        <f t="shared" si="123"/>
        <v>5</v>
      </c>
      <c r="C482" s="8">
        <f t="shared" si="120"/>
        <v>4</v>
      </c>
      <c r="D482" s="8"/>
      <c r="E482" s="9">
        <f t="shared" si="132"/>
        <v>43946.624999999993</v>
      </c>
      <c r="F482" s="8">
        <f t="shared" si="124"/>
        <v>105</v>
      </c>
      <c r="G482" s="8" t="s">
        <v>17</v>
      </c>
      <c r="H482" s="8" t="s">
        <v>13</v>
      </c>
      <c r="I482" s="8">
        <f t="shared" ref="I482:I483" si="133">WEEKDAY(E482)</f>
        <v>7</v>
      </c>
    </row>
    <row r="483" spans="1:9" ht="15.75" thickBot="1" x14ac:dyDescent="0.3">
      <c r="A483" s="10">
        <f t="shared" si="127"/>
        <v>482</v>
      </c>
      <c r="B483" s="11" t="str">
        <f t="shared" si="123"/>
        <v>5</v>
      </c>
      <c r="C483" s="11">
        <f t="shared" si="120"/>
        <v>4</v>
      </c>
      <c r="D483" s="11"/>
      <c r="E483" s="12">
        <f t="shared" si="132"/>
        <v>43946.697916666657</v>
      </c>
      <c r="F483" s="11">
        <f t="shared" si="124"/>
        <v>105</v>
      </c>
      <c r="G483" s="11" t="s">
        <v>17</v>
      </c>
      <c r="H483" s="11" t="s">
        <v>13</v>
      </c>
      <c r="I483" s="11">
        <f t="shared" si="133"/>
        <v>7</v>
      </c>
    </row>
    <row r="484" spans="1:9" x14ac:dyDescent="0.25">
      <c r="A484" s="3">
        <f t="shared" si="127"/>
        <v>483</v>
      </c>
      <c r="B484" s="4" t="str">
        <f t="shared" si="123"/>
        <v>6</v>
      </c>
      <c r="C484" s="4">
        <f t="shared" si="120"/>
        <v>4</v>
      </c>
      <c r="D484" s="4"/>
      <c r="E484" s="5">
        <f>E455</f>
        <v>43946.375</v>
      </c>
      <c r="F484" s="4">
        <f t="shared" si="124"/>
        <v>105</v>
      </c>
      <c r="G484" s="4" t="s">
        <v>18</v>
      </c>
      <c r="H484" s="4" t="s">
        <v>13</v>
      </c>
      <c r="I484" s="4">
        <f>WEEKDAY(E484)</f>
        <v>7</v>
      </c>
    </row>
    <row r="485" spans="1:9" x14ac:dyDescent="0.25">
      <c r="A485" s="7">
        <f t="shared" si="127"/>
        <v>484</v>
      </c>
      <c r="B485" s="8" t="str">
        <f t="shared" si="123"/>
        <v>6</v>
      </c>
      <c r="C485" s="8" t="s">
        <v>50</v>
      </c>
      <c r="D485" s="8"/>
      <c r="E485" s="9">
        <f>E484+F484/60/24</f>
        <v>43946.447916666664</v>
      </c>
      <c r="F485" s="8">
        <f t="shared" si="124"/>
        <v>105</v>
      </c>
      <c r="G485" s="8" t="s">
        <v>18</v>
      </c>
      <c r="H485" s="8" t="s">
        <v>12</v>
      </c>
      <c r="I485" s="8">
        <f>WEEKDAY(E485)</f>
        <v>7</v>
      </c>
    </row>
    <row r="486" spans="1:9" x14ac:dyDescent="0.25">
      <c r="A486" s="7">
        <f t="shared" si="127"/>
        <v>485</v>
      </c>
      <c r="B486" s="8" t="str">
        <f t="shared" si="123"/>
        <v>6</v>
      </c>
      <c r="C486" s="8" t="s">
        <v>50</v>
      </c>
      <c r="D486" s="8"/>
      <c r="E486" s="9">
        <f t="shared" ref="E486:E488" si="134">E485+F485/60/24</f>
        <v>43946.520833333328</v>
      </c>
      <c r="F486" s="8">
        <f t="shared" si="124"/>
        <v>105</v>
      </c>
      <c r="G486" s="8" t="s">
        <v>18</v>
      </c>
      <c r="H486" s="8" t="s">
        <v>12</v>
      </c>
      <c r="I486" s="8">
        <f>WEEKDAY(E486)</f>
        <v>7</v>
      </c>
    </row>
    <row r="487" spans="1:9" x14ac:dyDescent="0.25">
      <c r="A487" s="7">
        <f t="shared" si="127"/>
        <v>486</v>
      </c>
      <c r="B487" s="8" t="str">
        <f t="shared" si="123"/>
        <v>6</v>
      </c>
      <c r="C487" s="8" t="s">
        <v>50</v>
      </c>
      <c r="D487" s="8"/>
      <c r="E487" s="9">
        <f t="shared" si="134"/>
        <v>43946.593749999993</v>
      </c>
      <c r="F487" s="8">
        <f t="shared" si="124"/>
        <v>105</v>
      </c>
      <c r="G487" s="8" t="s">
        <v>18</v>
      </c>
      <c r="H487" s="8" t="s">
        <v>12</v>
      </c>
      <c r="I487" s="8">
        <f>WEEKDAY(E487)</f>
        <v>7</v>
      </c>
    </row>
    <row r="488" spans="1:9" ht="15.75" thickBot="1" x14ac:dyDescent="0.3">
      <c r="A488" s="10">
        <f t="shared" si="127"/>
        <v>487</v>
      </c>
      <c r="B488" s="11" t="str">
        <f t="shared" si="123"/>
        <v>6</v>
      </c>
      <c r="C488" s="8" t="s">
        <v>50</v>
      </c>
      <c r="D488" s="11"/>
      <c r="E488" s="12">
        <f t="shared" si="134"/>
        <v>43946.666666666657</v>
      </c>
      <c r="F488" s="11">
        <f t="shared" si="124"/>
        <v>105</v>
      </c>
      <c r="G488" s="11" t="s">
        <v>18</v>
      </c>
      <c r="H488" s="11" t="s">
        <v>12</v>
      </c>
      <c r="I488" s="11">
        <f t="shared" ref="I488" si="135">WEEKDAY(E488)</f>
        <v>7</v>
      </c>
    </row>
    <row r="489" spans="1:9" x14ac:dyDescent="0.25">
      <c r="A489" s="3">
        <f t="shared" si="127"/>
        <v>488</v>
      </c>
      <c r="B489" s="4" t="str">
        <f t="shared" si="123"/>
        <v>7</v>
      </c>
      <c r="C489" s="4">
        <f t="shared" si="120"/>
        <v>6</v>
      </c>
      <c r="D489" s="4"/>
      <c r="E489" s="5">
        <f>E455</f>
        <v>43946.375</v>
      </c>
      <c r="F489" s="4">
        <f t="shared" si="124"/>
        <v>60</v>
      </c>
      <c r="G489" s="4" t="s">
        <v>19</v>
      </c>
      <c r="H489" s="4" t="s">
        <v>14</v>
      </c>
      <c r="I489" s="4">
        <f>WEEKDAY(E489)</f>
        <v>7</v>
      </c>
    </row>
    <row r="490" spans="1:9" x14ac:dyDescent="0.25">
      <c r="A490" s="7">
        <f t="shared" si="127"/>
        <v>489</v>
      </c>
      <c r="B490" s="8" t="str">
        <f t="shared" si="123"/>
        <v>7</v>
      </c>
      <c r="C490" s="8">
        <f t="shared" si="120"/>
        <v>3</v>
      </c>
      <c r="D490" s="8"/>
      <c r="E490" s="9">
        <f>E489+F489/60/24</f>
        <v>43946.416666666664</v>
      </c>
      <c r="F490" s="8">
        <f t="shared" si="124"/>
        <v>105</v>
      </c>
      <c r="G490" s="8" t="s">
        <v>19</v>
      </c>
      <c r="H490" s="8" t="s">
        <v>12</v>
      </c>
      <c r="I490" s="8">
        <f>WEEKDAY(E490)</f>
        <v>7</v>
      </c>
    </row>
    <row r="491" spans="1:9" x14ac:dyDescent="0.25">
      <c r="A491" s="7">
        <f t="shared" si="127"/>
        <v>490</v>
      </c>
      <c r="B491" s="8" t="str">
        <f t="shared" si="123"/>
        <v>7</v>
      </c>
      <c r="C491" s="8">
        <f t="shared" ref="C491:C498" si="136">VLOOKUP(H491,league_id,2,FALSE)</f>
        <v>3</v>
      </c>
      <c r="D491" s="8"/>
      <c r="E491" s="9">
        <f t="shared" ref="E491:E493" si="137">E490+F490/60/24</f>
        <v>43946.489583333328</v>
      </c>
      <c r="F491" s="8">
        <f t="shared" si="124"/>
        <v>105</v>
      </c>
      <c r="G491" s="8" t="s">
        <v>19</v>
      </c>
      <c r="H491" s="8" t="s">
        <v>12</v>
      </c>
      <c r="I491" s="8">
        <f>WEEKDAY(E491)</f>
        <v>7</v>
      </c>
    </row>
    <row r="492" spans="1:9" x14ac:dyDescent="0.25">
      <c r="A492" s="7">
        <f t="shared" si="127"/>
        <v>491</v>
      </c>
      <c r="B492" s="8" t="str">
        <f t="shared" si="123"/>
        <v>7</v>
      </c>
      <c r="C492" s="8" t="s">
        <v>50</v>
      </c>
      <c r="D492" s="8"/>
      <c r="E492" s="9">
        <f t="shared" si="137"/>
        <v>43946.562499999993</v>
      </c>
      <c r="F492" s="8">
        <f t="shared" si="124"/>
        <v>120</v>
      </c>
      <c r="G492" s="8" t="s">
        <v>19</v>
      </c>
      <c r="H492" s="8" t="s">
        <v>9</v>
      </c>
      <c r="I492" s="8">
        <f>WEEKDAY(E492)</f>
        <v>7</v>
      </c>
    </row>
    <row r="493" spans="1:9" ht="15.75" thickBot="1" x14ac:dyDescent="0.3">
      <c r="A493" s="10">
        <f t="shared" si="127"/>
        <v>492</v>
      </c>
      <c r="B493" s="11" t="str">
        <f t="shared" si="123"/>
        <v>7</v>
      </c>
      <c r="C493" s="8" t="s">
        <v>50</v>
      </c>
      <c r="D493" s="11"/>
      <c r="E493" s="12">
        <f t="shared" si="137"/>
        <v>43946.645833333328</v>
      </c>
      <c r="F493" s="11">
        <f t="shared" si="124"/>
        <v>120</v>
      </c>
      <c r="G493" s="11" t="s">
        <v>19</v>
      </c>
      <c r="H493" s="11" t="s">
        <v>9</v>
      </c>
      <c r="I493" s="11">
        <f t="shared" ref="I493" si="138">WEEKDAY(E493)</f>
        <v>7</v>
      </c>
    </row>
    <row r="494" spans="1:9" x14ac:dyDescent="0.25">
      <c r="A494" s="3">
        <f t="shared" si="127"/>
        <v>493</v>
      </c>
      <c r="B494" s="4" t="str">
        <f t="shared" si="123"/>
        <v>8</v>
      </c>
      <c r="C494" s="4">
        <f t="shared" si="136"/>
        <v>5</v>
      </c>
      <c r="D494" s="4"/>
      <c r="E494" s="5">
        <f>E455</f>
        <v>43946.375</v>
      </c>
      <c r="F494" s="4">
        <f t="shared" si="124"/>
        <v>90</v>
      </c>
      <c r="G494" s="4" t="s">
        <v>20</v>
      </c>
      <c r="H494" s="4" t="s">
        <v>11</v>
      </c>
      <c r="I494" s="4">
        <f>WEEKDAY(E494)</f>
        <v>7</v>
      </c>
    </row>
    <row r="495" spans="1:9" x14ac:dyDescent="0.25">
      <c r="A495" s="7">
        <f t="shared" si="127"/>
        <v>494</v>
      </c>
      <c r="B495" s="8" t="str">
        <f t="shared" si="123"/>
        <v>8</v>
      </c>
      <c r="C495" s="8">
        <f t="shared" si="136"/>
        <v>5</v>
      </c>
      <c r="D495" s="8"/>
      <c r="E495" s="9">
        <f>E494+F494/60/24</f>
        <v>43946.4375</v>
      </c>
      <c r="F495" s="8">
        <f t="shared" si="124"/>
        <v>90</v>
      </c>
      <c r="G495" s="8" t="s">
        <v>20</v>
      </c>
      <c r="H495" s="8" t="s">
        <v>11</v>
      </c>
      <c r="I495" s="8">
        <f>WEEKDAY(E495)</f>
        <v>7</v>
      </c>
    </row>
    <row r="496" spans="1:9" x14ac:dyDescent="0.25">
      <c r="A496" s="7">
        <f t="shared" si="127"/>
        <v>495</v>
      </c>
      <c r="B496" s="8" t="str">
        <f t="shared" si="123"/>
        <v>8</v>
      </c>
      <c r="C496" s="8">
        <f t="shared" si="136"/>
        <v>3</v>
      </c>
      <c r="D496" s="8"/>
      <c r="E496" s="9">
        <f t="shared" ref="E496:E498" si="139">E495+F495/60/24</f>
        <v>43946.5</v>
      </c>
      <c r="F496" s="8">
        <f t="shared" si="124"/>
        <v>105</v>
      </c>
      <c r="G496" s="8" t="s">
        <v>20</v>
      </c>
      <c r="H496" s="8" t="s">
        <v>12</v>
      </c>
      <c r="I496" s="8">
        <f>WEEKDAY(E496)</f>
        <v>7</v>
      </c>
    </row>
    <row r="497" spans="1:9" x14ac:dyDescent="0.25">
      <c r="A497" s="7">
        <f t="shared" si="127"/>
        <v>496</v>
      </c>
      <c r="B497" s="8" t="str">
        <f t="shared" si="123"/>
        <v>8</v>
      </c>
      <c r="C497" s="8" t="s">
        <v>50</v>
      </c>
      <c r="D497" s="8"/>
      <c r="E497" s="9">
        <f t="shared" si="139"/>
        <v>43946.572916666664</v>
      </c>
      <c r="F497" s="8">
        <f t="shared" si="124"/>
        <v>120</v>
      </c>
      <c r="G497" s="8" t="s">
        <v>20</v>
      </c>
      <c r="H497" s="8" t="s">
        <v>9</v>
      </c>
      <c r="I497" s="8">
        <f>WEEKDAY(E497)</f>
        <v>7</v>
      </c>
    </row>
    <row r="498" spans="1:9" ht="15.75" thickBot="1" x14ac:dyDescent="0.3">
      <c r="A498" s="10">
        <f t="shared" si="127"/>
        <v>497</v>
      </c>
      <c r="B498" s="11" t="str">
        <f t="shared" si="123"/>
        <v>8</v>
      </c>
      <c r="C498" s="8" t="s">
        <v>50</v>
      </c>
      <c r="D498" s="11"/>
      <c r="E498" s="12">
        <f t="shared" si="139"/>
        <v>43946.65625</v>
      </c>
      <c r="F498" s="11">
        <f t="shared" si="124"/>
        <v>120</v>
      </c>
      <c r="G498" s="11" t="s">
        <v>20</v>
      </c>
      <c r="H498" s="11" t="s">
        <v>9</v>
      </c>
      <c r="I498" s="11">
        <f t="shared" ref="I498:I542" si="140">WEEKDAY(E498)</f>
        <v>7</v>
      </c>
    </row>
    <row r="499" spans="1:9" x14ac:dyDescent="0.25">
      <c r="A499" s="3">
        <f>A498+1</f>
        <v>498</v>
      </c>
      <c r="B499" s="4" t="str">
        <f t="shared" si="123"/>
        <v>4</v>
      </c>
      <c r="C499" s="4">
        <f t="shared" ref="C499:C562" si="141">VLOOKUP(H499,league_id,2,FALSE)</f>
        <v>1</v>
      </c>
      <c r="D499" s="4"/>
      <c r="E499" s="5">
        <v>43951.75</v>
      </c>
      <c r="F499" s="4">
        <f t="shared" si="124"/>
        <v>120</v>
      </c>
      <c r="G499" s="4" t="s">
        <v>8</v>
      </c>
      <c r="H499" s="4" t="s">
        <v>8</v>
      </c>
      <c r="I499" s="4">
        <f t="shared" si="140"/>
        <v>5</v>
      </c>
    </row>
    <row r="500" spans="1:9" ht="15.75" thickBot="1" x14ac:dyDescent="0.3">
      <c r="A500" s="7">
        <f>A499+1</f>
        <v>499</v>
      </c>
      <c r="B500" s="8" t="str">
        <f t="shared" si="123"/>
        <v>4</v>
      </c>
      <c r="C500" s="8">
        <f t="shared" si="141"/>
        <v>1</v>
      </c>
      <c r="D500" s="8"/>
      <c r="E500" s="9">
        <f>E499+F499/60/24</f>
        <v>43951.833333333336</v>
      </c>
      <c r="F500" s="8">
        <f t="shared" si="124"/>
        <v>120</v>
      </c>
      <c r="G500" s="8" t="s">
        <v>8</v>
      </c>
      <c r="H500" s="8" t="s">
        <v>8</v>
      </c>
      <c r="I500" s="8">
        <f t="shared" si="140"/>
        <v>5</v>
      </c>
    </row>
    <row r="501" spans="1:9" x14ac:dyDescent="0.25">
      <c r="A501" s="3">
        <f>A500+1</f>
        <v>500</v>
      </c>
      <c r="B501" s="4" t="str">
        <f t="shared" si="123"/>
        <v>3</v>
      </c>
      <c r="C501" s="4">
        <f t="shared" si="141"/>
        <v>2</v>
      </c>
      <c r="D501" s="4"/>
      <c r="E501" s="5">
        <f>E499</f>
        <v>43951.75</v>
      </c>
      <c r="F501" s="4">
        <f t="shared" si="124"/>
        <v>120</v>
      </c>
      <c r="G501" s="4" t="s">
        <v>9</v>
      </c>
      <c r="H501" s="4" t="s">
        <v>9</v>
      </c>
      <c r="I501" s="4">
        <f t="shared" si="140"/>
        <v>5</v>
      </c>
    </row>
    <row r="502" spans="1:9" ht="15.75" thickBot="1" x14ac:dyDescent="0.3">
      <c r="A502" s="7">
        <f t="shared" ref="A502:A510" si="142">A501+1</f>
        <v>501</v>
      </c>
      <c r="B502" s="8" t="str">
        <f t="shared" si="123"/>
        <v>3</v>
      </c>
      <c r="C502" s="8">
        <f t="shared" si="141"/>
        <v>2</v>
      </c>
      <c r="D502" s="8"/>
      <c r="E502" s="9">
        <f>E501+F501/60/24</f>
        <v>43951.833333333336</v>
      </c>
      <c r="F502" s="8">
        <f t="shared" si="124"/>
        <v>120</v>
      </c>
      <c r="G502" s="8" t="s">
        <v>9</v>
      </c>
      <c r="H502" s="8" t="s">
        <v>9</v>
      </c>
      <c r="I502" s="8">
        <f t="shared" si="140"/>
        <v>5</v>
      </c>
    </row>
    <row r="503" spans="1:9" x14ac:dyDescent="0.25">
      <c r="A503" s="3">
        <f>A502+1</f>
        <v>502</v>
      </c>
      <c r="B503" s="4" t="str">
        <f t="shared" si="123"/>
        <v>2</v>
      </c>
      <c r="C503" s="4">
        <f t="shared" si="141"/>
        <v>4</v>
      </c>
      <c r="D503" s="4"/>
      <c r="E503" s="5">
        <f>E499</f>
        <v>43951.75</v>
      </c>
      <c r="F503" s="4">
        <f t="shared" si="124"/>
        <v>105</v>
      </c>
      <c r="G503" s="4" t="s">
        <v>10</v>
      </c>
      <c r="H503" s="4" t="s">
        <v>13</v>
      </c>
      <c r="I503" s="4">
        <f t="shared" si="140"/>
        <v>5</v>
      </c>
    </row>
    <row r="504" spans="1:9" ht="15.75" thickBot="1" x14ac:dyDescent="0.3">
      <c r="A504" s="7">
        <f t="shared" si="142"/>
        <v>503</v>
      </c>
      <c r="B504" s="8" t="str">
        <f t="shared" si="123"/>
        <v>2</v>
      </c>
      <c r="C504" s="8">
        <f t="shared" si="141"/>
        <v>4</v>
      </c>
      <c r="D504" s="8"/>
      <c r="E504" s="9">
        <f>E503+F503/60/24</f>
        <v>43951.822916666664</v>
      </c>
      <c r="F504" s="8">
        <f t="shared" si="124"/>
        <v>105</v>
      </c>
      <c r="G504" s="8" t="s">
        <v>10</v>
      </c>
      <c r="H504" s="8" t="s">
        <v>13</v>
      </c>
      <c r="I504" s="8">
        <f t="shared" si="140"/>
        <v>5</v>
      </c>
    </row>
    <row r="505" spans="1:9" x14ac:dyDescent="0.25">
      <c r="A505" s="3">
        <f>A504+1</f>
        <v>504</v>
      </c>
      <c r="B505" s="4" t="str">
        <f t="shared" si="123"/>
        <v>1</v>
      </c>
      <c r="C505" s="4">
        <f t="shared" si="141"/>
        <v>5</v>
      </c>
      <c r="D505" s="4"/>
      <c r="E505" s="5">
        <f>E499</f>
        <v>43951.75</v>
      </c>
      <c r="F505" s="4">
        <f t="shared" si="124"/>
        <v>90</v>
      </c>
      <c r="G505" s="4" t="s">
        <v>16</v>
      </c>
      <c r="H505" s="4" t="s">
        <v>11</v>
      </c>
      <c r="I505" s="4">
        <f t="shared" si="140"/>
        <v>5</v>
      </c>
    </row>
    <row r="506" spans="1:9" ht="15.75" thickBot="1" x14ac:dyDescent="0.3">
      <c r="A506" s="7">
        <f t="shared" si="142"/>
        <v>505</v>
      </c>
      <c r="B506" s="8" t="str">
        <f t="shared" si="123"/>
        <v>1</v>
      </c>
      <c r="C506" s="8">
        <f t="shared" si="141"/>
        <v>5</v>
      </c>
      <c r="D506" s="8"/>
      <c r="E506" s="9">
        <f>E505+F505/60/24</f>
        <v>43951.8125</v>
      </c>
      <c r="F506" s="8">
        <f t="shared" si="124"/>
        <v>90</v>
      </c>
      <c r="G506" s="8" t="s">
        <v>16</v>
      </c>
      <c r="H506" s="8" t="s">
        <v>11</v>
      </c>
      <c r="I506" s="8">
        <f t="shared" si="140"/>
        <v>5</v>
      </c>
    </row>
    <row r="507" spans="1:9" x14ac:dyDescent="0.25">
      <c r="A507" s="3">
        <f>A506+1</f>
        <v>506</v>
      </c>
      <c r="B507" s="4" t="str">
        <f t="shared" si="123"/>
        <v>5</v>
      </c>
      <c r="C507" s="4">
        <f t="shared" si="141"/>
        <v>5</v>
      </c>
      <c r="D507" s="4"/>
      <c r="E507" s="5">
        <f>E499</f>
        <v>43951.75</v>
      </c>
      <c r="F507" s="4">
        <f t="shared" si="124"/>
        <v>90</v>
      </c>
      <c r="G507" s="4" t="s">
        <v>17</v>
      </c>
      <c r="H507" s="4" t="s">
        <v>11</v>
      </c>
      <c r="I507" s="4">
        <f t="shared" si="140"/>
        <v>5</v>
      </c>
    </row>
    <row r="508" spans="1:9" ht="15.75" thickBot="1" x14ac:dyDescent="0.3">
      <c r="A508" s="7">
        <f t="shared" si="142"/>
        <v>507</v>
      </c>
      <c r="B508" s="8" t="str">
        <f t="shared" si="123"/>
        <v>5</v>
      </c>
      <c r="C508" s="8">
        <f t="shared" si="141"/>
        <v>4</v>
      </c>
      <c r="D508" s="8"/>
      <c r="E508" s="9">
        <f>E507+F507/60/24</f>
        <v>43951.8125</v>
      </c>
      <c r="F508" s="8">
        <f t="shared" si="124"/>
        <v>105</v>
      </c>
      <c r="G508" s="8" t="s">
        <v>17</v>
      </c>
      <c r="H508" s="8" t="s">
        <v>13</v>
      </c>
      <c r="I508" s="8">
        <f t="shared" si="140"/>
        <v>5</v>
      </c>
    </row>
    <row r="509" spans="1:9" x14ac:dyDescent="0.25">
      <c r="A509" s="3">
        <f>A508+1</f>
        <v>508</v>
      </c>
      <c r="B509" s="4" t="str">
        <f t="shared" si="123"/>
        <v>6</v>
      </c>
      <c r="C509" s="4">
        <f t="shared" si="141"/>
        <v>3</v>
      </c>
      <c r="D509" s="4"/>
      <c r="E509" s="5">
        <f>E499</f>
        <v>43951.75</v>
      </c>
      <c r="F509" s="4">
        <f t="shared" si="124"/>
        <v>105</v>
      </c>
      <c r="G509" s="4" t="s">
        <v>18</v>
      </c>
      <c r="H509" s="4" t="s">
        <v>12</v>
      </c>
      <c r="I509" s="4">
        <f t="shared" si="140"/>
        <v>5</v>
      </c>
    </row>
    <row r="510" spans="1:9" ht="15.75" thickBot="1" x14ac:dyDescent="0.3">
      <c r="A510" s="10">
        <f t="shared" si="142"/>
        <v>509</v>
      </c>
      <c r="B510" s="11" t="str">
        <f t="shared" si="123"/>
        <v>6</v>
      </c>
      <c r="C510" s="11">
        <f t="shared" si="141"/>
        <v>3</v>
      </c>
      <c r="D510" s="11"/>
      <c r="E510" s="12">
        <f>E509+F509/60/24</f>
        <v>43951.822916666664</v>
      </c>
      <c r="F510" s="11">
        <f t="shared" si="124"/>
        <v>105</v>
      </c>
      <c r="G510" s="11" t="s">
        <v>18</v>
      </c>
      <c r="H510" s="11" t="s">
        <v>12</v>
      </c>
      <c r="I510" s="11">
        <f t="shared" si="140"/>
        <v>5</v>
      </c>
    </row>
    <row r="511" spans="1:9" x14ac:dyDescent="0.25">
      <c r="A511" s="3">
        <f>A510+1</f>
        <v>510</v>
      </c>
      <c r="B511" s="4" t="str">
        <f t="shared" si="123"/>
        <v>4</v>
      </c>
      <c r="C511" s="4">
        <f t="shared" si="141"/>
        <v>1</v>
      </c>
      <c r="D511" s="4"/>
      <c r="E511" s="5">
        <v>43952.75</v>
      </c>
      <c r="F511" s="4">
        <f t="shared" si="124"/>
        <v>120</v>
      </c>
      <c r="G511" s="4" t="s">
        <v>8</v>
      </c>
      <c r="H511" s="4" t="s">
        <v>8</v>
      </c>
      <c r="I511" s="4">
        <f t="shared" si="140"/>
        <v>6</v>
      </c>
    </row>
    <row r="512" spans="1:9" ht="15.75" thickBot="1" x14ac:dyDescent="0.3">
      <c r="A512" s="7">
        <f>A511+1</f>
        <v>511</v>
      </c>
      <c r="B512" s="8" t="str">
        <f t="shared" si="123"/>
        <v>4</v>
      </c>
      <c r="C512" s="8">
        <f t="shared" si="141"/>
        <v>1</v>
      </c>
      <c r="D512" s="8"/>
      <c r="E512" s="9">
        <f>E511+F511/60/24</f>
        <v>43952.833333333336</v>
      </c>
      <c r="F512" s="8">
        <f t="shared" si="124"/>
        <v>120</v>
      </c>
      <c r="G512" s="8" t="s">
        <v>8</v>
      </c>
      <c r="H512" s="8" t="s">
        <v>8</v>
      </c>
      <c r="I512" s="8">
        <f t="shared" si="140"/>
        <v>6</v>
      </c>
    </row>
    <row r="513" spans="1:9" x14ac:dyDescent="0.25">
      <c r="A513" s="3">
        <f>A512+1</f>
        <v>512</v>
      </c>
      <c r="B513" s="4" t="str">
        <f t="shared" si="123"/>
        <v>3</v>
      </c>
      <c r="C513" s="4">
        <f t="shared" si="141"/>
        <v>2</v>
      </c>
      <c r="D513" s="4"/>
      <c r="E513" s="5">
        <f>E511</f>
        <v>43952.75</v>
      </c>
      <c r="F513" s="4">
        <f t="shared" si="124"/>
        <v>120</v>
      </c>
      <c r="G513" s="4" t="s">
        <v>9</v>
      </c>
      <c r="H513" s="4" t="s">
        <v>9</v>
      </c>
      <c r="I513" s="4">
        <f t="shared" si="140"/>
        <v>6</v>
      </c>
    </row>
    <row r="514" spans="1:9" ht="15.75" thickBot="1" x14ac:dyDescent="0.3">
      <c r="A514" s="7">
        <f t="shared" ref="A514:A522" si="143">A513+1</f>
        <v>513</v>
      </c>
      <c r="B514" s="8" t="str">
        <f t="shared" ref="B514:B577" si="144">VLOOKUP(G514,field_id,2,FALSE)</f>
        <v>3</v>
      </c>
      <c r="C514" s="8">
        <f t="shared" si="141"/>
        <v>2</v>
      </c>
      <c r="D514" s="8"/>
      <c r="E514" s="9">
        <f>E513+F513/60/24</f>
        <v>43952.833333333336</v>
      </c>
      <c r="F514" s="8">
        <f t="shared" ref="F514:F577" si="145">VLOOKUP(H514,GameDuration,2,FALSE)</f>
        <v>120</v>
      </c>
      <c r="G514" s="8" t="s">
        <v>9</v>
      </c>
      <c r="H514" s="8" t="s">
        <v>9</v>
      </c>
      <c r="I514" s="8">
        <f t="shared" si="140"/>
        <v>6</v>
      </c>
    </row>
    <row r="515" spans="1:9" x14ac:dyDescent="0.25">
      <c r="A515" s="3">
        <f>A514+1</f>
        <v>514</v>
      </c>
      <c r="B515" s="4" t="str">
        <f t="shared" si="144"/>
        <v>2</v>
      </c>
      <c r="C515" s="4">
        <f t="shared" si="141"/>
        <v>4</v>
      </c>
      <c r="D515" s="4"/>
      <c r="E515" s="5">
        <f>E511</f>
        <v>43952.75</v>
      </c>
      <c r="F515" s="4">
        <f t="shared" si="145"/>
        <v>105</v>
      </c>
      <c r="G515" s="4" t="s">
        <v>10</v>
      </c>
      <c r="H515" s="4" t="s">
        <v>13</v>
      </c>
      <c r="I515" s="4">
        <f t="shared" si="140"/>
        <v>6</v>
      </c>
    </row>
    <row r="516" spans="1:9" ht="15.75" thickBot="1" x14ac:dyDescent="0.3">
      <c r="A516" s="7">
        <f t="shared" si="143"/>
        <v>515</v>
      </c>
      <c r="B516" s="8" t="str">
        <f t="shared" si="144"/>
        <v>2</v>
      </c>
      <c r="C516" s="8">
        <f t="shared" si="141"/>
        <v>4</v>
      </c>
      <c r="D516" s="8"/>
      <c r="E516" s="9">
        <f>E515+F515/60/24</f>
        <v>43952.822916666664</v>
      </c>
      <c r="F516" s="8">
        <f t="shared" si="145"/>
        <v>105</v>
      </c>
      <c r="G516" s="8" t="s">
        <v>10</v>
      </c>
      <c r="H516" s="8" t="s">
        <v>13</v>
      </c>
      <c r="I516" s="8">
        <f t="shared" si="140"/>
        <v>6</v>
      </c>
    </row>
    <row r="517" spans="1:9" x14ac:dyDescent="0.25">
      <c r="A517" s="3">
        <f>A516+1</f>
        <v>516</v>
      </c>
      <c r="B517" s="4" t="str">
        <f t="shared" si="144"/>
        <v>1</v>
      </c>
      <c r="C517" s="4">
        <f t="shared" si="141"/>
        <v>5</v>
      </c>
      <c r="D517" s="4"/>
      <c r="E517" s="5">
        <f>E511</f>
        <v>43952.75</v>
      </c>
      <c r="F517" s="4">
        <f t="shared" si="145"/>
        <v>90</v>
      </c>
      <c r="G517" s="4" t="s">
        <v>16</v>
      </c>
      <c r="H517" s="4" t="s">
        <v>11</v>
      </c>
      <c r="I517" s="4">
        <f t="shared" si="140"/>
        <v>6</v>
      </c>
    </row>
    <row r="518" spans="1:9" ht="15.75" thickBot="1" x14ac:dyDescent="0.3">
      <c r="A518" s="7">
        <f t="shared" si="143"/>
        <v>517</v>
      </c>
      <c r="B518" s="8" t="str">
        <f t="shared" si="144"/>
        <v>1</v>
      </c>
      <c r="C518" s="8">
        <f t="shared" si="141"/>
        <v>5</v>
      </c>
      <c r="D518" s="8"/>
      <c r="E518" s="9">
        <f>E517+F517/60/24</f>
        <v>43952.8125</v>
      </c>
      <c r="F518" s="8">
        <f t="shared" si="145"/>
        <v>90</v>
      </c>
      <c r="G518" s="8" t="s">
        <v>16</v>
      </c>
      <c r="H518" s="8" t="s">
        <v>11</v>
      </c>
      <c r="I518" s="8">
        <f t="shared" si="140"/>
        <v>6</v>
      </c>
    </row>
    <row r="519" spans="1:9" x14ac:dyDescent="0.25">
      <c r="A519" s="3">
        <f>A518+1</f>
        <v>518</v>
      </c>
      <c r="B519" s="4" t="str">
        <f t="shared" si="144"/>
        <v>5</v>
      </c>
      <c r="C519" s="4">
        <f t="shared" si="141"/>
        <v>5</v>
      </c>
      <c r="D519" s="4"/>
      <c r="E519" s="5">
        <f>E511</f>
        <v>43952.75</v>
      </c>
      <c r="F519" s="4">
        <f t="shared" si="145"/>
        <v>90</v>
      </c>
      <c r="G519" s="4" t="s">
        <v>17</v>
      </c>
      <c r="H519" s="4" t="s">
        <v>11</v>
      </c>
      <c r="I519" s="4">
        <f t="shared" si="140"/>
        <v>6</v>
      </c>
    </row>
    <row r="520" spans="1:9" ht="15.75" thickBot="1" x14ac:dyDescent="0.3">
      <c r="A520" s="7">
        <f t="shared" si="143"/>
        <v>519</v>
      </c>
      <c r="B520" s="8" t="str">
        <f t="shared" si="144"/>
        <v>5</v>
      </c>
      <c r="C520" s="8">
        <f t="shared" si="141"/>
        <v>4</v>
      </c>
      <c r="D520" s="8"/>
      <c r="E520" s="9">
        <f>E519+F519/60/24</f>
        <v>43952.8125</v>
      </c>
      <c r="F520" s="8">
        <f t="shared" si="145"/>
        <v>105</v>
      </c>
      <c r="G520" s="8" t="s">
        <v>17</v>
      </c>
      <c r="H520" s="8" t="s">
        <v>13</v>
      </c>
      <c r="I520" s="8">
        <f t="shared" si="140"/>
        <v>6</v>
      </c>
    </row>
    <row r="521" spans="1:9" x14ac:dyDescent="0.25">
      <c r="A521" s="3">
        <f>A520+1</f>
        <v>520</v>
      </c>
      <c r="B521" s="4" t="str">
        <f t="shared" si="144"/>
        <v>6</v>
      </c>
      <c r="C521" s="4">
        <f t="shared" si="141"/>
        <v>3</v>
      </c>
      <c r="D521" s="4"/>
      <c r="E521" s="5">
        <f>E511</f>
        <v>43952.75</v>
      </c>
      <c r="F521" s="4">
        <f t="shared" si="145"/>
        <v>105</v>
      </c>
      <c r="G521" s="4" t="s">
        <v>18</v>
      </c>
      <c r="H521" s="4" t="s">
        <v>12</v>
      </c>
      <c r="I521" s="4">
        <f t="shared" si="140"/>
        <v>6</v>
      </c>
    </row>
    <row r="522" spans="1:9" ht="15.75" thickBot="1" x14ac:dyDescent="0.3">
      <c r="A522" s="10">
        <f t="shared" si="143"/>
        <v>521</v>
      </c>
      <c r="B522" s="11" t="str">
        <f t="shared" si="144"/>
        <v>6</v>
      </c>
      <c r="C522" s="11">
        <f t="shared" si="141"/>
        <v>3</v>
      </c>
      <c r="D522" s="11"/>
      <c r="E522" s="12">
        <f>E521+F521/60/24</f>
        <v>43952.822916666664</v>
      </c>
      <c r="F522" s="11">
        <f t="shared" si="145"/>
        <v>105</v>
      </c>
      <c r="G522" s="11" t="s">
        <v>18</v>
      </c>
      <c r="H522" s="11" t="s">
        <v>12</v>
      </c>
      <c r="I522" s="11">
        <f t="shared" si="140"/>
        <v>6</v>
      </c>
    </row>
    <row r="523" spans="1:9" x14ac:dyDescent="0.25">
      <c r="A523" s="3">
        <f>A522+1</f>
        <v>522</v>
      </c>
      <c r="B523" s="4" t="str">
        <f t="shared" si="144"/>
        <v>7</v>
      </c>
      <c r="C523" s="4">
        <f t="shared" si="141"/>
        <v>5</v>
      </c>
      <c r="D523" s="4"/>
      <c r="E523" s="5">
        <f>E511</f>
        <v>43952.75</v>
      </c>
      <c r="F523" s="4">
        <f t="shared" si="145"/>
        <v>90</v>
      </c>
      <c r="G523" s="4" t="s">
        <v>19</v>
      </c>
      <c r="H523" s="4" t="s">
        <v>11</v>
      </c>
      <c r="I523" s="4">
        <f t="shared" si="140"/>
        <v>6</v>
      </c>
    </row>
    <row r="524" spans="1:9" ht="15.75" thickBot="1" x14ac:dyDescent="0.3">
      <c r="A524" s="7">
        <f t="shared" ref="A524" si="146">A523+1</f>
        <v>523</v>
      </c>
      <c r="B524" s="8" t="str">
        <f t="shared" si="144"/>
        <v>7</v>
      </c>
      <c r="C524" s="8">
        <f t="shared" si="141"/>
        <v>4</v>
      </c>
      <c r="D524" s="8"/>
      <c r="E524" s="9">
        <f>E523+F523/60/24</f>
        <v>43952.8125</v>
      </c>
      <c r="F524" s="8">
        <f t="shared" si="145"/>
        <v>105</v>
      </c>
      <c r="G524" s="8" t="s">
        <v>19</v>
      </c>
      <c r="H524" s="8" t="s">
        <v>13</v>
      </c>
      <c r="I524" s="8">
        <f t="shared" si="140"/>
        <v>6</v>
      </c>
    </row>
    <row r="525" spans="1:9" x14ac:dyDescent="0.25">
      <c r="A525" s="3">
        <f>A524+1</f>
        <v>524</v>
      </c>
      <c r="B525" s="4" t="str">
        <f t="shared" si="144"/>
        <v>8</v>
      </c>
      <c r="C525" s="4">
        <f t="shared" si="141"/>
        <v>5</v>
      </c>
      <c r="D525" s="4"/>
      <c r="E525" s="5">
        <f>E511</f>
        <v>43952.75</v>
      </c>
      <c r="F525" s="4">
        <f t="shared" si="145"/>
        <v>90</v>
      </c>
      <c r="G525" s="4" t="s">
        <v>20</v>
      </c>
      <c r="H525" s="4" t="s">
        <v>11</v>
      </c>
      <c r="I525" s="4">
        <f t="shared" si="140"/>
        <v>6</v>
      </c>
    </row>
    <row r="526" spans="1:9" ht="15.75" thickBot="1" x14ac:dyDescent="0.3">
      <c r="A526" s="10">
        <f t="shared" ref="A526" si="147">A525+1</f>
        <v>525</v>
      </c>
      <c r="B526" s="11" t="str">
        <f t="shared" si="144"/>
        <v>8</v>
      </c>
      <c r="C526" s="11">
        <f t="shared" si="141"/>
        <v>4</v>
      </c>
      <c r="D526" s="11"/>
      <c r="E526" s="12">
        <f>E525+F525/60/24</f>
        <v>43952.8125</v>
      </c>
      <c r="F526" s="11">
        <f t="shared" si="145"/>
        <v>105</v>
      </c>
      <c r="G526" s="11" t="s">
        <v>20</v>
      </c>
      <c r="H526" s="11" t="s">
        <v>13</v>
      </c>
      <c r="I526" s="11">
        <f t="shared" si="140"/>
        <v>6</v>
      </c>
    </row>
    <row r="527" spans="1:9" x14ac:dyDescent="0.25">
      <c r="A527" s="3">
        <f>A526+1</f>
        <v>526</v>
      </c>
      <c r="B527" s="4" t="str">
        <f t="shared" si="144"/>
        <v>4</v>
      </c>
      <c r="C527" s="4">
        <f t="shared" si="141"/>
        <v>1</v>
      </c>
      <c r="D527" s="4"/>
      <c r="E527" s="5">
        <v>43953.375</v>
      </c>
      <c r="F527" s="4">
        <f t="shared" si="145"/>
        <v>120</v>
      </c>
      <c r="G527" s="4" t="s">
        <v>8</v>
      </c>
      <c r="H527" s="4" t="s">
        <v>8</v>
      </c>
      <c r="I527" s="4">
        <f t="shared" si="140"/>
        <v>7</v>
      </c>
    </row>
    <row r="528" spans="1:9" x14ac:dyDescent="0.25">
      <c r="A528" s="7">
        <f>A527+1</f>
        <v>527</v>
      </c>
      <c r="B528" s="8" t="str">
        <f t="shared" si="144"/>
        <v>4</v>
      </c>
      <c r="C528" s="8">
        <f t="shared" si="141"/>
        <v>1</v>
      </c>
      <c r="D528" s="8"/>
      <c r="E528" s="9">
        <f>E527+F527/60/24</f>
        <v>43953.458333333336</v>
      </c>
      <c r="F528" s="8">
        <f t="shared" si="145"/>
        <v>120</v>
      </c>
      <c r="G528" s="8" t="s">
        <v>8</v>
      </c>
      <c r="H528" s="8" t="s">
        <v>8</v>
      </c>
      <c r="I528" s="8">
        <f t="shared" si="140"/>
        <v>7</v>
      </c>
    </row>
    <row r="529" spans="1:9" x14ac:dyDescent="0.25">
      <c r="A529" s="7">
        <f t="shared" ref="A529:A570" si="148">A528+1</f>
        <v>528</v>
      </c>
      <c r="B529" s="8" t="str">
        <f t="shared" si="144"/>
        <v>4</v>
      </c>
      <c r="C529" s="8">
        <f t="shared" si="141"/>
        <v>1</v>
      </c>
      <c r="D529" s="8"/>
      <c r="E529" s="9">
        <f>E528+F528/60/24</f>
        <v>43953.541666666672</v>
      </c>
      <c r="F529" s="8">
        <f t="shared" si="145"/>
        <v>120</v>
      </c>
      <c r="G529" s="8" t="s">
        <v>8</v>
      </c>
      <c r="H529" s="8" t="s">
        <v>8</v>
      </c>
      <c r="I529" s="8">
        <f t="shared" si="140"/>
        <v>7</v>
      </c>
    </row>
    <row r="530" spans="1:9" x14ac:dyDescent="0.25">
      <c r="A530" s="7">
        <f t="shared" si="148"/>
        <v>529</v>
      </c>
      <c r="B530" s="8" t="str">
        <f t="shared" si="144"/>
        <v>4</v>
      </c>
      <c r="C530" s="8">
        <f t="shared" si="141"/>
        <v>1</v>
      </c>
      <c r="D530" s="8"/>
      <c r="E530" s="9">
        <f>E529+F529/60/24</f>
        <v>43953.625000000007</v>
      </c>
      <c r="F530" s="8">
        <f t="shared" si="145"/>
        <v>120</v>
      </c>
      <c r="G530" s="8" t="s">
        <v>8</v>
      </c>
      <c r="H530" s="8" t="s">
        <v>8</v>
      </c>
      <c r="I530" s="8">
        <f t="shared" si="140"/>
        <v>7</v>
      </c>
    </row>
    <row r="531" spans="1:9" ht="15.75" thickBot="1" x14ac:dyDescent="0.3">
      <c r="A531" s="10">
        <f t="shared" si="148"/>
        <v>530</v>
      </c>
      <c r="B531" s="11" t="str">
        <f t="shared" si="144"/>
        <v>4</v>
      </c>
      <c r="C531" s="11">
        <f t="shared" si="141"/>
        <v>1</v>
      </c>
      <c r="D531" s="11"/>
      <c r="E531" s="12">
        <f>E530+F530/60/24</f>
        <v>43953.708333333343</v>
      </c>
      <c r="F531" s="11">
        <f t="shared" si="145"/>
        <v>120</v>
      </c>
      <c r="G531" s="11" t="s">
        <v>8</v>
      </c>
      <c r="H531" s="11" t="s">
        <v>8</v>
      </c>
      <c r="I531" s="11">
        <f t="shared" si="140"/>
        <v>7</v>
      </c>
    </row>
    <row r="532" spans="1:9" x14ac:dyDescent="0.25">
      <c r="A532" s="3">
        <f t="shared" si="148"/>
        <v>531</v>
      </c>
      <c r="B532" s="4" t="str">
        <f t="shared" si="144"/>
        <v>3</v>
      </c>
      <c r="C532" s="8" t="s">
        <v>50</v>
      </c>
      <c r="D532" s="4"/>
      <c r="E532" s="5">
        <f>E527</f>
        <v>43953.375</v>
      </c>
      <c r="F532" s="4">
        <f t="shared" si="145"/>
        <v>120</v>
      </c>
      <c r="G532" s="4" t="s">
        <v>9</v>
      </c>
      <c r="H532" s="4" t="s">
        <v>9</v>
      </c>
      <c r="I532" s="4">
        <f t="shared" si="140"/>
        <v>7</v>
      </c>
    </row>
    <row r="533" spans="1:9" x14ac:dyDescent="0.25">
      <c r="A533" s="7">
        <f t="shared" si="148"/>
        <v>532</v>
      </c>
      <c r="B533" s="8" t="str">
        <f t="shared" si="144"/>
        <v>3</v>
      </c>
      <c r="C533" s="8" t="s">
        <v>50</v>
      </c>
      <c r="D533" s="8"/>
      <c r="E533" s="9">
        <f>E532+F532/60/24</f>
        <v>43953.458333333336</v>
      </c>
      <c r="F533" s="8">
        <f t="shared" si="145"/>
        <v>120</v>
      </c>
      <c r="G533" s="8" t="s">
        <v>9</v>
      </c>
      <c r="H533" s="8" t="s">
        <v>9</v>
      </c>
      <c r="I533" s="8">
        <f t="shared" si="140"/>
        <v>7</v>
      </c>
    </row>
    <row r="534" spans="1:9" x14ac:dyDescent="0.25">
      <c r="A534" s="7">
        <f t="shared" si="148"/>
        <v>533</v>
      </c>
      <c r="B534" s="8" t="str">
        <f t="shared" si="144"/>
        <v>3</v>
      </c>
      <c r="C534" s="8" t="s">
        <v>50</v>
      </c>
      <c r="D534" s="8"/>
      <c r="E534" s="9">
        <f t="shared" ref="E534:E536" si="149">E533+F533/60/24</f>
        <v>43953.541666666672</v>
      </c>
      <c r="F534" s="8">
        <f t="shared" si="145"/>
        <v>120</v>
      </c>
      <c r="G534" s="8" t="s">
        <v>9</v>
      </c>
      <c r="H534" s="8" t="s">
        <v>9</v>
      </c>
      <c r="I534" s="8">
        <f t="shared" si="140"/>
        <v>7</v>
      </c>
    </row>
    <row r="535" spans="1:9" x14ac:dyDescent="0.25">
      <c r="A535" s="7">
        <f t="shared" si="148"/>
        <v>534</v>
      </c>
      <c r="B535" s="8" t="str">
        <f t="shared" si="144"/>
        <v>3</v>
      </c>
      <c r="C535" s="8" t="s">
        <v>50</v>
      </c>
      <c r="D535" s="8"/>
      <c r="E535" s="9">
        <f t="shared" si="149"/>
        <v>43953.625000000007</v>
      </c>
      <c r="F535" s="8">
        <f t="shared" si="145"/>
        <v>120</v>
      </c>
      <c r="G535" s="8" t="s">
        <v>9</v>
      </c>
      <c r="H535" s="8" t="s">
        <v>9</v>
      </c>
      <c r="I535" s="8">
        <f t="shared" si="140"/>
        <v>7</v>
      </c>
    </row>
    <row r="536" spans="1:9" ht="15.75" thickBot="1" x14ac:dyDescent="0.3">
      <c r="A536" s="10">
        <f t="shared" si="148"/>
        <v>535</v>
      </c>
      <c r="B536" s="11" t="str">
        <f t="shared" si="144"/>
        <v>3</v>
      </c>
      <c r="C536" s="8" t="s">
        <v>50</v>
      </c>
      <c r="D536" s="11"/>
      <c r="E536" s="9">
        <f t="shared" si="149"/>
        <v>43953.708333333343</v>
      </c>
      <c r="F536" s="11">
        <f t="shared" si="145"/>
        <v>120</v>
      </c>
      <c r="G536" s="11" t="s">
        <v>9</v>
      </c>
      <c r="H536" s="11" t="s">
        <v>9</v>
      </c>
      <c r="I536" s="11">
        <f t="shared" si="140"/>
        <v>7</v>
      </c>
    </row>
    <row r="537" spans="1:9" x14ac:dyDescent="0.25">
      <c r="A537" s="3">
        <f t="shared" si="148"/>
        <v>536</v>
      </c>
      <c r="B537" s="4" t="str">
        <f t="shared" si="144"/>
        <v>2</v>
      </c>
      <c r="C537" s="4">
        <f t="shared" si="141"/>
        <v>6</v>
      </c>
      <c r="D537" s="4"/>
      <c r="E537" s="5">
        <f>E527</f>
        <v>43953.375</v>
      </c>
      <c r="F537" s="4">
        <f t="shared" si="145"/>
        <v>60</v>
      </c>
      <c r="G537" s="4" t="s">
        <v>10</v>
      </c>
      <c r="H537" s="4" t="s">
        <v>14</v>
      </c>
      <c r="I537" s="4">
        <f t="shared" si="140"/>
        <v>7</v>
      </c>
    </row>
    <row r="538" spans="1:9" x14ac:dyDescent="0.25">
      <c r="A538" s="7">
        <f t="shared" si="148"/>
        <v>537</v>
      </c>
      <c r="B538" s="8" t="str">
        <f t="shared" si="144"/>
        <v>2</v>
      </c>
      <c r="C538" s="8">
        <f t="shared" si="141"/>
        <v>4</v>
      </c>
      <c r="D538" s="8"/>
      <c r="E538" s="9">
        <f>E537+F537/60/24</f>
        <v>43953.416666666664</v>
      </c>
      <c r="F538" s="8">
        <f t="shared" si="145"/>
        <v>105</v>
      </c>
      <c r="G538" s="8" t="s">
        <v>10</v>
      </c>
      <c r="H538" s="8" t="s">
        <v>13</v>
      </c>
      <c r="I538" s="8">
        <f t="shared" si="140"/>
        <v>7</v>
      </c>
    </row>
    <row r="539" spans="1:9" x14ac:dyDescent="0.25">
      <c r="A539" s="7">
        <f t="shared" si="148"/>
        <v>538</v>
      </c>
      <c r="B539" s="8" t="str">
        <f t="shared" si="144"/>
        <v>2</v>
      </c>
      <c r="C539" s="8">
        <f t="shared" si="141"/>
        <v>4</v>
      </c>
      <c r="D539" s="8"/>
      <c r="E539" s="9">
        <f t="shared" ref="E539:E542" si="150">E538+F538/60/24</f>
        <v>43953.489583333328</v>
      </c>
      <c r="F539" s="8">
        <f t="shared" si="145"/>
        <v>105</v>
      </c>
      <c r="G539" s="8" t="s">
        <v>10</v>
      </c>
      <c r="H539" s="8" t="s">
        <v>13</v>
      </c>
      <c r="I539" s="8">
        <f t="shared" si="140"/>
        <v>7</v>
      </c>
    </row>
    <row r="540" spans="1:9" x14ac:dyDescent="0.25">
      <c r="A540" s="7">
        <f t="shared" si="148"/>
        <v>539</v>
      </c>
      <c r="B540" s="8" t="str">
        <f t="shared" si="144"/>
        <v>2</v>
      </c>
      <c r="C540" s="8">
        <f t="shared" si="141"/>
        <v>4</v>
      </c>
      <c r="D540" s="8"/>
      <c r="E540" s="9">
        <f t="shared" si="150"/>
        <v>43953.562499999993</v>
      </c>
      <c r="F540" s="8">
        <f t="shared" si="145"/>
        <v>105</v>
      </c>
      <c r="G540" s="8" t="s">
        <v>10</v>
      </c>
      <c r="H540" s="8" t="s">
        <v>13</v>
      </c>
      <c r="I540" s="8">
        <f t="shared" si="140"/>
        <v>7</v>
      </c>
    </row>
    <row r="541" spans="1:9" x14ac:dyDescent="0.25">
      <c r="A541" s="7">
        <f t="shared" si="148"/>
        <v>540</v>
      </c>
      <c r="B541" s="8" t="str">
        <f t="shared" si="144"/>
        <v>2</v>
      </c>
      <c r="C541" s="8">
        <f t="shared" si="141"/>
        <v>4</v>
      </c>
      <c r="D541" s="8"/>
      <c r="E541" s="9">
        <f t="shared" si="150"/>
        <v>43953.635416666657</v>
      </c>
      <c r="F541" s="8">
        <f t="shared" si="145"/>
        <v>105</v>
      </c>
      <c r="G541" s="8" t="s">
        <v>10</v>
      </c>
      <c r="H541" s="8" t="s">
        <v>13</v>
      </c>
      <c r="I541" s="8">
        <f t="shared" si="140"/>
        <v>7</v>
      </c>
    </row>
    <row r="542" spans="1:9" ht="15.75" thickBot="1" x14ac:dyDescent="0.3">
      <c r="A542" s="10">
        <f t="shared" si="148"/>
        <v>541</v>
      </c>
      <c r="B542" s="11" t="str">
        <f t="shared" si="144"/>
        <v>2</v>
      </c>
      <c r="C542" s="11">
        <f t="shared" si="141"/>
        <v>4</v>
      </c>
      <c r="D542" s="11"/>
      <c r="E542" s="12">
        <f t="shared" si="150"/>
        <v>43953.708333333321</v>
      </c>
      <c r="F542" s="11">
        <f t="shared" si="145"/>
        <v>105</v>
      </c>
      <c r="G542" s="11" t="s">
        <v>10</v>
      </c>
      <c r="H542" s="11" t="s">
        <v>13</v>
      </c>
      <c r="I542" s="11">
        <f t="shared" si="140"/>
        <v>7</v>
      </c>
    </row>
    <row r="543" spans="1:9" x14ac:dyDescent="0.25">
      <c r="A543" s="3">
        <f t="shared" si="148"/>
        <v>542</v>
      </c>
      <c r="B543" s="4" t="str">
        <f t="shared" si="144"/>
        <v>1</v>
      </c>
      <c r="C543" s="4">
        <f t="shared" si="141"/>
        <v>7</v>
      </c>
      <c r="D543" s="4"/>
      <c r="E543" s="5">
        <f>E527</f>
        <v>43953.375</v>
      </c>
      <c r="F543" s="4">
        <f t="shared" si="145"/>
        <v>60</v>
      </c>
      <c r="G543" s="4" t="s">
        <v>16</v>
      </c>
      <c r="H543" s="4" t="s">
        <v>15</v>
      </c>
      <c r="I543" s="4">
        <f>WEEKDAY(E543)</f>
        <v>7</v>
      </c>
    </row>
    <row r="544" spans="1:9" x14ac:dyDescent="0.25">
      <c r="A544" s="7">
        <f t="shared" si="148"/>
        <v>543</v>
      </c>
      <c r="B544" s="8" t="str">
        <f t="shared" si="144"/>
        <v>1</v>
      </c>
      <c r="C544" s="8">
        <f t="shared" si="141"/>
        <v>6</v>
      </c>
      <c r="D544" s="8"/>
      <c r="E544" s="9">
        <f>E543+F543/60/24</f>
        <v>43953.416666666664</v>
      </c>
      <c r="F544" s="8">
        <f t="shared" si="145"/>
        <v>60</v>
      </c>
      <c r="G544" s="8" t="s">
        <v>16</v>
      </c>
      <c r="H544" s="8" t="s">
        <v>14</v>
      </c>
      <c r="I544" s="8">
        <f>WEEKDAY(E544)</f>
        <v>7</v>
      </c>
    </row>
    <row r="545" spans="1:9" x14ac:dyDescent="0.25">
      <c r="A545" s="7">
        <f t="shared" si="148"/>
        <v>544</v>
      </c>
      <c r="B545" s="8" t="str">
        <f t="shared" si="144"/>
        <v>1</v>
      </c>
      <c r="C545" s="8">
        <f t="shared" si="141"/>
        <v>5</v>
      </c>
      <c r="D545" s="8"/>
      <c r="E545" s="9">
        <f t="shared" ref="E545:E549" si="151">E544+F544/60/24</f>
        <v>43953.458333333328</v>
      </c>
      <c r="F545" s="8">
        <f t="shared" si="145"/>
        <v>90</v>
      </c>
      <c r="G545" s="8" t="s">
        <v>16</v>
      </c>
      <c r="H545" s="8" t="s">
        <v>11</v>
      </c>
      <c r="I545" s="8">
        <f>WEEKDAY(E545)</f>
        <v>7</v>
      </c>
    </row>
    <row r="546" spans="1:9" x14ac:dyDescent="0.25">
      <c r="A546" s="7">
        <f t="shared" si="148"/>
        <v>545</v>
      </c>
      <c r="B546" s="8" t="str">
        <f t="shared" si="144"/>
        <v>1</v>
      </c>
      <c r="C546" s="8">
        <f t="shared" si="141"/>
        <v>5</v>
      </c>
      <c r="D546" s="8"/>
      <c r="E546" s="9">
        <f t="shared" si="151"/>
        <v>43953.520833333328</v>
      </c>
      <c r="F546" s="8">
        <f t="shared" si="145"/>
        <v>90</v>
      </c>
      <c r="G546" s="8" t="s">
        <v>16</v>
      </c>
      <c r="H546" s="8" t="s">
        <v>11</v>
      </c>
      <c r="I546" s="8">
        <f>WEEKDAY(E546)</f>
        <v>7</v>
      </c>
    </row>
    <row r="547" spans="1:9" x14ac:dyDescent="0.25">
      <c r="A547" s="7">
        <f t="shared" si="148"/>
        <v>546</v>
      </c>
      <c r="B547" s="8" t="str">
        <f t="shared" si="144"/>
        <v>1</v>
      </c>
      <c r="C547" s="8">
        <f t="shared" si="141"/>
        <v>5</v>
      </c>
      <c r="D547" s="8"/>
      <c r="E547" s="9">
        <f t="shared" si="151"/>
        <v>43953.583333333328</v>
      </c>
      <c r="F547" s="8">
        <f t="shared" si="145"/>
        <v>90</v>
      </c>
      <c r="G547" s="8" t="s">
        <v>16</v>
      </c>
      <c r="H547" s="8" t="s">
        <v>11</v>
      </c>
      <c r="I547" s="8">
        <f t="shared" ref="I547:I549" si="152">WEEKDAY(E547)</f>
        <v>7</v>
      </c>
    </row>
    <row r="548" spans="1:9" x14ac:dyDescent="0.25">
      <c r="A548" s="7">
        <f t="shared" si="148"/>
        <v>547</v>
      </c>
      <c r="B548" s="8" t="str">
        <f t="shared" si="144"/>
        <v>1</v>
      </c>
      <c r="C548" s="8">
        <f t="shared" si="141"/>
        <v>5</v>
      </c>
      <c r="D548" s="8"/>
      <c r="E548" s="9">
        <f t="shared" si="151"/>
        <v>43953.645833333328</v>
      </c>
      <c r="F548" s="8">
        <f t="shared" si="145"/>
        <v>90</v>
      </c>
      <c r="G548" s="8" t="s">
        <v>16</v>
      </c>
      <c r="H548" s="8" t="s">
        <v>11</v>
      </c>
      <c r="I548" s="8">
        <f t="shared" si="152"/>
        <v>7</v>
      </c>
    </row>
    <row r="549" spans="1:9" ht="15.75" thickBot="1" x14ac:dyDescent="0.3">
      <c r="A549" s="10">
        <f t="shared" si="148"/>
        <v>548</v>
      </c>
      <c r="B549" s="11" t="str">
        <f t="shared" si="144"/>
        <v>1</v>
      </c>
      <c r="C549" s="11">
        <f t="shared" si="141"/>
        <v>5</v>
      </c>
      <c r="D549" s="11"/>
      <c r="E549" s="9">
        <f t="shared" si="151"/>
        <v>43953.708333333328</v>
      </c>
      <c r="F549" s="11">
        <f t="shared" si="145"/>
        <v>90</v>
      </c>
      <c r="G549" s="11" t="s">
        <v>16</v>
      </c>
      <c r="H549" s="11" t="s">
        <v>11</v>
      </c>
      <c r="I549" s="11">
        <f t="shared" si="152"/>
        <v>7</v>
      </c>
    </row>
    <row r="550" spans="1:9" x14ac:dyDescent="0.25">
      <c r="A550" s="3">
        <f t="shared" si="148"/>
        <v>549</v>
      </c>
      <c r="B550" s="4" t="str">
        <f t="shared" si="144"/>
        <v>5</v>
      </c>
      <c r="C550" s="4">
        <f t="shared" si="141"/>
        <v>6</v>
      </c>
      <c r="D550" s="4"/>
      <c r="E550" s="5">
        <f>E527</f>
        <v>43953.375</v>
      </c>
      <c r="F550" s="4">
        <f t="shared" si="145"/>
        <v>60</v>
      </c>
      <c r="G550" s="4" t="s">
        <v>17</v>
      </c>
      <c r="H550" s="4" t="s">
        <v>14</v>
      </c>
      <c r="I550" s="4">
        <f>WEEKDAY(E550)</f>
        <v>7</v>
      </c>
    </row>
    <row r="551" spans="1:9" x14ac:dyDescent="0.25">
      <c r="A551" s="7">
        <f t="shared" si="148"/>
        <v>550</v>
      </c>
      <c r="B551" s="8" t="str">
        <f t="shared" si="144"/>
        <v>5</v>
      </c>
      <c r="C551" s="8">
        <f t="shared" si="141"/>
        <v>5</v>
      </c>
      <c r="D551" s="8"/>
      <c r="E551" s="9">
        <f>E550+F550/60/24</f>
        <v>43953.416666666664</v>
      </c>
      <c r="F551" s="8">
        <f t="shared" si="145"/>
        <v>90</v>
      </c>
      <c r="G551" s="8" t="s">
        <v>17</v>
      </c>
      <c r="H551" s="8" t="s">
        <v>11</v>
      </c>
      <c r="I551" s="8">
        <f>WEEKDAY(E551)</f>
        <v>7</v>
      </c>
    </row>
    <row r="552" spans="1:9" x14ac:dyDescent="0.25">
      <c r="A552" s="7">
        <f t="shared" si="148"/>
        <v>551</v>
      </c>
      <c r="B552" s="8" t="str">
        <f t="shared" si="144"/>
        <v>5</v>
      </c>
      <c r="C552" s="8">
        <f t="shared" si="141"/>
        <v>4</v>
      </c>
      <c r="D552" s="8"/>
      <c r="E552" s="9">
        <f t="shared" ref="E552:E555" si="153">E551+F551/60/24</f>
        <v>43953.479166666664</v>
      </c>
      <c r="F552" s="8">
        <f t="shared" si="145"/>
        <v>105</v>
      </c>
      <c r="G552" s="8" t="s">
        <v>17</v>
      </c>
      <c r="H552" s="8" t="s">
        <v>13</v>
      </c>
      <c r="I552" s="8">
        <f>WEEKDAY(E552)</f>
        <v>7</v>
      </c>
    </row>
    <row r="553" spans="1:9" x14ac:dyDescent="0.25">
      <c r="A553" s="7">
        <f t="shared" si="148"/>
        <v>552</v>
      </c>
      <c r="B553" s="8" t="str">
        <f t="shared" si="144"/>
        <v>5</v>
      </c>
      <c r="C553" s="8">
        <f t="shared" si="141"/>
        <v>4</v>
      </c>
      <c r="D553" s="8"/>
      <c r="E553" s="9">
        <f t="shared" si="153"/>
        <v>43953.552083333328</v>
      </c>
      <c r="F553" s="8">
        <f t="shared" si="145"/>
        <v>105</v>
      </c>
      <c r="G553" s="8" t="s">
        <v>17</v>
      </c>
      <c r="H553" s="8" t="s">
        <v>13</v>
      </c>
      <c r="I553" s="8">
        <f>WEEKDAY(E553)</f>
        <v>7</v>
      </c>
    </row>
    <row r="554" spans="1:9" x14ac:dyDescent="0.25">
      <c r="A554" s="7">
        <f t="shared" si="148"/>
        <v>553</v>
      </c>
      <c r="B554" s="8" t="str">
        <f t="shared" si="144"/>
        <v>5</v>
      </c>
      <c r="C554" s="8">
        <f t="shared" si="141"/>
        <v>4</v>
      </c>
      <c r="D554" s="8"/>
      <c r="E554" s="9">
        <f t="shared" si="153"/>
        <v>43953.624999999993</v>
      </c>
      <c r="F554" s="8">
        <f t="shared" si="145"/>
        <v>105</v>
      </c>
      <c r="G554" s="8" t="s">
        <v>17</v>
      </c>
      <c r="H554" s="8" t="s">
        <v>13</v>
      </c>
      <c r="I554" s="8">
        <f t="shared" ref="I554:I555" si="154">WEEKDAY(E554)</f>
        <v>7</v>
      </c>
    </row>
    <row r="555" spans="1:9" ht="15.75" thickBot="1" x14ac:dyDescent="0.3">
      <c r="A555" s="10">
        <f t="shared" si="148"/>
        <v>554</v>
      </c>
      <c r="B555" s="11" t="str">
        <f t="shared" si="144"/>
        <v>5</v>
      </c>
      <c r="C555" s="11">
        <f t="shared" si="141"/>
        <v>4</v>
      </c>
      <c r="D555" s="11"/>
      <c r="E555" s="12">
        <f t="shared" si="153"/>
        <v>43953.697916666657</v>
      </c>
      <c r="F555" s="11">
        <f t="shared" si="145"/>
        <v>105</v>
      </c>
      <c r="G555" s="11" t="s">
        <v>17</v>
      </c>
      <c r="H555" s="11" t="s">
        <v>13</v>
      </c>
      <c r="I555" s="11">
        <f t="shared" si="154"/>
        <v>7</v>
      </c>
    </row>
    <row r="556" spans="1:9" x14ac:dyDescent="0.25">
      <c r="A556" s="3">
        <f t="shared" si="148"/>
        <v>555</v>
      </c>
      <c r="B556" s="4" t="str">
        <f t="shared" si="144"/>
        <v>6</v>
      </c>
      <c r="C556" s="4">
        <f t="shared" si="141"/>
        <v>4</v>
      </c>
      <c r="D556" s="4"/>
      <c r="E556" s="5">
        <f>E527</f>
        <v>43953.375</v>
      </c>
      <c r="F556" s="4">
        <f t="shared" si="145"/>
        <v>105</v>
      </c>
      <c r="G556" s="4" t="s">
        <v>18</v>
      </c>
      <c r="H556" s="4" t="s">
        <v>13</v>
      </c>
      <c r="I556" s="4">
        <f>WEEKDAY(E556)</f>
        <v>7</v>
      </c>
    </row>
    <row r="557" spans="1:9" x14ac:dyDescent="0.25">
      <c r="A557" s="7">
        <f t="shared" si="148"/>
        <v>556</v>
      </c>
      <c r="B557" s="8" t="str">
        <f t="shared" si="144"/>
        <v>6</v>
      </c>
      <c r="C557" s="8" t="s">
        <v>50</v>
      </c>
      <c r="D557" s="8"/>
      <c r="E557" s="9">
        <f>E556+F556/60/24</f>
        <v>43953.447916666664</v>
      </c>
      <c r="F557" s="8">
        <f t="shared" si="145"/>
        <v>105</v>
      </c>
      <c r="G557" s="8" t="s">
        <v>18</v>
      </c>
      <c r="H557" s="8" t="s">
        <v>12</v>
      </c>
      <c r="I557" s="8">
        <f>WEEKDAY(E557)</f>
        <v>7</v>
      </c>
    </row>
    <row r="558" spans="1:9" x14ac:dyDescent="0.25">
      <c r="A558" s="7">
        <f t="shared" si="148"/>
        <v>557</v>
      </c>
      <c r="B558" s="8" t="str">
        <f t="shared" si="144"/>
        <v>6</v>
      </c>
      <c r="C558" s="8" t="s">
        <v>50</v>
      </c>
      <c r="D558" s="8"/>
      <c r="E558" s="9">
        <f t="shared" ref="E558:E560" si="155">E557+F557/60/24</f>
        <v>43953.520833333328</v>
      </c>
      <c r="F558" s="8">
        <f t="shared" si="145"/>
        <v>105</v>
      </c>
      <c r="G558" s="8" t="s">
        <v>18</v>
      </c>
      <c r="H558" s="8" t="s">
        <v>12</v>
      </c>
      <c r="I558" s="8">
        <f>WEEKDAY(E558)</f>
        <v>7</v>
      </c>
    </row>
    <row r="559" spans="1:9" x14ac:dyDescent="0.25">
      <c r="A559" s="7">
        <f t="shared" si="148"/>
        <v>558</v>
      </c>
      <c r="B559" s="8" t="str">
        <f t="shared" si="144"/>
        <v>6</v>
      </c>
      <c r="C559" s="8" t="s">
        <v>50</v>
      </c>
      <c r="D559" s="8"/>
      <c r="E559" s="9">
        <f t="shared" si="155"/>
        <v>43953.593749999993</v>
      </c>
      <c r="F559" s="8">
        <f t="shared" si="145"/>
        <v>105</v>
      </c>
      <c r="G559" s="8" t="s">
        <v>18</v>
      </c>
      <c r="H559" s="8" t="s">
        <v>12</v>
      </c>
      <c r="I559" s="8">
        <f>WEEKDAY(E559)</f>
        <v>7</v>
      </c>
    </row>
    <row r="560" spans="1:9" ht="15.75" thickBot="1" x14ac:dyDescent="0.3">
      <c r="A560" s="10">
        <f t="shared" si="148"/>
        <v>559</v>
      </c>
      <c r="B560" s="11" t="str">
        <f t="shared" si="144"/>
        <v>6</v>
      </c>
      <c r="C560" s="8" t="s">
        <v>50</v>
      </c>
      <c r="D560" s="11"/>
      <c r="E560" s="12">
        <f t="shared" si="155"/>
        <v>43953.666666666657</v>
      </c>
      <c r="F560" s="11">
        <f t="shared" si="145"/>
        <v>105</v>
      </c>
      <c r="G560" s="11" t="s">
        <v>18</v>
      </c>
      <c r="H560" s="11" t="s">
        <v>12</v>
      </c>
      <c r="I560" s="11">
        <f t="shared" ref="I560" si="156">WEEKDAY(E560)</f>
        <v>7</v>
      </c>
    </row>
    <row r="561" spans="1:9" x14ac:dyDescent="0.25">
      <c r="A561" s="3">
        <f t="shared" si="148"/>
        <v>560</v>
      </c>
      <c r="B561" s="4" t="str">
        <f t="shared" si="144"/>
        <v>7</v>
      </c>
      <c r="C561" s="4">
        <f t="shared" si="141"/>
        <v>6</v>
      </c>
      <c r="D561" s="4"/>
      <c r="E561" s="5">
        <f>E527</f>
        <v>43953.375</v>
      </c>
      <c r="F561" s="4">
        <f t="shared" si="145"/>
        <v>60</v>
      </c>
      <c r="G561" s="4" t="s">
        <v>19</v>
      </c>
      <c r="H561" s="4" t="s">
        <v>14</v>
      </c>
      <c r="I561" s="4">
        <f>WEEKDAY(E561)</f>
        <v>7</v>
      </c>
    </row>
    <row r="562" spans="1:9" x14ac:dyDescent="0.25">
      <c r="A562" s="7">
        <f t="shared" si="148"/>
        <v>561</v>
      </c>
      <c r="B562" s="8" t="str">
        <f t="shared" si="144"/>
        <v>7</v>
      </c>
      <c r="C562" s="8">
        <f t="shared" si="141"/>
        <v>3</v>
      </c>
      <c r="D562" s="8"/>
      <c r="E562" s="9">
        <f>E561+F561/60/24</f>
        <v>43953.416666666664</v>
      </c>
      <c r="F562" s="8">
        <f t="shared" si="145"/>
        <v>105</v>
      </c>
      <c r="G562" s="8" t="s">
        <v>19</v>
      </c>
      <c r="H562" s="8" t="s">
        <v>12</v>
      </c>
      <c r="I562" s="8">
        <f>WEEKDAY(E562)</f>
        <v>7</v>
      </c>
    </row>
    <row r="563" spans="1:9" x14ac:dyDescent="0.25">
      <c r="A563" s="7">
        <f t="shared" si="148"/>
        <v>562</v>
      </c>
      <c r="B563" s="8" t="str">
        <f t="shared" si="144"/>
        <v>7</v>
      </c>
      <c r="C563" s="8">
        <f t="shared" ref="C563:C570" si="157">VLOOKUP(H563,league_id,2,FALSE)</f>
        <v>3</v>
      </c>
      <c r="D563" s="8"/>
      <c r="E563" s="9">
        <f t="shared" ref="E563:E565" si="158">E562+F562/60/24</f>
        <v>43953.489583333328</v>
      </c>
      <c r="F563" s="8">
        <f t="shared" si="145"/>
        <v>105</v>
      </c>
      <c r="G563" s="8" t="s">
        <v>19</v>
      </c>
      <c r="H563" s="8" t="s">
        <v>12</v>
      </c>
      <c r="I563" s="8">
        <f>WEEKDAY(E563)</f>
        <v>7</v>
      </c>
    </row>
    <row r="564" spans="1:9" x14ac:dyDescent="0.25">
      <c r="A564" s="7">
        <f t="shared" si="148"/>
        <v>563</v>
      </c>
      <c r="B564" s="8" t="str">
        <f t="shared" si="144"/>
        <v>7</v>
      </c>
      <c r="C564" s="8" t="s">
        <v>50</v>
      </c>
      <c r="D564" s="8"/>
      <c r="E564" s="9">
        <f t="shared" si="158"/>
        <v>43953.562499999993</v>
      </c>
      <c r="F564" s="8">
        <f t="shared" si="145"/>
        <v>120</v>
      </c>
      <c r="G564" s="8" t="s">
        <v>19</v>
      </c>
      <c r="H564" s="8" t="s">
        <v>9</v>
      </c>
      <c r="I564" s="8">
        <f>WEEKDAY(E564)</f>
        <v>7</v>
      </c>
    </row>
    <row r="565" spans="1:9" ht="15.75" thickBot="1" x14ac:dyDescent="0.3">
      <c r="A565" s="10">
        <f t="shared" si="148"/>
        <v>564</v>
      </c>
      <c r="B565" s="11" t="str">
        <f t="shared" si="144"/>
        <v>7</v>
      </c>
      <c r="C565" s="8" t="s">
        <v>50</v>
      </c>
      <c r="D565" s="11"/>
      <c r="E565" s="12">
        <f t="shared" si="158"/>
        <v>43953.645833333328</v>
      </c>
      <c r="F565" s="11">
        <f t="shared" si="145"/>
        <v>120</v>
      </c>
      <c r="G565" s="11" t="s">
        <v>19</v>
      </c>
      <c r="H565" s="11" t="s">
        <v>9</v>
      </c>
      <c r="I565" s="11">
        <f t="shared" ref="I565" si="159">WEEKDAY(E565)</f>
        <v>7</v>
      </c>
    </row>
    <row r="566" spans="1:9" x14ac:dyDescent="0.25">
      <c r="A566" s="3">
        <f t="shared" si="148"/>
        <v>565</v>
      </c>
      <c r="B566" s="4" t="str">
        <f t="shared" si="144"/>
        <v>8</v>
      </c>
      <c r="C566" s="4">
        <f t="shared" si="157"/>
        <v>5</v>
      </c>
      <c r="D566" s="4"/>
      <c r="E566" s="5">
        <f>E527</f>
        <v>43953.375</v>
      </c>
      <c r="F566" s="4">
        <f t="shared" si="145"/>
        <v>90</v>
      </c>
      <c r="G566" s="4" t="s">
        <v>20</v>
      </c>
      <c r="H566" s="4" t="s">
        <v>11</v>
      </c>
      <c r="I566" s="4">
        <f>WEEKDAY(E566)</f>
        <v>7</v>
      </c>
    </row>
    <row r="567" spans="1:9" x14ac:dyDescent="0.25">
      <c r="A567" s="7">
        <f t="shared" si="148"/>
        <v>566</v>
      </c>
      <c r="B567" s="8" t="str">
        <f t="shared" si="144"/>
        <v>8</v>
      </c>
      <c r="C567" s="8">
        <f t="shared" si="157"/>
        <v>5</v>
      </c>
      <c r="D567" s="8"/>
      <c r="E567" s="9">
        <f>E566+F566/60/24</f>
        <v>43953.4375</v>
      </c>
      <c r="F567" s="8">
        <f t="shared" si="145"/>
        <v>90</v>
      </c>
      <c r="G567" s="8" t="s">
        <v>20</v>
      </c>
      <c r="H567" s="8" t="s">
        <v>11</v>
      </c>
      <c r="I567" s="8">
        <f>WEEKDAY(E567)</f>
        <v>7</v>
      </c>
    </row>
    <row r="568" spans="1:9" x14ac:dyDescent="0.25">
      <c r="A568" s="7">
        <f t="shared" si="148"/>
        <v>567</v>
      </c>
      <c r="B568" s="8" t="str">
        <f t="shared" si="144"/>
        <v>8</v>
      </c>
      <c r="C568" s="8">
        <f t="shared" si="157"/>
        <v>3</v>
      </c>
      <c r="D568" s="8"/>
      <c r="E568" s="9">
        <f t="shared" ref="E568:E570" si="160">E567+F567/60/24</f>
        <v>43953.5</v>
      </c>
      <c r="F568" s="8">
        <f t="shared" si="145"/>
        <v>105</v>
      </c>
      <c r="G568" s="8" t="s">
        <v>20</v>
      </c>
      <c r="H568" s="8" t="s">
        <v>12</v>
      </c>
      <c r="I568" s="8">
        <f>WEEKDAY(E568)</f>
        <v>7</v>
      </c>
    </row>
    <row r="569" spans="1:9" x14ac:dyDescent="0.25">
      <c r="A569" s="7">
        <f t="shared" si="148"/>
        <v>568</v>
      </c>
      <c r="B569" s="8" t="str">
        <f t="shared" si="144"/>
        <v>8</v>
      </c>
      <c r="C569" s="8" t="s">
        <v>50</v>
      </c>
      <c r="D569" s="8"/>
      <c r="E569" s="9">
        <f t="shared" si="160"/>
        <v>43953.572916666664</v>
      </c>
      <c r="F569" s="8">
        <f t="shared" si="145"/>
        <v>120</v>
      </c>
      <c r="G569" s="8" t="s">
        <v>20</v>
      </c>
      <c r="H569" s="8" t="s">
        <v>9</v>
      </c>
      <c r="I569" s="8">
        <f>WEEKDAY(E569)</f>
        <v>7</v>
      </c>
    </row>
    <row r="570" spans="1:9" ht="15.75" thickBot="1" x14ac:dyDescent="0.3">
      <c r="A570" s="10">
        <f t="shared" si="148"/>
        <v>569</v>
      </c>
      <c r="B570" s="11" t="str">
        <f t="shared" si="144"/>
        <v>8</v>
      </c>
      <c r="C570" s="8" t="s">
        <v>50</v>
      </c>
      <c r="D570" s="11"/>
      <c r="E570" s="12">
        <f t="shared" si="160"/>
        <v>43953.65625</v>
      </c>
      <c r="F570" s="11">
        <f t="shared" si="145"/>
        <v>120</v>
      </c>
      <c r="G570" s="11" t="s">
        <v>20</v>
      </c>
      <c r="H570" s="11" t="s">
        <v>9</v>
      </c>
      <c r="I570" s="11">
        <f t="shared" ref="I570:I614" si="161">WEEKDAY(E570)</f>
        <v>7</v>
      </c>
    </row>
    <row r="571" spans="1:9" x14ac:dyDescent="0.25">
      <c r="A571" s="3">
        <f>A570+1</f>
        <v>570</v>
      </c>
      <c r="B571" s="4" t="str">
        <f t="shared" si="144"/>
        <v>4</v>
      </c>
      <c r="C571" s="4">
        <f t="shared" ref="C571:C634" si="162">VLOOKUP(H571,league_id,2,FALSE)</f>
        <v>1</v>
      </c>
      <c r="D571" s="4"/>
      <c r="E571" s="5">
        <v>43958.75</v>
      </c>
      <c r="F571" s="4">
        <f t="shared" si="145"/>
        <v>120</v>
      </c>
      <c r="G571" s="4" t="s">
        <v>8</v>
      </c>
      <c r="H571" s="4" t="s">
        <v>8</v>
      </c>
      <c r="I571" s="4">
        <f t="shared" si="161"/>
        <v>5</v>
      </c>
    </row>
    <row r="572" spans="1:9" ht="15.75" thickBot="1" x14ac:dyDescent="0.3">
      <c r="A572" s="7">
        <f>A571+1</f>
        <v>571</v>
      </c>
      <c r="B572" s="8" t="str">
        <f t="shared" si="144"/>
        <v>4</v>
      </c>
      <c r="C572" s="8">
        <f t="shared" si="162"/>
        <v>1</v>
      </c>
      <c r="D572" s="8"/>
      <c r="E572" s="9">
        <f>E571+F571/60/24</f>
        <v>43958.833333333336</v>
      </c>
      <c r="F572" s="8">
        <f t="shared" si="145"/>
        <v>120</v>
      </c>
      <c r="G572" s="8" t="s">
        <v>8</v>
      </c>
      <c r="H572" s="8" t="s">
        <v>8</v>
      </c>
      <c r="I572" s="8">
        <f t="shared" si="161"/>
        <v>5</v>
      </c>
    </row>
    <row r="573" spans="1:9" x14ac:dyDescent="0.25">
      <c r="A573" s="3">
        <f>A572+1</f>
        <v>572</v>
      </c>
      <c r="B573" s="4" t="str">
        <f t="shared" si="144"/>
        <v>3</v>
      </c>
      <c r="C573" s="4">
        <f t="shared" si="162"/>
        <v>2</v>
      </c>
      <c r="D573" s="4"/>
      <c r="E573" s="5">
        <f>E571</f>
        <v>43958.75</v>
      </c>
      <c r="F573" s="4">
        <f t="shared" si="145"/>
        <v>120</v>
      </c>
      <c r="G573" s="4" t="s">
        <v>9</v>
      </c>
      <c r="H573" s="4" t="s">
        <v>9</v>
      </c>
      <c r="I573" s="4">
        <f t="shared" si="161"/>
        <v>5</v>
      </c>
    </row>
    <row r="574" spans="1:9" ht="15.75" thickBot="1" x14ac:dyDescent="0.3">
      <c r="A574" s="7">
        <f t="shared" ref="A574:A582" si="163">A573+1</f>
        <v>573</v>
      </c>
      <c r="B574" s="8" t="str">
        <f t="shared" si="144"/>
        <v>3</v>
      </c>
      <c r="C574" s="8">
        <f t="shared" si="162"/>
        <v>2</v>
      </c>
      <c r="D574" s="8"/>
      <c r="E574" s="9">
        <f>E573+F573/60/24</f>
        <v>43958.833333333336</v>
      </c>
      <c r="F574" s="8">
        <f t="shared" si="145"/>
        <v>120</v>
      </c>
      <c r="G574" s="8" t="s">
        <v>9</v>
      </c>
      <c r="H574" s="8" t="s">
        <v>9</v>
      </c>
      <c r="I574" s="8">
        <f t="shared" si="161"/>
        <v>5</v>
      </c>
    </row>
    <row r="575" spans="1:9" x14ac:dyDescent="0.25">
      <c r="A575" s="3">
        <f>A574+1</f>
        <v>574</v>
      </c>
      <c r="B575" s="4" t="str">
        <f t="shared" si="144"/>
        <v>2</v>
      </c>
      <c r="C575" s="4">
        <f t="shared" si="162"/>
        <v>4</v>
      </c>
      <c r="D575" s="4"/>
      <c r="E575" s="5">
        <f>E571</f>
        <v>43958.75</v>
      </c>
      <c r="F575" s="4">
        <f t="shared" si="145"/>
        <v>105</v>
      </c>
      <c r="G575" s="4" t="s">
        <v>10</v>
      </c>
      <c r="H575" s="4" t="s">
        <v>13</v>
      </c>
      <c r="I575" s="4">
        <f t="shared" si="161"/>
        <v>5</v>
      </c>
    </row>
    <row r="576" spans="1:9" ht="15.75" thickBot="1" x14ac:dyDescent="0.3">
      <c r="A576" s="7">
        <f t="shared" si="163"/>
        <v>575</v>
      </c>
      <c r="B576" s="8" t="str">
        <f t="shared" si="144"/>
        <v>2</v>
      </c>
      <c r="C576" s="8">
        <f t="shared" si="162"/>
        <v>4</v>
      </c>
      <c r="D576" s="8"/>
      <c r="E576" s="9">
        <f>E575+F575/60/24</f>
        <v>43958.822916666664</v>
      </c>
      <c r="F576" s="8">
        <f t="shared" si="145"/>
        <v>105</v>
      </c>
      <c r="G576" s="8" t="s">
        <v>10</v>
      </c>
      <c r="H576" s="8" t="s">
        <v>13</v>
      </c>
      <c r="I576" s="8">
        <f t="shared" si="161"/>
        <v>5</v>
      </c>
    </row>
    <row r="577" spans="1:9" x14ac:dyDescent="0.25">
      <c r="A577" s="3">
        <f>A576+1</f>
        <v>576</v>
      </c>
      <c r="B577" s="4" t="str">
        <f t="shared" si="144"/>
        <v>1</v>
      </c>
      <c r="C577" s="4">
        <f t="shared" si="162"/>
        <v>5</v>
      </c>
      <c r="D577" s="4"/>
      <c r="E577" s="5">
        <f>E571</f>
        <v>43958.75</v>
      </c>
      <c r="F577" s="4">
        <f t="shared" si="145"/>
        <v>90</v>
      </c>
      <c r="G577" s="4" t="s">
        <v>16</v>
      </c>
      <c r="H577" s="4" t="s">
        <v>11</v>
      </c>
      <c r="I577" s="4">
        <f t="shared" si="161"/>
        <v>5</v>
      </c>
    </row>
    <row r="578" spans="1:9" ht="15.75" thickBot="1" x14ac:dyDescent="0.3">
      <c r="A578" s="7">
        <f t="shared" si="163"/>
        <v>577</v>
      </c>
      <c r="B578" s="8" t="str">
        <f t="shared" ref="B578:B641" si="164">VLOOKUP(G578,field_id,2,FALSE)</f>
        <v>1</v>
      </c>
      <c r="C578" s="8">
        <f t="shared" si="162"/>
        <v>5</v>
      </c>
      <c r="D578" s="8"/>
      <c r="E578" s="9">
        <f>E577+F577/60/24</f>
        <v>43958.8125</v>
      </c>
      <c r="F578" s="8">
        <f t="shared" ref="F578:F641" si="165">VLOOKUP(H578,GameDuration,2,FALSE)</f>
        <v>90</v>
      </c>
      <c r="G578" s="8" t="s">
        <v>16</v>
      </c>
      <c r="H578" s="8" t="s">
        <v>11</v>
      </c>
      <c r="I578" s="8">
        <f t="shared" si="161"/>
        <v>5</v>
      </c>
    </row>
    <row r="579" spans="1:9" x14ac:dyDescent="0.25">
      <c r="A579" s="3">
        <f>A578+1</f>
        <v>578</v>
      </c>
      <c r="B579" s="4" t="str">
        <f t="shared" si="164"/>
        <v>5</v>
      </c>
      <c r="C579" s="4">
        <f t="shared" si="162"/>
        <v>5</v>
      </c>
      <c r="D579" s="4"/>
      <c r="E579" s="5">
        <f>E571</f>
        <v>43958.75</v>
      </c>
      <c r="F579" s="4">
        <f t="shared" si="165"/>
        <v>90</v>
      </c>
      <c r="G579" s="4" t="s">
        <v>17</v>
      </c>
      <c r="H579" s="4" t="s">
        <v>11</v>
      </c>
      <c r="I579" s="4">
        <f t="shared" si="161"/>
        <v>5</v>
      </c>
    </row>
    <row r="580" spans="1:9" ht="15.75" thickBot="1" x14ac:dyDescent="0.3">
      <c r="A580" s="7">
        <f t="shared" si="163"/>
        <v>579</v>
      </c>
      <c r="B580" s="8" t="str">
        <f t="shared" si="164"/>
        <v>5</v>
      </c>
      <c r="C580" s="8">
        <f t="shared" si="162"/>
        <v>4</v>
      </c>
      <c r="D580" s="8"/>
      <c r="E580" s="9">
        <f>E579+F579/60/24</f>
        <v>43958.8125</v>
      </c>
      <c r="F580" s="8">
        <f t="shared" si="165"/>
        <v>105</v>
      </c>
      <c r="G580" s="8" t="s">
        <v>17</v>
      </c>
      <c r="H580" s="8" t="s">
        <v>13</v>
      </c>
      <c r="I580" s="8">
        <f t="shared" si="161"/>
        <v>5</v>
      </c>
    </row>
    <row r="581" spans="1:9" x14ac:dyDescent="0.25">
      <c r="A581" s="3">
        <f>A580+1</f>
        <v>580</v>
      </c>
      <c r="B581" s="4" t="str">
        <f t="shared" si="164"/>
        <v>6</v>
      </c>
      <c r="C581" s="4">
        <f t="shared" si="162"/>
        <v>3</v>
      </c>
      <c r="D581" s="4"/>
      <c r="E581" s="5">
        <f>E571</f>
        <v>43958.75</v>
      </c>
      <c r="F581" s="4">
        <f t="shared" si="165"/>
        <v>105</v>
      </c>
      <c r="G581" s="4" t="s">
        <v>18</v>
      </c>
      <c r="H581" s="4" t="s">
        <v>12</v>
      </c>
      <c r="I581" s="4">
        <f t="shared" si="161"/>
        <v>5</v>
      </c>
    </row>
    <row r="582" spans="1:9" ht="15.75" thickBot="1" x14ac:dyDescent="0.3">
      <c r="A582" s="10">
        <f t="shared" si="163"/>
        <v>581</v>
      </c>
      <c r="B582" s="11" t="str">
        <f t="shared" si="164"/>
        <v>6</v>
      </c>
      <c r="C582" s="11">
        <f t="shared" si="162"/>
        <v>3</v>
      </c>
      <c r="D582" s="11"/>
      <c r="E582" s="12">
        <f>E581+F581/60/24</f>
        <v>43958.822916666664</v>
      </c>
      <c r="F582" s="11">
        <f t="shared" si="165"/>
        <v>105</v>
      </c>
      <c r="G582" s="11" t="s">
        <v>18</v>
      </c>
      <c r="H582" s="11" t="s">
        <v>12</v>
      </c>
      <c r="I582" s="11">
        <f t="shared" si="161"/>
        <v>5</v>
      </c>
    </row>
    <row r="583" spans="1:9" x14ac:dyDescent="0.25">
      <c r="A583" s="3">
        <f>A582+1</f>
        <v>582</v>
      </c>
      <c r="B583" s="4" t="str">
        <f t="shared" si="164"/>
        <v>4</v>
      </c>
      <c r="C583" s="4">
        <f t="shared" si="162"/>
        <v>1</v>
      </c>
      <c r="D583" s="4"/>
      <c r="E583" s="5">
        <v>43959.75</v>
      </c>
      <c r="F583" s="4">
        <f t="shared" si="165"/>
        <v>120</v>
      </c>
      <c r="G583" s="4" t="s">
        <v>8</v>
      </c>
      <c r="H583" s="4" t="s">
        <v>8</v>
      </c>
      <c r="I583" s="4">
        <f t="shared" si="161"/>
        <v>6</v>
      </c>
    </row>
    <row r="584" spans="1:9" ht="15.75" thickBot="1" x14ac:dyDescent="0.3">
      <c r="A584" s="7">
        <f>A583+1</f>
        <v>583</v>
      </c>
      <c r="B584" s="8" t="str">
        <f t="shared" si="164"/>
        <v>4</v>
      </c>
      <c r="C584" s="8">
        <f t="shared" si="162"/>
        <v>1</v>
      </c>
      <c r="D584" s="8"/>
      <c r="E584" s="9">
        <f>E583+F583/60/24</f>
        <v>43959.833333333336</v>
      </c>
      <c r="F584" s="8">
        <f t="shared" si="165"/>
        <v>120</v>
      </c>
      <c r="G584" s="8" t="s">
        <v>8</v>
      </c>
      <c r="H584" s="8" t="s">
        <v>8</v>
      </c>
      <c r="I584" s="8">
        <f t="shared" si="161"/>
        <v>6</v>
      </c>
    </row>
    <row r="585" spans="1:9" x14ac:dyDescent="0.25">
      <c r="A585" s="3">
        <f>A584+1</f>
        <v>584</v>
      </c>
      <c r="B585" s="4" t="str">
        <f t="shared" si="164"/>
        <v>3</v>
      </c>
      <c r="C585" s="4">
        <f t="shared" si="162"/>
        <v>2</v>
      </c>
      <c r="D585" s="4"/>
      <c r="E585" s="5">
        <f>E583</f>
        <v>43959.75</v>
      </c>
      <c r="F585" s="4">
        <f t="shared" si="165"/>
        <v>120</v>
      </c>
      <c r="G585" s="4" t="s">
        <v>9</v>
      </c>
      <c r="H585" s="4" t="s">
        <v>9</v>
      </c>
      <c r="I585" s="4">
        <f t="shared" si="161"/>
        <v>6</v>
      </c>
    </row>
    <row r="586" spans="1:9" ht="15.75" thickBot="1" x14ac:dyDescent="0.3">
      <c r="A586" s="7">
        <f t="shared" ref="A586:A594" si="166">A585+1</f>
        <v>585</v>
      </c>
      <c r="B586" s="8" t="str">
        <f t="shared" si="164"/>
        <v>3</v>
      </c>
      <c r="C586" s="8">
        <f t="shared" si="162"/>
        <v>2</v>
      </c>
      <c r="D586" s="8"/>
      <c r="E586" s="9">
        <f>E585+F585/60/24</f>
        <v>43959.833333333336</v>
      </c>
      <c r="F586" s="8">
        <f t="shared" si="165"/>
        <v>120</v>
      </c>
      <c r="G586" s="8" t="s">
        <v>9</v>
      </c>
      <c r="H586" s="8" t="s">
        <v>9</v>
      </c>
      <c r="I586" s="8">
        <f t="shared" si="161"/>
        <v>6</v>
      </c>
    </row>
    <row r="587" spans="1:9" x14ac:dyDescent="0.25">
      <c r="A587" s="3">
        <f>A586+1</f>
        <v>586</v>
      </c>
      <c r="B587" s="4" t="str">
        <f t="shared" si="164"/>
        <v>2</v>
      </c>
      <c r="C587" s="4">
        <f t="shared" si="162"/>
        <v>4</v>
      </c>
      <c r="D587" s="4"/>
      <c r="E587" s="5">
        <f>E583</f>
        <v>43959.75</v>
      </c>
      <c r="F587" s="4">
        <f t="shared" si="165"/>
        <v>105</v>
      </c>
      <c r="G587" s="4" t="s">
        <v>10</v>
      </c>
      <c r="H587" s="4" t="s">
        <v>13</v>
      </c>
      <c r="I587" s="4">
        <f t="shared" si="161"/>
        <v>6</v>
      </c>
    </row>
    <row r="588" spans="1:9" ht="15.75" thickBot="1" x14ac:dyDescent="0.3">
      <c r="A588" s="7">
        <f t="shared" si="166"/>
        <v>587</v>
      </c>
      <c r="B588" s="8" t="str">
        <f t="shared" si="164"/>
        <v>2</v>
      </c>
      <c r="C588" s="8">
        <f t="shared" si="162"/>
        <v>4</v>
      </c>
      <c r="D588" s="8"/>
      <c r="E588" s="9">
        <f>E587+F587/60/24</f>
        <v>43959.822916666664</v>
      </c>
      <c r="F588" s="8">
        <f t="shared" si="165"/>
        <v>105</v>
      </c>
      <c r="G588" s="8" t="s">
        <v>10</v>
      </c>
      <c r="H588" s="8" t="s">
        <v>13</v>
      </c>
      <c r="I588" s="8">
        <f t="shared" si="161"/>
        <v>6</v>
      </c>
    </row>
    <row r="589" spans="1:9" x14ac:dyDescent="0.25">
      <c r="A589" s="3">
        <f>A588+1</f>
        <v>588</v>
      </c>
      <c r="B589" s="4" t="str">
        <f t="shared" si="164"/>
        <v>1</v>
      </c>
      <c r="C589" s="4">
        <f t="shared" si="162"/>
        <v>5</v>
      </c>
      <c r="D589" s="4"/>
      <c r="E589" s="5">
        <f>E583</f>
        <v>43959.75</v>
      </c>
      <c r="F589" s="4">
        <f t="shared" si="165"/>
        <v>90</v>
      </c>
      <c r="G589" s="4" t="s">
        <v>16</v>
      </c>
      <c r="H589" s="4" t="s">
        <v>11</v>
      </c>
      <c r="I589" s="4">
        <f t="shared" si="161"/>
        <v>6</v>
      </c>
    </row>
    <row r="590" spans="1:9" ht="15.75" thickBot="1" x14ac:dyDescent="0.3">
      <c r="A590" s="7">
        <f t="shared" si="166"/>
        <v>589</v>
      </c>
      <c r="B590" s="8" t="str">
        <f t="shared" si="164"/>
        <v>1</v>
      </c>
      <c r="C590" s="8">
        <f t="shared" si="162"/>
        <v>5</v>
      </c>
      <c r="D590" s="8"/>
      <c r="E590" s="9">
        <f>E589+F589/60/24</f>
        <v>43959.8125</v>
      </c>
      <c r="F590" s="8">
        <f t="shared" si="165"/>
        <v>90</v>
      </c>
      <c r="G590" s="8" t="s">
        <v>16</v>
      </c>
      <c r="H590" s="8" t="s">
        <v>11</v>
      </c>
      <c r="I590" s="8">
        <f t="shared" si="161"/>
        <v>6</v>
      </c>
    </row>
    <row r="591" spans="1:9" x14ac:dyDescent="0.25">
      <c r="A591" s="3">
        <f>A590+1</f>
        <v>590</v>
      </c>
      <c r="B591" s="4" t="str">
        <f t="shared" si="164"/>
        <v>5</v>
      </c>
      <c r="C591" s="4">
        <f t="shared" si="162"/>
        <v>5</v>
      </c>
      <c r="D591" s="4"/>
      <c r="E591" s="5">
        <f>E583</f>
        <v>43959.75</v>
      </c>
      <c r="F591" s="4">
        <f t="shared" si="165"/>
        <v>90</v>
      </c>
      <c r="G591" s="4" t="s">
        <v>17</v>
      </c>
      <c r="H591" s="4" t="s">
        <v>11</v>
      </c>
      <c r="I591" s="4">
        <f t="shared" si="161"/>
        <v>6</v>
      </c>
    </row>
    <row r="592" spans="1:9" ht="15.75" thickBot="1" x14ac:dyDescent="0.3">
      <c r="A592" s="7">
        <f t="shared" si="166"/>
        <v>591</v>
      </c>
      <c r="B592" s="8" t="str">
        <f t="shared" si="164"/>
        <v>5</v>
      </c>
      <c r="C592" s="8">
        <f t="shared" si="162"/>
        <v>4</v>
      </c>
      <c r="D592" s="8"/>
      <c r="E592" s="9">
        <f>E591+F591/60/24</f>
        <v>43959.8125</v>
      </c>
      <c r="F592" s="8">
        <f t="shared" si="165"/>
        <v>105</v>
      </c>
      <c r="G592" s="8" t="s">
        <v>17</v>
      </c>
      <c r="H592" s="8" t="s">
        <v>13</v>
      </c>
      <c r="I592" s="8">
        <f t="shared" si="161"/>
        <v>6</v>
      </c>
    </row>
    <row r="593" spans="1:9" x14ac:dyDescent="0.25">
      <c r="A593" s="3">
        <f>A592+1</f>
        <v>592</v>
      </c>
      <c r="B593" s="4" t="str">
        <f t="shared" si="164"/>
        <v>6</v>
      </c>
      <c r="C593" s="4">
        <f t="shared" si="162"/>
        <v>3</v>
      </c>
      <c r="D593" s="4"/>
      <c r="E593" s="5">
        <f>E583</f>
        <v>43959.75</v>
      </c>
      <c r="F593" s="4">
        <f t="shared" si="165"/>
        <v>105</v>
      </c>
      <c r="G593" s="4" t="s">
        <v>18</v>
      </c>
      <c r="H593" s="4" t="s">
        <v>12</v>
      </c>
      <c r="I593" s="4">
        <f t="shared" si="161"/>
        <v>6</v>
      </c>
    </row>
    <row r="594" spans="1:9" ht="15.75" thickBot="1" x14ac:dyDescent="0.3">
      <c r="A594" s="10">
        <f t="shared" si="166"/>
        <v>593</v>
      </c>
      <c r="B594" s="11" t="str">
        <f t="shared" si="164"/>
        <v>6</v>
      </c>
      <c r="C594" s="11">
        <f t="shared" si="162"/>
        <v>3</v>
      </c>
      <c r="D594" s="11"/>
      <c r="E594" s="12">
        <f>E593+F593/60/24</f>
        <v>43959.822916666664</v>
      </c>
      <c r="F594" s="11">
        <f t="shared" si="165"/>
        <v>105</v>
      </c>
      <c r="G594" s="11" t="s">
        <v>18</v>
      </c>
      <c r="H594" s="11" t="s">
        <v>12</v>
      </c>
      <c r="I594" s="11">
        <f t="shared" si="161"/>
        <v>6</v>
      </c>
    </row>
    <row r="595" spans="1:9" x14ac:dyDescent="0.25">
      <c r="A595" s="3">
        <f>A594+1</f>
        <v>594</v>
      </c>
      <c r="B595" s="4" t="str">
        <f t="shared" si="164"/>
        <v>7</v>
      </c>
      <c r="C595" s="4">
        <f t="shared" si="162"/>
        <v>5</v>
      </c>
      <c r="D595" s="4"/>
      <c r="E595" s="5">
        <f>E583</f>
        <v>43959.75</v>
      </c>
      <c r="F595" s="4">
        <f t="shared" si="165"/>
        <v>90</v>
      </c>
      <c r="G595" s="4" t="s">
        <v>19</v>
      </c>
      <c r="H595" s="4" t="s">
        <v>11</v>
      </c>
      <c r="I595" s="4">
        <f t="shared" si="161"/>
        <v>6</v>
      </c>
    </row>
    <row r="596" spans="1:9" ht="15.75" thickBot="1" x14ac:dyDescent="0.3">
      <c r="A596" s="7">
        <f t="shared" ref="A596" si="167">A595+1</f>
        <v>595</v>
      </c>
      <c r="B596" s="8" t="str">
        <f t="shared" si="164"/>
        <v>7</v>
      </c>
      <c r="C596" s="8">
        <f t="shared" si="162"/>
        <v>4</v>
      </c>
      <c r="D596" s="8"/>
      <c r="E596" s="9">
        <f>E595+F595/60/24</f>
        <v>43959.8125</v>
      </c>
      <c r="F596" s="8">
        <f t="shared" si="165"/>
        <v>105</v>
      </c>
      <c r="G596" s="8" t="s">
        <v>19</v>
      </c>
      <c r="H596" s="8" t="s">
        <v>13</v>
      </c>
      <c r="I596" s="8">
        <f t="shared" si="161"/>
        <v>6</v>
      </c>
    </row>
    <row r="597" spans="1:9" x14ac:dyDescent="0.25">
      <c r="A597" s="3">
        <f>A596+1</f>
        <v>596</v>
      </c>
      <c r="B597" s="4" t="str">
        <f t="shared" si="164"/>
        <v>8</v>
      </c>
      <c r="C597" s="4">
        <f t="shared" si="162"/>
        <v>5</v>
      </c>
      <c r="D597" s="4"/>
      <c r="E597" s="5">
        <f>E583</f>
        <v>43959.75</v>
      </c>
      <c r="F597" s="4">
        <f t="shared" si="165"/>
        <v>90</v>
      </c>
      <c r="G597" s="4" t="s">
        <v>20</v>
      </c>
      <c r="H597" s="4" t="s">
        <v>11</v>
      </c>
      <c r="I597" s="4">
        <f t="shared" si="161"/>
        <v>6</v>
      </c>
    </row>
    <row r="598" spans="1:9" ht="15.75" thickBot="1" x14ac:dyDescent="0.3">
      <c r="A598" s="10">
        <f t="shared" ref="A598" si="168">A597+1</f>
        <v>597</v>
      </c>
      <c r="B598" s="11" t="str">
        <f t="shared" si="164"/>
        <v>8</v>
      </c>
      <c r="C598" s="11">
        <f t="shared" si="162"/>
        <v>4</v>
      </c>
      <c r="D598" s="11"/>
      <c r="E598" s="12">
        <f>E597+F597/60/24</f>
        <v>43959.8125</v>
      </c>
      <c r="F598" s="11">
        <f t="shared" si="165"/>
        <v>105</v>
      </c>
      <c r="G598" s="11" t="s">
        <v>20</v>
      </c>
      <c r="H598" s="11" t="s">
        <v>13</v>
      </c>
      <c r="I598" s="11">
        <f t="shared" si="161"/>
        <v>6</v>
      </c>
    </row>
    <row r="599" spans="1:9" x14ac:dyDescent="0.25">
      <c r="A599" s="3">
        <f>A598+1</f>
        <v>598</v>
      </c>
      <c r="B599" s="4" t="str">
        <f t="shared" si="164"/>
        <v>4</v>
      </c>
      <c r="C599" s="4">
        <f t="shared" si="162"/>
        <v>1</v>
      </c>
      <c r="D599" s="4"/>
      <c r="E599" s="5">
        <v>43960.375</v>
      </c>
      <c r="F599" s="4">
        <f t="shared" si="165"/>
        <v>120</v>
      </c>
      <c r="G599" s="4" t="s">
        <v>8</v>
      </c>
      <c r="H599" s="4" t="s">
        <v>8</v>
      </c>
      <c r="I599" s="4">
        <f t="shared" si="161"/>
        <v>7</v>
      </c>
    </row>
    <row r="600" spans="1:9" x14ac:dyDescent="0.25">
      <c r="A600" s="7">
        <f>A599+1</f>
        <v>599</v>
      </c>
      <c r="B600" s="8" t="str">
        <f t="shared" si="164"/>
        <v>4</v>
      </c>
      <c r="C600" s="8">
        <f t="shared" si="162"/>
        <v>1</v>
      </c>
      <c r="D600" s="8"/>
      <c r="E600" s="9">
        <f>E599+F599/60/24</f>
        <v>43960.458333333336</v>
      </c>
      <c r="F600" s="8">
        <f t="shared" si="165"/>
        <v>120</v>
      </c>
      <c r="G600" s="8" t="s">
        <v>8</v>
      </c>
      <c r="H600" s="8" t="s">
        <v>8</v>
      </c>
      <c r="I600" s="8">
        <f t="shared" si="161"/>
        <v>7</v>
      </c>
    </row>
    <row r="601" spans="1:9" x14ac:dyDescent="0.25">
      <c r="A601" s="7">
        <f t="shared" ref="A601:A642" si="169">A600+1</f>
        <v>600</v>
      </c>
      <c r="B601" s="8" t="str">
        <f t="shared" si="164"/>
        <v>4</v>
      </c>
      <c r="C601" s="8">
        <f t="shared" si="162"/>
        <v>1</v>
      </c>
      <c r="D601" s="8"/>
      <c r="E601" s="9">
        <f>E600+F600/60/24</f>
        <v>43960.541666666672</v>
      </c>
      <c r="F601" s="8">
        <f t="shared" si="165"/>
        <v>120</v>
      </c>
      <c r="G601" s="8" t="s">
        <v>8</v>
      </c>
      <c r="H601" s="8" t="s">
        <v>8</v>
      </c>
      <c r="I601" s="8">
        <f t="shared" si="161"/>
        <v>7</v>
      </c>
    </row>
    <row r="602" spans="1:9" x14ac:dyDescent="0.25">
      <c r="A602" s="7">
        <f t="shared" si="169"/>
        <v>601</v>
      </c>
      <c r="B602" s="8" t="str">
        <f t="shared" si="164"/>
        <v>4</v>
      </c>
      <c r="C602" s="8">
        <f t="shared" si="162"/>
        <v>1</v>
      </c>
      <c r="D602" s="8"/>
      <c r="E602" s="9">
        <f>E601+F601/60/24</f>
        <v>43960.625000000007</v>
      </c>
      <c r="F602" s="8">
        <f t="shared" si="165"/>
        <v>120</v>
      </c>
      <c r="G602" s="8" t="s">
        <v>8</v>
      </c>
      <c r="H602" s="8" t="s">
        <v>8</v>
      </c>
      <c r="I602" s="8">
        <f t="shared" si="161"/>
        <v>7</v>
      </c>
    </row>
    <row r="603" spans="1:9" ht="15.75" thickBot="1" x14ac:dyDescent="0.3">
      <c r="A603" s="10">
        <f t="shared" si="169"/>
        <v>602</v>
      </c>
      <c r="B603" s="11" t="str">
        <f t="shared" si="164"/>
        <v>4</v>
      </c>
      <c r="C603" s="11">
        <f t="shared" si="162"/>
        <v>1</v>
      </c>
      <c r="D603" s="11"/>
      <c r="E603" s="12">
        <f>E602+F602/60/24</f>
        <v>43960.708333333343</v>
      </c>
      <c r="F603" s="11">
        <f t="shared" si="165"/>
        <v>120</v>
      </c>
      <c r="G603" s="11" t="s">
        <v>8</v>
      </c>
      <c r="H603" s="11" t="s">
        <v>8</v>
      </c>
      <c r="I603" s="11">
        <f t="shared" si="161"/>
        <v>7</v>
      </c>
    </row>
    <row r="604" spans="1:9" x14ac:dyDescent="0.25">
      <c r="A604" s="3">
        <f t="shared" si="169"/>
        <v>603</v>
      </c>
      <c r="B604" s="4" t="str">
        <f t="shared" si="164"/>
        <v>3</v>
      </c>
      <c r="C604" s="8" t="s">
        <v>50</v>
      </c>
      <c r="D604" s="4"/>
      <c r="E604" s="5">
        <f>E599</f>
        <v>43960.375</v>
      </c>
      <c r="F604" s="4">
        <f t="shared" si="165"/>
        <v>120</v>
      </c>
      <c r="G604" s="4" t="s">
        <v>9</v>
      </c>
      <c r="H604" s="4" t="s">
        <v>9</v>
      </c>
      <c r="I604" s="4">
        <f t="shared" si="161"/>
        <v>7</v>
      </c>
    </row>
    <row r="605" spans="1:9" x14ac:dyDescent="0.25">
      <c r="A605" s="7">
        <f t="shared" si="169"/>
        <v>604</v>
      </c>
      <c r="B605" s="8" t="str">
        <f t="shared" si="164"/>
        <v>3</v>
      </c>
      <c r="C605" s="8" t="s">
        <v>50</v>
      </c>
      <c r="D605" s="8"/>
      <c r="E605" s="9">
        <f>E604+F604/60/24</f>
        <v>43960.458333333336</v>
      </c>
      <c r="F605" s="8">
        <f t="shared" si="165"/>
        <v>120</v>
      </c>
      <c r="G605" s="8" t="s">
        <v>9</v>
      </c>
      <c r="H605" s="8" t="s">
        <v>9</v>
      </c>
      <c r="I605" s="8">
        <f t="shared" si="161"/>
        <v>7</v>
      </c>
    </row>
    <row r="606" spans="1:9" x14ac:dyDescent="0.25">
      <c r="A606" s="7">
        <f t="shared" si="169"/>
        <v>605</v>
      </c>
      <c r="B606" s="8" t="str">
        <f t="shared" si="164"/>
        <v>3</v>
      </c>
      <c r="C606" s="8" t="s">
        <v>50</v>
      </c>
      <c r="D606" s="8"/>
      <c r="E606" s="9">
        <f t="shared" ref="E606:E608" si="170">E605+F605/60/24</f>
        <v>43960.541666666672</v>
      </c>
      <c r="F606" s="8">
        <f t="shared" si="165"/>
        <v>120</v>
      </c>
      <c r="G606" s="8" t="s">
        <v>9</v>
      </c>
      <c r="H606" s="8" t="s">
        <v>9</v>
      </c>
      <c r="I606" s="8">
        <f t="shared" si="161"/>
        <v>7</v>
      </c>
    </row>
    <row r="607" spans="1:9" x14ac:dyDescent="0.25">
      <c r="A607" s="7">
        <f t="shared" si="169"/>
        <v>606</v>
      </c>
      <c r="B607" s="8" t="str">
        <f t="shared" si="164"/>
        <v>3</v>
      </c>
      <c r="C607" s="8" t="s">
        <v>50</v>
      </c>
      <c r="D607" s="8"/>
      <c r="E607" s="9">
        <f t="shared" si="170"/>
        <v>43960.625000000007</v>
      </c>
      <c r="F607" s="8">
        <f t="shared" si="165"/>
        <v>120</v>
      </c>
      <c r="G607" s="8" t="s">
        <v>9</v>
      </c>
      <c r="H607" s="8" t="s">
        <v>9</v>
      </c>
      <c r="I607" s="8">
        <f t="shared" si="161"/>
        <v>7</v>
      </c>
    </row>
    <row r="608" spans="1:9" ht="15.75" thickBot="1" x14ac:dyDescent="0.3">
      <c r="A608" s="10">
        <f t="shared" si="169"/>
        <v>607</v>
      </c>
      <c r="B608" s="11" t="str">
        <f t="shared" si="164"/>
        <v>3</v>
      </c>
      <c r="C608" s="8" t="s">
        <v>50</v>
      </c>
      <c r="D608" s="11"/>
      <c r="E608" s="9">
        <f t="shared" si="170"/>
        <v>43960.708333333343</v>
      </c>
      <c r="F608" s="11">
        <f t="shared" si="165"/>
        <v>120</v>
      </c>
      <c r="G608" s="11" t="s">
        <v>9</v>
      </c>
      <c r="H608" s="11" t="s">
        <v>9</v>
      </c>
      <c r="I608" s="11">
        <f t="shared" si="161"/>
        <v>7</v>
      </c>
    </row>
    <row r="609" spans="1:9" x14ac:dyDescent="0.25">
      <c r="A609" s="3">
        <f t="shared" si="169"/>
        <v>608</v>
      </c>
      <c r="B609" s="4" t="str">
        <f t="shared" si="164"/>
        <v>2</v>
      </c>
      <c r="C609" s="4">
        <f t="shared" si="162"/>
        <v>6</v>
      </c>
      <c r="D609" s="4"/>
      <c r="E609" s="5">
        <f>E599</f>
        <v>43960.375</v>
      </c>
      <c r="F609" s="4">
        <f t="shared" si="165"/>
        <v>60</v>
      </c>
      <c r="G609" s="4" t="s">
        <v>10</v>
      </c>
      <c r="H609" s="4" t="s">
        <v>14</v>
      </c>
      <c r="I609" s="4">
        <f t="shared" si="161"/>
        <v>7</v>
      </c>
    </row>
    <row r="610" spans="1:9" x14ac:dyDescent="0.25">
      <c r="A610" s="7">
        <f t="shared" si="169"/>
        <v>609</v>
      </c>
      <c r="B610" s="8" t="str">
        <f t="shared" si="164"/>
        <v>2</v>
      </c>
      <c r="C610" s="8">
        <f t="shared" si="162"/>
        <v>4</v>
      </c>
      <c r="D610" s="8"/>
      <c r="E610" s="9">
        <f>E609+F609/60/24</f>
        <v>43960.416666666664</v>
      </c>
      <c r="F610" s="8">
        <f t="shared" si="165"/>
        <v>105</v>
      </c>
      <c r="G610" s="8" t="s">
        <v>10</v>
      </c>
      <c r="H610" s="8" t="s">
        <v>13</v>
      </c>
      <c r="I610" s="8">
        <f t="shared" si="161"/>
        <v>7</v>
      </c>
    </row>
    <row r="611" spans="1:9" x14ac:dyDescent="0.25">
      <c r="A611" s="7">
        <f t="shared" si="169"/>
        <v>610</v>
      </c>
      <c r="B611" s="8" t="str">
        <f t="shared" si="164"/>
        <v>2</v>
      </c>
      <c r="C611" s="8">
        <f t="shared" si="162"/>
        <v>4</v>
      </c>
      <c r="D611" s="8"/>
      <c r="E611" s="9">
        <f t="shared" ref="E611:E614" si="171">E610+F610/60/24</f>
        <v>43960.489583333328</v>
      </c>
      <c r="F611" s="8">
        <f t="shared" si="165"/>
        <v>105</v>
      </c>
      <c r="G611" s="8" t="s">
        <v>10</v>
      </c>
      <c r="H611" s="8" t="s">
        <v>13</v>
      </c>
      <c r="I611" s="8">
        <f t="shared" si="161"/>
        <v>7</v>
      </c>
    </row>
    <row r="612" spans="1:9" x14ac:dyDescent="0.25">
      <c r="A612" s="7">
        <f t="shared" si="169"/>
        <v>611</v>
      </c>
      <c r="B612" s="8" t="str">
        <f t="shared" si="164"/>
        <v>2</v>
      </c>
      <c r="C612" s="8">
        <f t="shared" si="162"/>
        <v>4</v>
      </c>
      <c r="D612" s="8"/>
      <c r="E612" s="9">
        <f t="shared" si="171"/>
        <v>43960.562499999993</v>
      </c>
      <c r="F612" s="8">
        <f t="shared" si="165"/>
        <v>105</v>
      </c>
      <c r="G612" s="8" t="s">
        <v>10</v>
      </c>
      <c r="H612" s="8" t="s">
        <v>13</v>
      </c>
      <c r="I612" s="8">
        <f t="shared" si="161"/>
        <v>7</v>
      </c>
    </row>
    <row r="613" spans="1:9" x14ac:dyDescent="0.25">
      <c r="A613" s="7">
        <f t="shared" si="169"/>
        <v>612</v>
      </c>
      <c r="B613" s="8" t="str">
        <f t="shared" si="164"/>
        <v>2</v>
      </c>
      <c r="C613" s="8">
        <f t="shared" si="162"/>
        <v>4</v>
      </c>
      <c r="D613" s="8"/>
      <c r="E613" s="9">
        <f t="shared" si="171"/>
        <v>43960.635416666657</v>
      </c>
      <c r="F613" s="8">
        <f t="shared" si="165"/>
        <v>105</v>
      </c>
      <c r="G613" s="8" t="s">
        <v>10</v>
      </c>
      <c r="H613" s="8" t="s">
        <v>13</v>
      </c>
      <c r="I613" s="8">
        <f t="shared" si="161"/>
        <v>7</v>
      </c>
    </row>
    <row r="614" spans="1:9" ht="15.75" thickBot="1" x14ac:dyDescent="0.3">
      <c r="A614" s="10">
        <f t="shared" si="169"/>
        <v>613</v>
      </c>
      <c r="B614" s="11" t="str">
        <f t="shared" si="164"/>
        <v>2</v>
      </c>
      <c r="C614" s="11">
        <f t="shared" si="162"/>
        <v>4</v>
      </c>
      <c r="D614" s="11"/>
      <c r="E614" s="12">
        <f t="shared" si="171"/>
        <v>43960.708333333321</v>
      </c>
      <c r="F614" s="11">
        <f t="shared" si="165"/>
        <v>105</v>
      </c>
      <c r="G614" s="11" t="s">
        <v>10</v>
      </c>
      <c r="H614" s="11" t="s">
        <v>13</v>
      </c>
      <c r="I614" s="11">
        <f t="shared" si="161"/>
        <v>7</v>
      </c>
    </row>
    <row r="615" spans="1:9" x14ac:dyDescent="0.25">
      <c r="A615" s="3">
        <f t="shared" si="169"/>
        <v>614</v>
      </c>
      <c r="B615" s="4" t="str">
        <f t="shared" si="164"/>
        <v>1</v>
      </c>
      <c r="C615" s="4">
        <f t="shared" si="162"/>
        <v>7</v>
      </c>
      <c r="D615" s="4"/>
      <c r="E615" s="5">
        <f>E599</f>
        <v>43960.375</v>
      </c>
      <c r="F615" s="4">
        <f t="shared" si="165"/>
        <v>60</v>
      </c>
      <c r="G615" s="4" t="s">
        <v>16</v>
      </c>
      <c r="H615" s="4" t="s">
        <v>15</v>
      </c>
      <c r="I615" s="4">
        <f>WEEKDAY(E615)</f>
        <v>7</v>
      </c>
    </row>
    <row r="616" spans="1:9" x14ac:dyDescent="0.25">
      <c r="A616" s="7">
        <f t="shared" si="169"/>
        <v>615</v>
      </c>
      <c r="B616" s="8" t="str">
        <f t="shared" si="164"/>
        <v>1</v>
      </c>
      <c r="C616" s="8">
        <f t="shared" si="162"/>
        <v>6</v>
      </c>
      <c r="D616" s="8"/>
      <c r="E616" s="9">
        <f>E615+F615/60/24</f>
        <v>43960.416666666664</v>
      </c>
      <c r="F616" s="8">
        <f t="shared" si="165"/>
        <v>60</v>
      </c>
      <c r="G616" s="8" t="s">
        <v>16</v>
      </c>
      <c r="H616" s="8" t="s">
        <v>14</v>
      </c>
      <c r="I616" s="8">
        <f>WEEKDAY(E616)</f>
        <v>7</v>
      </c>
    </row>
    <row r="617" spans="1:9" x14ac:dyDescent="0.25">
      <c r="A617" s="7">
        <f t="shared" si="169"/>
        <v>616</v>
      </c>
      <c r="B617" s="8" t="str">
        <f t="shared" si="164"/>
        <v>1</v>
      </c>
      <c r="C617" s="8">
        <f t="shared" si="162"/>
        <v>5</v>
      </c>
      <c r="D617" s="8"/>
      <c r="E617" s="9">
        <f t="shared" ref="E617:E621" si="172">E616+F616/60/24</f>
        <v>43960.458333333328</v>
      </c>
      <c r="F617" s="8">
        <f t="shared" si="165"/>
        <v>90</v>
      </c>
      <c r="G617" s="8" t="s">
        <v>16</v>
      </c>
      <c r="H617" s="8" t="s">
        <v>11</v>
      </c>
      <c r="I617" s="8">
        <f>WEEKDAY(E617)</f>
        <v>7</v>
      </c>
    </row>
    <row r="618" spans="1:9" x14ac:dyDescent="0.25">
      <c r="A618" s="7">
        <f t="shared" si="169"/>
        <v>617</v>
      </c>
      <c r="B618" s="8" t="str">
        <f t="shared" si="164"/>
        <v>1</v>
      </c>
      <c r="C618" s="8">
        <f t="shared" si="162"/>
        <v>5</v>
      </c>
      <c r="D618" s="8"/>
      <c r="E618" s="9">
        <f t="shared" si="172"/>
        <v>43960.520833333328</v>
      </c>
      <c r="F618" s="8">
        <f t="shared" si="165"/>
        <v>90</v>
      </c>
      <c r="G618" s="8" t="s">
        <v>16</v>
      </c>
      <c r="H618" s="8" t="s">
        <v>11</v>
      </c>
      <c r="I618" s="8">
        <f>WEEKDAY(E618)</f>
        <v>7</v>
      </c>
    </row>
    <row r="619" spans="1:9" x14ac:dyDescent="0.25">
      <c r="A619" s="7">
        <f t="shared" si="169"/>
        <v>618</v>
      </c>
      <c r="B619" s="8" t="str">
        <f t="shared" si="164"/>
        <v>1</v>
      </c>
      <c r="C619" s="8">
        <f t="shared" si="162"/>
        <v>5</v>
      </c>
      <c r="D619" s="8"/>
      <c r="E619" s="9">
        <f t="shared" si="172"/>
        <v>43960.583333333328</v>
      </c>
      <c r="F619" s="8">
        <f t="shared" si="165"/>
        <v>90</v>
      </c>
      <c r="G619" s="8" t="s">
        <v>16</v>
      </c>
      <c r="H619" s="8" t="s">
        <v>11</v>
      </c>
      <c r="I619" s="8">
        <f t="shared" ref="I619:I621" si="173">WEEKDAY(E619)</f>
        <v>7</v>
      </c>
    </row>
    <row r="620" spans="1:9" x14ac:dyDescent="0.25">
      <c r="A620" s="7">
        <f t="shared" si="169"/>
        <v>619</v>
      </c>
      <c r="B620" s="8" t="str">
        <f t="shared" si="164"/>
        <v>1</v>
      </c>
      <c r="C620" s="8">
        <f t="shared" si="162"/>
        <v>5</v>
      </c>
      <c r="D620" s="8"/>
      <c r="E620" s="9">
        <f t="shared" si="172"/>
        <v>43960.645833333328</v>
      </c>
      <c r="F620" s="8">
        <f t="shared" si="165"/>
        <v>90</v>
      </c>
      <c r="G620" s="8" t="s">
        <v>16</v>
      </c>
      <c r="H620" s="8" t="s">
        <v>11</v>
      </c>
      <c r="I620" s="8">
        <f t="shared" si="173"/>
        <v>7</v>
      </c>
    </row>
    <row r="621" spans="1:9" ht="15.75" thickBot="1" x14ac:dyDescent="0.3">
      <c r="A621" s="10">
        <f t="shared" si="169"/>
        <v>620</v>
      </c>
      <c r="B621" s="11" t="str">
        <f t="shared" si="164"/>
        <v>1</v>
      </c>
      <c r="C621" s="11">
        <f t="shared" si="162"/>
        <v>5</v>
      </c>
      <c r="D621" s="11"/>
      <c r="E621" s="9">
        <f t="shared" si="172"/>
        <v>43960.708333333328</v>
      </c>
      <c r="F621" s="11">
        <f t="shared" si="165"/>
        <v>90</v>
      </c>
      <c r="G621" s="11" t="s">
        <v>16</v>
      </c>
      <c r="H621" s="11" t="s">
        <v>11</v>
      </c>
      <c r="I621" s="11">
        <f t="shared" si="173"/>
        <v>7</v>
      </c>
    </row>
    <row r="622" spans="1:9" x14ac:dyDescent="0.25">
      <c r="A622" s="3">
        <f t="shared" si="169"/>
        <v>621</v>
      </c>
      <c r="B622" s="4" t="str">
        <f t="shared" si="164"/>
        <v>5</v>
      </c>
      <c r="C622" s="4">
        <f t="shared" si="162"/>
        <v>6</v>
      </c>
      <c r="D622" s="4"/>
      <c r="E622" s="5">
        <f>E599</f>
        <v>43960.375</v>
      </c>
      <c r="F622" s="4">
        <f t="shared" si="165"/>
        <v>60</v>
      </c>
      <c r="G622" s="4" t="s">
        <v>17</v>
      </c>
      <c r="H622" s="4" t="s">
        <v>14</v>
      </c>
      <c r="I622" s="4">
        <f>WEEKDAY(E622)</f>
        <v>7</v>
      </c>
    </row>
    <row r="623" spans="1:9" x14ac:dyDescent="0.25">
      <c r="A623" s="7">
        <f t="shared" si="169"/>
        <v>622</v>
      </c>
      <c r="B623" s="8" t="str">
        <f t="shared" si="164"/>
        <v>5</v>
      </c>
      <c r="C623" s="8">
        <f t="shared" si="162"/>
        <v>5</v>
      </c>
      <c r="D623" s="8"/>
      <c r="E623" s="9">
        <f>E622+F622/60/24</f>
        <v>43960.416666666664</v>
      </c>
      <c r="F623" s="8">
        <f t="shared" si="165"/>
        <v>90</v>
      </c>
      <c r="G623" s="8" t="s">
        <v>17</v>
      </c>
      <c r="H623" s="8" t="s">
        <v>11</v>
      </c>
      <c r="I623" s="8">
        <f>WEEKDAY(E623)</f>
        <v>7</v>
      </c>
    </row>
    <row r="624" spans="1:9" x14ac:dyDescent="0.25">
      <c r="A624" s="7">
        <f t="shared" si="169"/>
        <v>623</v>
      </c>
      <c r="B624" s="8" t="str">
        <f t="shared" si="164"/>
        <v>5</v>
      </c>
      <c r="C624" s="8">
        <f t="shared" si="162"/>
        <v>4</v>
      </c>
      <c r="D624" s="8"/>
      <c r="E624" s="9">
        <f t="shared" ref="E624:E627" si="174">E623+F623/60/24</f>
        <v>43960.479166666664</v>
      </c>
      <c r="F624" s="8">
        <f t="shared" si="165"/>
        <v>105</v>
      </c>
      <c r="G624" s="8" t="s">
        <v>17</v>
      </c>
      <c r="H624" s="8" t="s">
        <v>13</v>
      </c>
      <c r="I624" s="8">
        <f>WEEKDAY(E624)</f>
        <v>7</v>
      </c>
    </row>
    <row r="625" spans="1:9" x14ac:dyDescent="0.25">
      <c r="A625" s="7">
        <f t="shared" si="169"/>
        <v>624</v>
      </c>
      <c r="B625" s="8" t="str">
        <f t="shared" si="164"/>
        <v>5</v>
      </c>
      <c r="C625" s="8">
        <f t="shared" si="162"/>
        <v>4</v>
      </c>
      <c r="D625" s="8"/>
      <c r="E625" s="9">
        <f t="shared" si="174"/>
        <v>43960.552083333328</v>
      </c>
      <c r="F625" s="8">
        <f t="shared" si="165"/>
        <v>105</v>
      </c>
      <c r="G625" s="8" t="s">
        <v>17</v>
      </c>
      <c r="H625" s="8" t="s">
        <v>13</v>
      </c>
      <c r="I625" s="8">
        <f>WEEKDAY(E625)</f>
        <v>7</v>
      </c>
    </row>
    <row r="626" spans="1:9" x14ac:dyDescent="0.25">
      <c r="A626" s="7">
        <f t="shared" si="169"/>
        <v>625</v>
      </c>
      <c r="B626" s="8" t="str">
        <f t="shared" si="164"/>
        <v>5</v>
      </c>
      <c r="C626" s="8">
        <f t="shared" si="162"/>
        <v>4</v>
      </c>
      <c r="D626" s="8"/>
      <c r="E626" s="9">
        <f t="shared" si="174"/>
        <v>43960.624999999993</v>
      </c>
      <c r="F626" s="8">
        <f t="shared" si="165"/>
        <v>105</v>
      </c>
      <c r="G626" s="8" t="s">
        <v>17</v>
      </c>
      <c r="H626" s="8" t="s">
        <v>13</v>
      </c>
      <c r="I626" s="8">
        <f t="shared" ref="I626:I627" si="175">WEEKDAY(E626)</f>
        <v>7</v>
      </c>
    </row>
    <row r="627" spans="1:9" ht="15.75" thickBot="1" x14ac:dyDescent="0.3">
      <c r="A627" s="10">
        <f t="shared" si="169"/>
        <v>626</v>
      </c>
      <c r="B627" s="11" t="str">
        <f t="shared" si="164"/>
        <v>5</v>
      </c>
      <c r="C627" s="11">
        <f t="shared" si="162"/>
        <v>4</v>
      </c>
      <c r="D627" s="11"/>
      <c r="E627" s="12">
        <f t="shared" si="174"/>
        <v>43960.697916666657</v>
      </c>
      <c r="F627" s="11">
        <f t="shared" si="165"/>
        <v>105</v>
      </c>
      <c r="G627" s="11" t="s">
        <v>17</v>
      </c>
      <c r="H627" s="11" t="s">
        <v>13</v>
      </c>
      <c r="I627" s="11">
        <f t="shared" si="175"/>
        <v>7</v>
      </c>
    </row>
    <row r="628" spans="1:9" x14ac:dyDescent="0.25">
      <c r="A628" s="3">
        <f t="shared" si="169"/>
        <v>627</v>
      </c>
      <c r="B628" s="4" t="str">
        <f t="shared" si="164"/>
        <v>6</v>
      </c>
      <c r="C628" s="4">
        <f t="shared" si="162"/>
        <v>4</v>
      </c>
      <c r="D628" s="4"/>
      <c r="E628" s="5">
        <f>E599</f>
        <v>43960.375</v>
      </c>
      <c r="F628" s="4">
        <f t="shared" si="165"/>
        <v>105</v>
      </c>
      <c r="G628" s="4" t="s">
        <v>18</v>
      </c>
      <c r="H628" s="4" t="s">
        <v>13</v>
      </c>
      <c r="I628" s="4">
        <f>WEEKDAY(E628)</f>
        <v>7</v>
      </c>
    </row>
    <row r="629" spans="1:9" x14ac:dyDescent="0.25">
      <c r="A629" s="7">
        <f t="shared" si="169"/>
        <v>628</v>
      </c>
      <c r="B629" s="8" t="str">
        <f t="shared" si="164"/>
        <v>6</v>
      </c>
      <c r="C629" s="8" t="s">
        <v>50</v>
      </c>
      <c r="D629" s="8"/>
      <c r="E629" s="9">
        <f>E628+F628/60/24</f>
        <v>43960.447916666664</v>
      </c>
      <c r="F629" s="8">
        <f t="shared" si="165"/>
        <v>105</v>
      </c>
      <c r="G629" s="8" t="s">
        <v>18</v>
      </c>
      <c r="H629" s="8" t="s">
        <v>12</v>
      </c>
      <c r="I629" s="8">
        <f>WEEKDAY(E629)</f>
        <v>7</v>
      </c>
    </row>
    <row r="630" spans="1:9" x14ac:dyDescent="0.25">
      <c r="A630" s="7">
        <f t="shared" si="169"/>
        <v>629</v>
      </c>
      <c r="B630" s="8" t="str">
        <f t="shared" si="164"/>
        <v>6</v>
      </c>
      <c r="C630" s="8" t="s">
        <v>50</v>
      </c>
      <c r="D630" s="8"/>
      <c r="E630" s="9">
        <f t="shared" ref="E630:E632" si="176">E629+F629/60/24</f>
        <v>43960.520833333328</v>
      </c>
      <c r="F630" s="8">
        <f t="shared" si="165"/>
        <v>105</v>
      </c>
      <c r="G630" s="8" t="s">
        <v>18</v>
      </c>
      <c r="H630" s="8" t="s">
        <v>12</v>
      </c>
      <c r="I630" s="8">
        <f>WEEKDAY(E630)</f>
        <v>7</v>
      </c>
    </row>
    <row r="631" spans="1:9" x14ac:dyDescent="0.25">
      <c r="A631" s="7">
        <f t="shared" si="169"/>
        <v>630</v>
      </c>
      <c r="B631" s="8" t="str">
        <f t="shared" si="164"/>
        <v>6</v>
      </c>
      <c r="C631" s="8" t="s">
        <v>50</v>
      </c>
      <c r="D631" s="8"/>
      <c r="E631" s="9">
        <f t="shared" si="176"/>
        <v>43960.593749999993</v>
      </c>
      <c r="F631" s="8">
        <f t="shared" si="165"/>
        <v>105</v>
      </c>
      <c r="G631" s="8" t="s">
        <v>18</v>
      </c>
      <c r="H631" s="8" t="s">
        <v>12</v>
      </c>
      <c r="I631" s="8">
        <f>WEEKDAY(E631)</f>
        <v>7</v>
      </c>
    </row>
    <row r="632" spans="1:9" ht="15.75" thickBot="1" x14ac:dyDescent="0.3">
      <c r="A632" s="10">
        <f t="shared" si="169"/>
        <v>631</v>
      </c>
      <c r="B632" s="11" t="str">
        <f t="shared" si="164"/>
        <v>6</v>
      </c>
      <c r="C632" s="8" t="s">
        <v>50</v>
      </c>
      <c r="D632" s="11"/>
      <c r="E632" s="12">
        <f t="shared" si="176"/>
        <v>43960.666666666657</v>
      </c>
      <c r="F632" s="11">
        <f t="shared" si="165"/>
        <v>105</v>
      </c>
      <c r="G632" s="11" t="s">
        <v>18</v>
      </c>
      <c r="H632" s="11" t="s">
        <v>12</v>
      </c>
      <c r="I632" s="11">
        <f t="shared" ref="I632" si="177">WEEKDAY(E632)</f>
        <v>7</v>
      </c>
    </row>
    <row r="633" spans="1:9" x14ac:dyDescent="0.25">
      <c r="A633" s="3">
        <f t="shared" si="169"/>
        <v>632</v>
      </c>
      <c r="B633" s="4" t="str">
        <f t="shared" si="164"/>
        <v>7</v>
      </c>
      <c r="C633" s="4">
        <f t="shared" si="162"/>
        <v>6</v>
      </c>
      <c r="D633" s="4"/>
      <c r="E633" s="5">
        <f>E599</f>
        <v>43960.375</v>
      </c>
      <c r="F633" s="4">
        <f t="shared" si="165"/>
        <v>60</v>
      </c>
      <c r="G633" s="4" t="s">
        <v>19</v>
      </c>
      <c r="H633" s="4" t="s">
        <v>14</v>
      </c>
      <c r="I633" s="4">
        <f>WEEKDAY(E633)</f>
        <v>7</v>
      </c>
    </row>
    <row r="634" spans="1:9" x14ac:dyDescent="0.25">
      <c r="A634" s="7">
        <f t="shared" si="169"/>
        <v>633</v>
      </c>
      <c r="B634" s="8" t="str">
        <f t="shared" si="164"/>
        <v>7</v>
      </c>
      <c r="C634" s="8">
        <f t="shared" si="162"/>
        <v>3</v>
      </c>
      <c r="D634" s="8"/>
      <c r="E634" s="9">
        <f>E633+F633/60/24</f>
        <v>43960.416666666664</v>
      </c>
      <c r="F634" s="8">
        <f t="shared" si="165"/>
        <v>105</v>
      </c>
      <c r="G634" s="8" t="s">
        <v>19</v>
      </c>
      <c r="H634" s="8" t="s">
        <v>12</v>
      </c>
      <c r="I634" s="8">
        <f>WEEKDAY(E634)</f>
        <v>7</v>
      </c>
    </row>
    <row r="635" spans="1:9" x14ac:dyDescent="0.25">
      <c r="A635" s="7">
        <f t="shared" si="169"/>
        <v>634</v>
      </c>
      <c r="B635" s="8" t="str">
        <f t="shared" si="164"/>
        <v>7</v>
      </c>
      <c r="C635" s="8">
        <f t="shared" ref="C635:C642" si="178">VLOOKUP(H635,league_id,2,FALSE)</f>
        <v>3</v>
      </c>
      <c r="D635" s="8"/>
      <c r="E635" s="9">
        <f t="shared" ref="E635:E637" si="179">E634+F634/60/24</f>
        <v>43960.489583333328</v>
      </c>
      <c r="F635" s="8">
        <f t="shared" si="165"/>
        <v>105</v>
      </c>
      <c r="G635" s="8" t="s">
        <v>19</v>
      </c>
      <c r="H635" s="8" t="s">
        <v>12</v>
      </c>
      <c r="I635" s="8">
        <f>WEEKDAY(E635)</f>
        <v>7</v>
      </c>
    </row>
    <row r="636" spans="1:9" x14ac:dyDescent="0.25">
      <c r="A636" s="7">
        <f t="shared" si="169"/>
        <v>635</v>
      </c>
      <c r="B636" s="8" t="str">
        <f t="shared" si="164"/>
        <v>7</v>
      </c>
      <c r="C636" s="8" t="s">
        <v>50</v>
      </c>
      <c r="D636" s="8"/>
      <c r="E636" s="9">
        <f t="shared" si="179"/>
        <v>43960.562499999993</v>
      </c>
      <c r="F636" s="8">
        <f t="shared" si="165"/>
        <v>120</v>
      </c>
      <c r="G636" s="8" t="s">
        <v>19</v>
      </c>
      <c r="H636" s="8" t="s">
        <v>9</v>
      </c>
      <c r="I636" s="8">
        <f>WEEKDAY(E636)</f>
        <v>7</v>
      </c>
    </row>
    <row r="637" spans="1:9" ht="15.75" thickBot="1" x14ac:dyDescent="0.3">
      <c r="A637" s="10">
        <f t="shared" si="169"/>
        <v>636</v>
      </c>
      <c r="B637" s="11" t="str">
        <f t="shared" si="164"/>
        <v>7</v>
      </c>
      <c r="C637" s="8" t="s">
        <v>50</v>
      </c>
      <c r="D637" s="11"/>
      <c r="E637" s="12">
        <f t="shared" si="179"/>
        <v>43960.645833333328</v>
      </c>
      <c r="F637" s="11">
        <f t="shared" si="165"/>
        <v>120</v>
      </c>
      <c r="G637" s="11" t="s">
        <v>19</v>
      </c>
      <c r="H637" s="11" t="s">
        <v>9</v>
      </c>
      <c r="I637" s="11">
        <f t="shared" ref="I637" si="180">WEEKDAY(E637)</f>
        <v>7</v>
      </c>
    </row>
    <row r="638" spans="1:9" x14ac:dyDescent="0.25">
      <c r="A638" s="3">
        <f t="shared" si="169"/>
        <v>637</v>
      </c>
      <c r="B638" s="4" t="str">
        <f t="shared" si="164"/>
        <v>8</v>
      </c>
      <c r="C638" s="4">
        <f t="shared" si="178"/>
        <v>5</v>
      </c>
      <c r="D638" s="4"/>
      <c r="E638" s="5">
        <f>E599</f>
        <v>43960.375</v>
      </c>
      <c r="F638" s="4">
        <f t="shared" si="165"/>
        <v>90</v>
      </c>
      <c r="G638" s="4" t="s">
        <v>20</v>
      </c>
      <c r="H638" s="4" t="s">
        <v>11</v>
      </c>
      <c r="I638" s="4">
        <f>WEEKDAY(E638)</f>
        <v>7</v>
      </c>
    </row>
    <row r="639" spans="1:9" x14ac:dyDescent="0.25">
      <c r="A639" s="7">
        <f t="shared" si="169"/>
        <v>638</v>
      </c>
      <c r="B639" s="8" t="str">
        <f t="shared" si="164"/>
        <v>8</v>
      </c>
      <c r="C639" s="8">
        <f t="shared" si="178"/>
        <v>5</v>
      </c>
      <c r="D639" s="8"/>
      <c r="E639" s="9">
        <f>E638+F638/60/24</f>
        <v>43960.4375</v>
      </c>
      <c r="F639" s="8">
        <f t="shared" si="165"/>
        <v>90</v>
      </c>
      <c r="G639" s="8" t="s">
        <v>20</v>
      </c>
      <c r="H639" s="8" t="s">
        <v>11</v>
      </c>
      <c r="I639" s="8">
        <f>WEEKDAY(E639)</f>
        <v>7</v>
      </c>
    </row>
    <row r="640" spans="1:9" x14ac:dyDescent="0.25">
      <c r="A640" s="7">
        <f t="shared" si="169"/>
        <v>639</v>
      </c>
      <c r="B640" s="8" t="str">
        <f t="shared" si="164"/>
        <v>8</v>
      </c>
      <c r="C640" s="8">
        <f t="shared" si="178"/>
        <v>3</v>
      </c>
      <c r="D640" s="8"/>
      <c r="E640" s="9">
        <f t="shared" ref="E640:E642" si="181">E639+F639/60/24</f>
        <v>43960.5</v>
      </c>
      <c r="F640" s="8">
        <f t="shared" si="165"/>
        <v>105</v>
      </c>
      <c r="G640" s="8" t="s">
        <v>20</v>
      </c>
      <c r="H640" s="8" t="s">
        <v>12</v>
      </c>
      <c r="I640" s="8">
        <f>WEEKDAY(E640)</f>
        <v>7</v>
      </c>
    </row>
    <row r="641" spans="1:9" x14ac:dyDescent="0.25">
      <c r="A641" s="7">
        <f t="shared" si="169"/>
        <v>640</v>
      </c>
      <c r="B641" s="8" t="str">
        <f t="shared" si="164"/>
        <v>8</v>
      </c>
      <c r="C641" s="8" t="s">
        <v>50</v>
      </c>
      <c r="D641" s="8"/>
      <c r="E641" s="9">
        <f t="shared" si="181"/>
        <v>43960.572916666664</v>
      </c>
      <c r="F641" s="8">
        <f t="shared" si="165"/>
        <v>120</v>
      </c>
      <c r="G641" s="8" t="s">
        <v>20</v>
      </c>
      <c r="H641" s="8" t="s">
        <v>9</v>
      </c>
      <c r="I641" s="8">
        <f>WEEKDAY(E641)</f>
        <v>7</v>
      </c>
    </row>
    <row r="642" spans="1:9" ht="15.75" thickBot="1" x14ac:dyDescent="0.3">
      <c r="A642" s="10">
        <f t="shared" si="169"/>
        <v>641</v>
      </c>
      <c r="B642" s="11" t="str">
        <f t="shared" ref="B642:B698" si="182">VLOOKUP(G642,field_id,2,FALSE)</f>
        <v>8</v>
      </c>
      <c r="C642" s="8" t="s">
        <v>50</v>
      </c>
      <c r="D642" s="11"/>
      <c r="E642" s="12">
        <f t="shared" si="181"/>
        <v>43960.65625</v>
      </c>
      <c r="F642" s="11">
        <f t="shared" ref="F642:F698" si="183">VLOOKUP(H642,GameDuration,2,FALSE)</f>
        <v>120</v>
      </c>
      <c r="G642" s="11" t="s">
        <v>20</v>
      </c>
      <c r="H642" s="11" t="s">
        <v>9</v>
      </c>
      <c r="I642" s="11">
        <f t="shared" ref="I642:I670" si="184">WEEKDAY(E642)</f>
        <v>7</v>
      </c>
    </row>
    <row r="643" spans="1:9" x14ac:dyDescent="0.25">
      <c r="A643" s="3">
        <f>A642+1</f>
        <v>642</v>
      </c>
      <c r="B643" s="4" t="str">
        <f t="shared" si="182"/>
        <v>4</v>
      </c>
      <c r="C643" s="4">
        <f t="shared" ref="C643:C696" si="185">VLOOKUP(H643,league_id,2,FALSE)</f>
        <v>1</v>
      </c>
      <c r="D643" s="4"/>
      <c r="E643" s="5">
        <v>43965.75</v>
      </c>
      <c r="F643" s="4">
        <f t="shared" si="183"/>
        <v>120</v>
      </c>
      <c r="G643" s="4" t="s">
        <v>8</v>
      </c>
      <c r="H643" s="4" t="s">
        <v>8</v>
      </c>
      <c r="I643" s="4">
        <f t="shared" si="184"/>
        <v>5</v>
      </c>
    </row>
    <row r="644" spans="1:9" ht="15.75" thickBot="1" x14ac:dyDescent="0.3">
      <c r="A644" s="7">
        <f>A643+1</f>
        <v>643</v>
      </c>
      <c r="B644" s="8" t="str">
        <f t="shared" si="182"/>
        <v>4</v>
      </c>
      <c r="C644" s="8">
        <f t="shared" si="185"/>
        <v>1</v>
      </c>
      <c r="D644" s="8"/>
      <c r="E644" s="9">
        <f>E643+F643/60/24</f>
        <v>43965.833333333336</v>
      </c>
      <c r="F644" s="8">
        <f t="shared" si="183"/>
        <v>120</v>
      </c>
      <c r="G644" s="8" t="s">
        <v>8</v>
      </c>
      <c r="H644" s="8" t="s">
        <v>8</v>
      </c>
      <c r="I644" s="8">
        <f t="shared" si="184"/>
        <v>5</v>
      </c>
    </row>
    <row r="645" spans="1:9" x14ac:dyDescent="0.25">
      <c r="A645" s="3">
        <f>A644+1</f>
        <v>644</v>
      </c>
      <c r="B645" s="4" t="str">
        <f t="shared" si="182"/>
        <v>3</v>
      </c>
      <c r="C645" s="4">
        <f t="shared" si="185"/>
        <v>2</v>
      </c>
      <c r="D645" s="4"/>
      <c r="E645" s="5">
        <f>E643</f>
        <v>43965.75</v>
      </c>
      <c r="F645" s="4">
        <f t="shared" si="183"/>
        <v>120</v>
      </c>
      <c r="G645" s="4" t="s">
        <v>9</v>
      </c>
      <c r="H645" s="4" t="s">
        <v>9</v>
      </c>
      <c r="I645" s="4">
        <f t="shared" si="184"/>
        <v>5</v>
      </c>
    </row>
    <row r="646" spans="1:9" ht="15.75" thickBot="1" x14ac:dyDescent="0.3">
      <c r="A646" s="7">
        <f t="shared" ref="A646:A654" si="186">A645+1</f>
        <v>645</v>
      </c>
      <c r="B646" s="8" t="str">
        <f t="shared" si="182"/>
        <v>3</v>
      </c>
      <c r="C646" s="8">
        <f t="shared" si="185"/>
        <v>2</v>
      </c>
      <c r="D646" s="8"/>
      <c r="E646" s="9">
        <f>E645+F645/60/24</f>
        <v>43965.833333333336</v>
      </c>
      <c r="F646" s="8">
        <f t="shared" si="183"/>
        <v>120</v>
      </c>
      <c r="G646" s="8" t="s">
        <v>9</v>
      </c>
      <c r="H646" s="8" t="s">
        <v>9</v>
      </c>
      <c r="I646" s="8">
        <f t="shared" si="184"/>
        <v>5</v>
      </c>
    </row>
    <row r="647" spans="1:9" x14ac:dyDescent="0.25">
      <c r="A647" s="3">
        <f>A646+1</f>
        <v>646</v>
      </c>
      <c r="B647" s="4" t="str">
        <f t="shared" si="182"/>
        <v>2</v>
      </c>
      <c r="C647" s="4">
        <f t="shared" si="185"/>
        <v>4</v>
      </c>
      <c r="D647" s="4"/>
      <c r="E647" s="5">
        <f>E643</f>
        <v>43965.75</v>
      </c>
      <c r="F647" s="4">
        <f t="shared" si="183"/>
        <v>105</v>
      </c>
      <c r="G647" s="4" t="s">
        <v>10</v>
      </c>
      <c r="H647" s="4" t="s">
        <v>13</v>
      </c>
      <c r="I647" s="4">
        <f t="shared" si="184"/>
        <v>5</v>
      </c>
    </row>
    <row r="648" spans="1:9" ht="15.75" thickBot="1" x14ac:dyDescent="0.3">
      <c r="A648" s="7">
        <f t="shared" si="186"/>
        <v>647</v>
      </c>
      <c r="B648" s="8" t="str">
        <f t="shared" si="182"/>
        <v>2</v>
      </c>
      <c r="C648" s="8">
        <f t="shared" si="185"/>
        <v>4</v>
      </c>
      <c r="D648" s="8"/>
      <c r="E648" s="9">
        <f>E647+F647/60/24</f>
        <v>43965.822916666664</v>
      </c>
      <c r="F648" s="8">
        <f t="shared" si="183"/>
        <v>105</v>
      </c>
      <c r="G648" s="8" t="s">
        <v>10</v>
      </c>
      <c r="H648" s="8" t="s">
        <v>13</v>
      </c>
      <c r="I648" s="8">
        <f t="shared" si="184"/>
        <v>5</v>
      </c>
    </row>
    <row r="649" spans="1:9" x14ac:dyDescent="0.25">
      <c r="A649" s="3">
        <f>A648+1</f>
        <v>648</v>
      </c>
      <c r="B649" s="4" t="str">
        <f t="shared" si="182"/>
        <v>1</v>
      </c>
      <c r="C649" s="4">
        <f t="shared" si="185"/>
        <v>5</v>
      </c>
      <c r="D649" s="4"/>
      <c r="E649" s="5">
        <f>E643</f>
        <v>43965.75</v>
      </c>
      <c r="F649" s="4">
        <f t="shared" si="183"/>
        <v>90</v>
      </c>
      <c r="G649" s="4" t="s">
        <v>16</v>
      </c>
      <c r="H649" s="4" t="s">
        <v>11</v>
      </c>
      <c r="I649" s="4">
        <f t="shared" si="184"/>
        <v>5</v>
      </c>
    </row>
    <row r="650" spans="1:9" ht="15.75" thickBot="1" x14ac:dyDescent="0.3">
      <c r="A650" s="7">
        <f t="shared" si="186"/>
        <v>649</v>
      </c>
      <c r="B650" s="8" t="str">
        <f t="shared" si="182"/>
        <v>1</v>
      </c>
      <c r="C650" s="8">
        <f t="shared" si="185"/>
        <v>5</v>
      </c>
      <c r="D650" s="8"/>
      <c r="E650" s="9">
        <f>E649+F649/60/24</f>
        <v>43965.8125</v>
      </c>
      <c r="F650" s="8">
        <f t="shared" si="183"/>
        <v>90</v>
      </c>
      <c r="G650" s="8" t="s">
        <v>16</v>
      </c>
      <c r="H650" s="8" t="s">
        <v>11</v>
      </c>
      <c r="I650" s="8">
        <f t="shared" si="184"/>
        <v>5</v>
      </c>
    </row>
    <row r="651" spans="1:9" x14ac:dyDescent="0.25">
      <c r="A651" s="3">
        <f>A650+1</f>
        <v>650</v>
      </c>
      <c r="B651" s="4" t="str">
        <f t="shared" si="182"/>
        <v>5</v>
      </c>
      <c r="C651" s="4">
        <f t="shared" si="185"/>
        <v>5</v>
      </c>
      <c r="D651" s="4"/>
      <c r="E651" s="5">
        <f>E643</f>
        <v>43965.75</v>
      </c>
      <c r="F651" s="4">
        <f t="shared" si="183"/>
        <v>90</v>
      </c>
      <c r="G651" s="4" t="s">
        <v>17</v>
      </c>
      <c r="H651" s="4" t="s">
        <v>11</v>
      </c>
      <c r="I651" s="4">
        <f t="shared" si="184"/>
        <v>5</v>
      </c>
    </row>
    <row r="652" spans="1:9" ht="15.75" thickBot="1" x14ac:dyDescent="0.3">
      <c r="A652" s="7">
        <f t="shared" si="186"/>
        <v>651</v>
      </c>
      <c r="B652" s="8" t="str">
        <f t="shared" si="182"/>
        <v>5</v>
      </c>
      <c r="C652" s="8">
        <f t="shared" si="185"/>
        <v>4</v>
      </c>
      <c r="D652" s="8"/>
      <c r="E652" s="9">
        <f>E651+F651/60/24</f>
        <v>43965.8125</v>
      </c>
      <c r="F652" s="8">
        <f t="shared" si="183"/>
        <v>105</v>
      </c>
      <c r="G652" s="8" t="s">
        <v>17</v>
      </c>
      <c r="H652" s="8" t="s">
        <v>13</v>
      </c>
      <c r="I652" s="8">
        <f t="shared" si="184"/>
        <v>5</v>
      </c>
    </row>
    <row r="653" spans="1:9" x14ac:dyDescent="0.25">
      <c r="A653" s="3">
        <f>A652+1</f>
        <v>652</v>
      </c>
      <c r="B653" s="4" t="str">
        <f t="shared" si="182"/>
        <v>6</v>
      </c>
      <c r="C653" s="4">
        <f t="shared" si="185"/>
        <v>3</v>
      </c>
      <c r="D653" s="4"/>
      <c r="E653" s="5">
        <f>E643</f>
        <v>43965.75</v>
      </c>
      <c r="F653" s="4">
        <f t="shared" si="183"/>
        <v>105</v>
      </c>
      <c r="G653" s="4" t="s">
        <v>18</v>
      </c>
      <c r="H653" s="4" t="s">
        <v>12</v>
      </c>
      <c r="I653" s="4">
        <f t="shared" si="184"/>
        <v>5</v>
      </c>
    </row>
    <row r="654" spans="1:9" ht="15.75" thickBot="1" x14ac:dyDescent="0.3">
      <c r="A654" s="10">
        <f t="shared" si="186"/>
        <v>653</v>
      </c>
      <c r="B654" s="11" t="str">
        <f t="shared" si="182"/>
        <v>6</v>
      </c>
      <c r="C654" s="11">
        <f t="shared" si="185"/>
        <v>3</v>
      </c>
      <c r="D654" s="11"/>
      <c r="E654" s="12">
        <f>E653+F653/60/24</f>
        <v>43965.822916666664</v>
      </c>
      <c r="F654" s="11">
        <f t="shared" si="183"/>
        <v>105</v>
      </c>
      <c r="G654" s="11" t="s">
        <v>18</v>
      </c>
      <c r="H654" s="11" t="s">
        <v>12</v>
      </c>
      <c r="I654" s="11">
        <f t="shared" si="184"/>
        <v>5</v>
      </c>
    </row>
    <row r="655" spans="1:9" x14ac:dyDescent="0.25">
      <c r="A655" s="3">
        <f>A654+1</f>
        <v>654</v>
      </c>
      <c r="B655" s="4" t="str">
        <f t="shared" si="182"/>
        <v>4</v>
      </c>
      <c r="C655" s="4">
        <f t="shared" si="185"/>
        <v>1</v>
      </c>
      <c r="D655" s="4"/>
      <c r="E655" s="5">
        <v>43967.375</v>
      </c>
      <c r="F655" s="4">
        <f t="shared" si="183"/>
        <v>120</v>
      </c>
      <c r="G655" s="4" t="s">
        <v>8</v>
      </c>
      <c r="H655" s="4" t="s">
        <v>8</v>
      </c>
      <c r="I655" s="4">
        <f t="shared" si="184"/>
        <v>7</v>
      </c>
    </row>
    <row r="656" spans="1:9" x14ac:dyDescent="0.25">
      <c r="A656" s="7">
        <f>A655+1</f>
        <v>655</v>
      </c>
      <c r="B656" s="8" t="str">
        <f t="shared" si="182"/>
        <v>4</v>
      </c>
      <c r="C656" s="8">
        <f t="shared" si="185"/>
        <v>1</v>
      </c>
      <c r="D656" s="8"/>
      <c r="E656" s="9">
        <f>E655+F655/60/24</f>
        <v>43967.458333333336</v>
      </c>
      <c r="F656" s="8">
        <f t="shared" si="183"/>
        <v>120</v>
      </c>
      <c r="G656" s="8" t="s">
        <v>8</v>
      </c>
      <c r="H656" s="8" t="s">
        <v>8</v>
      </c>
      <c r="I656" s="8">
        <f t="shared" si="184"/>
        <v>7</v>
      </c>
    </row>
    <row r="657" spans="1:9" x14ac:dyDescent="0.25">
      <c r="A657" s="7">
        <f t="shared" ref="A657:A698" si="187">A656+1</f>
        <v>656</v>
      </c>
      <c r="B657" s="8" t="str">
        <f t="shared" si="182"/>
        <v>4</v>
      </c>
      <c r="C657" s="8">
        <f t="shared" si="185"/>
        <v>1</v>
      </c>
      <c r="D657" s="8"/>
      <c r="E657" s="9">
        <f>E656+F656/60/24</f>
        <v>43967.541666666672</v>
      </c>
      <c r="F657" s="8">
        <f t="shared" si="183"/>
        <v>120</v>
      </c>
      <c r="G657" s="8" t="s">
        <v>8</v>
      </c>
      <c r="H657" s="8" t="s">
        <v>8</v>
      </c>
      <c r="I657" s="8">
        <f t="shared" si="184"/>
        <v>7</v>
      </c>
    </row>
    <row r="658" spans="1:9" x14ac:dyDescent="0.25">
      <c r="A658" s="7">
        <f t="shared" si="187"/>
        <v>657</v>
      </c>
      <c r="B658" s="8" t="str">
        <f t="shared" si="182"/>
        <v>4</v>
      </c>
      <c r="C658" s="8">
        <f t="shared" si="185"/>
        <v>1</v>
      </c>
      <c r="D658" s="8"/>
      <c r="E658" s="9">
        <f>E657+F657/60/24</f>
        <v>43967.625000000007</v>
      </c>
      <c r="F658" s="8">
        <f t="shared" si="183"/>
        <v>120</v>
      </c>
      <c r="G658" s="8" t="s">
        <v>8</v>
      </c>
      <c r="H658" s="8" t="s">
        <v>8</v>
      </c>
      <c r="I658" s="8">
        <f t="shared" si="184"/>
        <v>7</v>
      </c>
    </row>
    <row r="659" spans="1:9" ht="15.75" thickBot="1" x14ac:dyDescent="0.3">
      <c r="A659" s="10">
        <f t="shared" si="187"/>
        <v>658</v>
      </c>
      <c r="B659" s="11" t="str">
        <f t="shared" si="182"/>
        <v>4</v>
      </c>
      <c r="C659" s="11">
        <f t="shared" si="185"/>
        <v>1</v>
      </c>
      <c r="D659" s="11"/>
      <c r="E659" s="12">
        <f>E658+F658/60/24</f>
        <v>43967.708333333343</v>
      </c>
      <c r="F659" s="11">
        <f t="shared" si="183"/>
        <v>120</v>
      </c>
      <c r="G659" s="11" t="s">
        <v>8</v>
      </c>
      <c r="H659" s="11" t="s">
        <v>8</v>
      </c>
      <c r="I659" s="11">
        <f t="shared" si="184"/>
        <v>7</v>
      </c>
    </row>
    <row r="660" spans="1:9" x14ac:dyDescent="0.25">
      <c r="A660" s="3">
        <f t="shared" si="187"/>
        <v>659</v>
      </c>
      <c r="B660" s="4" t="str">
        <f t="shared" si="182"/>
        <v>3</v>
      </c>
      <c r="C660" s="8" t="s">
        <v>50</v>
      </c>
      <c r="D660" s="4"/>
      <c r="E660" s="5">
        <f>E655</f>
        <v>43967.375</v>
      </c>
      <c r="F660" s="4">
        <f t="shared" si="183"/>
        <v>120</v>
      </c>
      <c r="G660" s="4" t="s">
        <v>9</v>
      </c>
      <c r="H660" s="4" t="s">
        <v>9</v>
      </c>
      <c r="I660" s="4">
        <f t="shared" si="184"/>
        <v>7</v>
      </c>
    </row>
    <row r="661" spans="1:9" x14ac:dyDescent="0.25">
      <c r="A661" s="7">
        <f t="shared" si="187"/>
        <v>660</v>
      </c>
      <c r="B661" s="8" t="str">
        <f t="shared" si="182"/>
        <v>3</v>
      </c>
      <c r="C661" s="8" t="s">
        <v>50</v>
      </c>
      <c r="D661" s="8"/>
      <c r="E661" s="9">
        <f>E660+F660/60/24</f>
        <v>43967.458333333336</v>
      </c>
      <c r="F661" s="8">
        <f t="shared" si="183"/>
        <v>120</v>
      </c>
      <c r="G661" s="8" t="s">
        <v>9</v>
      </c>
      <c r="H661" s="8" t="s">
        <v>9</v>
      </c>
      <c r="I661" s="8">
        <f t="shared" si="184"/>
        <v>7</v>
      </c>
    </row>
    <row r="662" spans="1:9" x14ac:dyDescent="0.25">
      <c r="A662" s="7">
        <f t="shared" si="187"/>
        <v>661</v>
      </c>
      <c r="B662" s="8" t="str">
        <f t="shared" si="182"/>
        <v>3</v>
      </c>
      <c r="C662" s="8" t="s">
        <v>50</v>
      </c>
      <c r="D662" s="8"/>
      <c r="E662" s="9">
        <f t="shared" ref="E662:E664" si="188">E661+F661/60/24</f>
        <v>43967.541666666672</v>
      </c>
      <c r="F662" s="8">
        <f t="shared" si="183"/>
        <v>120</v>
      </c>
      <c r="G662" s="8" t="s">
        <v>9</v>
      </c>
      <c r="H662" s="8" t="s">
        <v>9</v>
      </c>
      <c r="I662" s="8">
        <f t="shared" si="184"/>
        <v>7</v>
      </c>
    </row>
    <row r="663" spans="1:9" x14ac:dyDescent="0.25">
      <c r="A663" s="7">
        <f t="shared" si="187"/>
        <v>662</v>
      </c>
      <c r="B663" s="8" t="str">
        <f t="shared" si="182"/>
        <v>3</v>
      </c>
      <c r="C663" s="8" t="s">
        <v>50</v>
      </c>
      <c r="D663" s="8"/>
      <c r="E663" s="9">
        <f t="shared" si="188"/>
        <v>43967.625000000007</v>
      </c>
      <c r="F663" s="8">
        <f t="shared" si="183"/>
        <v>120</v>
      </c>
      <c r="G663" s="8" t="s">
        <v>9</v>
      </c>
      <c r="H663" s="8" t="s">
        <v>9</v>
      </c>
      <c r="I663" s="8">
        <f t="shared" si="184"/>
        <v>7</v>
      </c>
    </row>
    <row r="664" spans="1:9" ht="15.75" thickBot="1" x14ac:dyDescent="0.3">
      <c r="A664" s="10">
        <f t="shared" si="187"/>
        <v>663</v>
      </c>
      <c r="B664" s="11" t="str">
        <f t="shared" si="182"/>
        <v>3</v>
      </c>
      <c r="C664" s="8" t="s">
        <v>50</v>
      </c>
      <c r="D664" s="11"/>
      <c r="E664" s="9">
        <f t="shared" si="188"/>
        <v>43967.708333333343</v>
      </c>
      <c r="F664" s="11">
        <f t="shared" si="183"/>
        <v>120</v>
      </c>
      <c r="G664" s="11" t="s">
        <v>9</v>
      </c>
      <c r="H664" s="11" t="s">
        <v>9</v>
      </c>
      <c r="I664" s="11">
        <f t="shared" si="184"/>
        <v>7</v>
      </c>
    </row>
    <row r="665" spans="1:9" x14ac:dyDescent="0.25">
      <c r="A665" s="3">
        <f t="shared" si="187"/>
        <v>664</v>
      </c>
      <c r="B665" s="4" t="str">
        <f t="shared" si="182"/>
        <v>2</v>
      </c>
      <c r="C665" s="4">
        <f t="shared" si="185"/>
        <v>6</v>
      </c>
      <c r="D665" s="4"/>
      <c r="E665" s="5">
        <f>E655</f>
        <v>43967.375</v>
      </c>
      <c r="F665" s="4">
        <f t="shared" si="183"/>
        <v>60</v>
      </c>
      <c r="G665" s="4" t="s">
        <v>10</v>
      </c>
      <c r="H665" s="4" t="s">
        <v>14</v>
      </c>
      <c r="I665" s="4">
        <f t="shared" si="184"/>
        <v>7</v>
      </c>
    </row>
    <row r="666" spans="1:9" x14ac:dyDescent="0.25">
      <c r="A666" s="7">
        <f t="shared" si="187"/>
        <v>665</v>
      </c>
      <c r="B666" s="8" t="str">
        <f t="shared" si="182"/>
        <v>2</v>
      </c>
      <c r="C666" s="8">
        <f t="shared" si="185"/>
        <v>4</v>
      </c>
      <c r="D666" s="8"/>
      <c r="E666" s="9">
        <f>E665+F665/60/24</f>
        <v>43967.416666666664</v>
      </c>
      <c r="F666" s="8">
        <f t="shared" si="183"/>
        <v>105</v>
      </c>
      <c r="G666" s="8" t="s">
        <v>10</v>
      </c>
      <c r="H666" s="8" t="s">
        <v>13</v>
      </c>
      <c r="I666" s="8">
        <f t="shared" si="184"/>
        <v>7</v>
      </c>
    </row>
    <row r="667" spans="1:9" x14ac:dyDescent="0.25">
      <c r="A667" s="7">
        <f t="shared" si="187"/>
        <v>666</v>
      </c>
      <c r="B667" s="8" t="str">
        <f t="shared" si="182"/>
        <v>2</v>
      </c>
      <c r="C667" s="8">
        <f t="shared" si="185"/>
        <v>4</v>
      </c>
      <c r="D667" s="8"/>
      <c r="E667" s="9">
        <f t="shared" ref="E667:E670" si="189">E666+F666/60/24</f>
        <v>43967.489583333328</v>
      </c>
      <c r="F667" s="8">
        <f t="shared" si="183"/>
        <v>105</v>
      </c>
      <c r="G667" s="8" t="s">
        <v>10</v>
      </c>
      <c r="H667" s="8" t="s">
        <v>13</v>
      </c>
      <c r="I667" s="8">
        <f t="shared" si="184"/>
        <v>7</v>
      </c>
    </row>
    <row r="668" spans="1:9" x14ac:dyDescent="0.25">
      <c r="A668" s="7">
        <f t="shared" si="187"/>
        <v>667</v>
      </c>
      <c r="B668" s="8" t="str">
        <f t="shared" si="182"/>
        <v>2</v>
      </c>
      <c r="C668" s="8">
        <f t="shared" si="185"/>
        <v>4</v>
      </c>
      <c r="D668" s="8"/>
      <c r="E668" s="9">
        <f t="shared" si="189"/>
        <v>43967.562499999993</v>
      </c>
      <c r="F668" s="8">
        <f t="shared" si="183"/>
        <v>105</v>
      </c>
      <c r="G668" s="8" t="s">
        <v>10</v>
      </c>
      <c r="H668" s="8" t="s">
        <v>13</v>
      </c>
      <c r="I668" s="8">
        <f t="shared" si="184"/>
        <v>7</v>
      </c>
    </row>
    <row r="669" spans="1:9" x14ac:dyDescent="0.25">
      <c r="A669" s="7">
        <f t="shared" si="187"/>
        <v>668</v>
      </c>
      <c r="B669" s="8" t="str">
        <f t="shared" si="182"/>
        <v>2</v>
      </c>
      <c r="C669" s="8">
        <f t="shared" si="185"/>
        <v>4</v>
      </c>
      <c r="D669" s="8"/>
      <c r="E669" s="9">
        <f t="shared" si="189"/>
        <v>43967.635416666657</v>
      </c>
      <c r="F669" s="8">
        <f t="shared" si="183"/>
        <v>105</v>
      </c>
      <c r="G669" s="8" t="s">
        <v>10</v>
      </c>
      <c r="H669" s="8" t="s">
        <v>13</v>
      </c>
      <c r="I669" s="8">
        <f t="shared" si="184"/>
        <v>7</v>
      </c>
    </row>
    <row r="670" spans="1:9" ht="15.75" thickBot="1" x14ac:dyDescent="0.3">
      <c r="A670" s="10">
        <f t="shared" si="187"/>
        <v>669</v>
      </c>
      <c r="B670" s="11" t="str">
        <f t="shared" si="182"/>
        <v>2</v>
      </c>
      <c r="C670" s="11">
        <f t="shared" si="185"/>
        <v>4</v>
      </c>
      <c r="D670" s="11"/>
      <c r="E670" s="12">
        <f t="shared" si="189"/>
        <v>43967.708333333321</v>
      </c>
      <c r="F670" s="11">
        <f t="shared" si="183"/>
        <v>105</v>
      </c>
      <c r="G670" s="11" t="s">
        <v>10</v>
      </c>
      <c r="H670" s="11" t="s">
        <v>13</v>
      </c>
      <c r="I670" s="11">
        <f t="shared" si="184"/>
        <v>7</v>
      </c>
    </row>
    <row r="671" spans="1:9" x14ac:dyDescent="0.25">
      <c r="A671" s="3">
        <f t="shared" si="187"/>
        <v>670</v>
      </c>
      <c r="B671" s="4" t="str">
        <f t="shared" si="182"/>
        <v>1</v>
      </c>
      <c r="C671" s="4">
        <f t="shared" si="185"/>
        <v>7</v>
      </c>
      <c r="D671" s="4"/>
      <c r="E671" s="5">
        <f>E655</f>
        <v>43967.375</v>
      </c>
      <c r="F671" s="4">
        <f t="shared" si="183"/>
        <v>60</v>
      </c>
      <c r="G671" s="4" t="s">
        <v>16</v>
      </c>
      <c r="H671" s="4" t="s">
        <v>15</v>
      </c>
      <c r="I671" s="4">
        <f>WEEKDAY(E671)</f>
        <v>7</v>
      </c>
    </row>
    <row r="672" spans="1:9" x14ac:dyDescent="0.25">
      <c r="A672" s="7">
        <f t="shared" si="187"/>
        <v>671</v>
      </c>
      <c r="B672" s="8" t="str">
        <f t="shared" si="182"/>
        <v>1</v>
      </c>
      <c r="C672" s="8">
        <f t="shared" si="185"/>
        <v>6</v>
      </c>
      <c r="D672" s="8"/>
      <c r="E672" s="9">
        <f>E671+F671/60/24</f>
        <v>43967.416666666664</v>
      </c>
      <c r="F672" s="8">
        <f t="shared" si="183"/>
        <v>60</v>
      </c>
      <c r="G672" s="8" t="s">
        <v>16</v>
      </c>
      <c r="H672" s="8" t="s">
        <v>14</v>
      </c>
      <c r="I672" s="8">
        <f>WEEKDAY(E672)</f>
        <v>7</v>
      </c>
    </row>
    <row r="673" spans="1:9" x14ac:dyDescent="0.25">
      <c r="A673" s="7">
        <f t="shared" si="187"/>
        <v>672</v>
      </c>
      <c r="B673" s="8" t="str">
        <f t="shared" si="182"/>
        <v>1</v>
      </c>
      <c r="C673" s="8">
        <f t="shared" si="185"/>
        <v>5</v>
      </c>
      <c r="D673" s="8"/>
      <c r="E673" s="9">
        <f t="shared" ref="E673:E677" si="190">E672+F672/60/24</f>
        <v>43967.458333333328</v>
      </c>
      <c r="F673" s="8">
        <f t="shared" si="183"/>
        <v>90</v>
      </c>
      <c r="G673" s="8" t="s">
        <v>16</v>
      </c>
      <c r="H673" s="8" t="s">
        <v>11</v>
      </c>
      <c r="I673" s="8">
        <f>WEEKDAY(E673)</f>
        <v>7</v>
      </c>
    </row>
    <row r="674" spans="1:9" x14ac:dyDescent="0.25">
      <c r="A674" s="7">
        <f t="shared" si="187"/>
        <v>673</v>
      </c>
      <c r="B674" s="8" t="str">
        <f t="shared" si="182"/>
        <v>1</v>
      </c>
      <c r="C674" s="8">
        <f t="shared" si="185"/>
        <v>5</v>
      </c>
      <c r="D674" s="8"/>
      <c r="E674" s="9">
        <f t="shared" si="190"/>
        <v>43967.520833333328</v>
      </c>
      <c r="F674" s="8">
        <f t="shared" si="183"/>
        <v>90</v>
      </c>
      <c r="G674" s="8" t="s">
        <v>16</v>
      </c>
      <c r="H674" s="8" t="s">
        <v>11</v>
      </c>
      <c r="I674" s="8">
        <f>WEEKDAY(E674)</f>
        <v>7</v>
      </c>
    </row>
    <row r="675" spans="1:9" x14ac:dyDescent="0.25">
      <c r="A675" s="7">
        <f t="shared" si="187"/>
        <v>674</v>
      </c>
      <c r="B675" s="8" t="str">
        <f t="shared" si="182"/>
        <v>1</v>
      </c>
      <c r="C675" s="8">
        <f t="shared" si="185"/>
        <v>5</v>
      </c>
      <c r="D675" s="8"/>
      <c r="E675" s="9">
        <f t="shared" si="190"/>
        <v>43967.583333333328</v>
      </c>
      <c r="F675" s="8">
        <f t="shared" si="183"/>
        <v>90</v>
      </c>
      <c r="G675" s="8" t="s">
        <v>16</v>
      </c>
      <c r="H675" s="8" t="s">
        <v>11</v>
      </c>
      <c r="I675" s="8">
        <f t="shared" ref="I675:I677" si="191">WEEKDAY(E675)</f>
        <v>7</v>
      </c>
    </row>
    <row r="676" spans="1:9" x14ac:dyDescent="0.25">
      <c r="A676" s="7">
        <f t="shared" si="187"/>
        <v>675</v>
      </c>
      <c r="B676" s="8" t="str">
        <f t="shared" si="182"/>
        <v>1</v>
      </c>
      <c r="C676" s="8">
        <f t="shared" si="185"/>
        <v>5</v>
      </c>
      <c r="D676" s="8"/>
      <c r="E676" s="9">
        <f t="shared" si="190"/>
        <v>43967.645833333328</v>
      </c>
      <c r="F676" s="8">
        <f t="shared" si="183"/>
        <v>90</v>
      </c>
      <c r="G676" s="8" t="s">
        <v>16</v>
      </c>
      <c r="H676" s="8" t="s">
        <v>11</v>
      </c>
      <c r="I676" s="8">
        <f t="shared" si="191"/>
        <v>7</v>
      </c>
    </row>
    <row r="677" spans="1:9" ht="15.75" thickBot="1" x14ac:dyDescent="0.3">
      <c r="A677" s="10">
        <f t="shared" si="187"/>
        <v>676</v>
      </c>
      <c r="B677" s="11" t="str">
        <f t="shared" si="182"/>
        <v>1</v>
      </c>
      <c r="C677" s="11">
        <f t="shared" si="185"/>
        <v>5</v>
      </c>
      <c r="D677" s="11"/>
      <c r="E677" s="9">
        <f t="shared" si="190"/>
        <v>43967.708333333328</v>
      </c>
      <c r="F677" s="11">
        <f t="shared" si="183"/>
        <v>90</v>
      </c>
      <c r="G677" s="11" t="s">
        <v>16</v>
      </c>
      <c r="H677" s="11" t="s">
        <v>11</v>
      </c>
      <c r="I677" s="11">
        <f t="shared" si="191"/>
        <v>7</v>
      </c>
    </row>
    <row r="678" spans="1:9" x14ac:dyDescent="0.25">
      <c r="A678" s="3">
        <f t="shared" si="187"/>
        <v>677</v>
      </c>
      <c r="B678" s="4" t="str">
        <f t="shared" si="182"/>
        <v>5</v>
      </c>
      <c r="C678" s="4">
        <f t="shared" si="185"/>
        <v>6</v>
      </c>
      <c r="D678" s="4"/>
      <c r="E678" s="5">
        <f>E655</f>
        <v>43967.375</v>
      </c>
      <c r="F678" s="4">
        <f t="shared" si="183"/>
        <v>60</v>
      </c>
      <c r="G678" s="4" t="s">
        <v>17</v>
      </c>
      <c r="H678" s="4" t="s">
        <v>14</v>
      </c>
      <c r="I678" s="4">
        <f>WEEKDAY(E678)</f>
        <v>7</v>
      </c>
    </row>
    <row r="679" spans="1:9" x14ac:dyDescent="0.25">
      <c r="A679" s="7">
        <f t="shared" si="187"/>
        <v>678</v>
      </c>
      <c r="B679" s="8" t="str">
        <f t="shared" si="182"/>
        <v>5</v>
      </c>
      <c r="C679" s="8">
        <f t="shared" si="185"/>
        <v>5</v>
      </c>
      <c r="D679" s="8"/>
      <c r="E679" s="9">
        <f>E678+F678/60/24</f>
        <v>43967.416666666664</v>
      </c>
      <c r="F679" s="8">
        <f t="shared" si="183"/>
        <v>90</v>
      </c>
      <c r="G679" s="8" t="s">
        <v>17</v>
      </c>
      <c r="H679" s="8" t="s">
        <v>11</v>
      </c>
      <c r="I679" s="8">
        <f>WEEKDAY(E679)</f>
        <v>7</v>
      </c>
    </row>
    <row r="680" spans="1:9" x14ac:dyDescent="0.25">
      <c r="A680" s="7">
        <f t="shared" si="187"/>
        <v>679</v>
      </c>
      <c r="B680" s="8" t="str">
        <f t="shared" si="182"/>
        <v>5</v>
      </c>
      <c r="C680" s="8">
        <f t="shared" si="185"/>
        <v>4</v>
      </c>
      <c r="D680" s="8"/>
      <c r="E680" s="9">
        <f t="shared" ref="E680:E683" si="192">E679+F679/60/24</f>
        <v>43967.479166666664</v>
      </c>
      <c r="F680" s="8">
        <f t="shared" si="183"/>
        <v>105</v>
      </c>
      <c r="G680" s="8" t="s">
        <v>17</v>
      </c>
      <c r="H680" s="8" t="s">
        <v>13</v>
      </c>
      <c r="I680" s="8">
        <f>WEEKDAY(E680)</f>
        <v>7</v>
      </c>
    </row>
    <row r="681" spans="1:9" x14ac:dyDescent="0.25">
      <c r="A681" s="7">
        <f t="shared" si="187"/>
        <v>680</v>
      </c>
      <c r="B681" s="8" t="str">
        <f t="shared" si="182"/>
        <v>5</v>
      </c>
      <c r="C681" s="8">
        <f t="shared" si="185"/>
        <v>4</v>
      </c>
      <c r="D681" s="8"/>
      <c r="E681" s="9">
        <f t="shared" si="192"/>
        <v>43967.552083333328</v>
      </c>
      <c r="F681" s="8">
        <f t="shared" si="183"/>
        <v>105</v>
      </c>
      <c r="G681" s="8" t="s">
        <v>17</v>
      </c>
      <c r="H681" s="8" t="s">
        <v>13</v>
      </c>
      <c r="I681" s="8">
        <f>WEEKDAY(E681)</f>
        <v>7</v>
      </c>
    </row>
    <row r="682" spans="1:9" x14ac:dyDescent="0.25">
      <c r="A682" s="7">
        <f t="shared" si="187"/>
        <v>681</v>
      </c>
      <c r="B682" s="8" t="str">
        <f t="shared" si="182"/>
        <v>5</v>
      </c>
      <c r="C682" s="8">
        <f t="shared" si="185"/>
        <v>4</v>
      </c>
      <c r="D682" s="8"/>
      <c r="E682" s="9">
        <f t="shared" si="192"/>
        <v>43967.624999999993</v>
      </c>
      <c r="F682" s="8">
        <f t="shared" si="183"/>
        <v>105</v>
      </c>
      <c r="G682" s="8" t="s">
        <v>17</v>
      </c>
      <c r="H682" s="8" t="s">
        <v>13</v>
      </c>
      <c r="I682" s="8">
        <f t="shared" ref="I682:I683" si="193">WEEKDAY(E682)</f>
        <v>7</v>
      </c>
    </row>
    <row r="683" spans="1:9" ht="15.75" thickBot="1" x14ac:dyDescent="0.3">
      <c r="A683" s="10">
        <f t="shared" si="187"/>
        <v>682</v>
      </c>
      <c r="B683" s="11" t="str">
        <f t="shared" si="182"/>
        <v>5</v>
      </c>
      <c r="C683" s="11">
        <f t="shared" si="185"/>
        <v>4</v>
      </c>
      <c r="D683" s="11"/>
      <c r="E683" s="12">
        <f t="shared" si="192"/>
        <v>43967.697916666657</v>
      </c>
      <c r="F683" s="11">
        <f t="shared" si="183"/>
        <v>105</v>
      </c>
      <c r="G683" s="11" t="s">
        <v>17</v>
      </c>
      <c r="H683" s="11" t="s">
        <v>13</v>
      </c>
      <c r="I683" s="11">
        <f t="shared" si="193"/>
        <v>7</v>
      </c>
    </row>
    <row r="684" spans="1:9" x14ac:dyDescent="0.25">
      <c r="A684" s="3">
        <f t="shared" si="187"/>
        <v>683</v>
      </c>
      <c r="B684" s="4" t="str">
        <f t="shared" si="182"/>
        <v>6</v>
      </c>
      <c r="C684" s="4">
        <f t="shared" si="185"/>
        <v>4</v>
      </c>
      <c r="D684" s="4"/>
      <c r="E684" s="5">
        <f>E655</f>
        <v>43967.375</v>
      </c>
      <c r="F684" s="4">
        <f t="shared" si="183"/>
        <v>105</v>
      </c>
      <c r="G684" s="4" t="s">
        <v>18</v>
      </c>
      <c r="H684" s="4" t="s">
        <v>13</v>
      </c>
      <c r="I684" s="4">
        <f>WEEKDAY(E684)</f>
        <v>7</v>
      </c>
    </row>
    <row r="685" spans="1:9" x14ac:dyDescent="0.25">
      <c r="A685" s="7">
        <f t="shared" si="187"/>
        <v>684</v>
      </c>
      <c r="B685" s="8" t="str">
        <f t="shared" si="182"/>
        <v>6</v>
      </c>
      <c r="C685" s="8" t="s">
        <v>50</v>
      </c>
      <c r="D685" s="8"/>
      <c r="E685" s="9">
        <f>E684+F684/60/24</f>
        <v>43967.447916666664</v>
      </c>
      <c r="F685" s="8">
        <f t="shared" si="183"/>
        <v>105</v>
      </c>
      <c r="G685" s="8" t="s">
        <v>18</v>
      </c>
      <c r="H685" s="8" t="s">
        <v>12</v>
      </c>
      <c r="I685" s="8">
        <f>WEEKDAY(E685)</f>
        <v>7</v>
      </c>
    </row>
    <row r="686" spans="1:9" x14ac:dyDescent="0.25">
      <c r="A686" s="7">
        <f t="shared" si="187"/>
        <v>685</v>
      </c>
      <c r="B686" s="8" t="str">
        <f t="shared" si="182"/>
        <v>6</v>
      </c>
      <c r="C686" s="8" t="s">
        <v>50</v>
      </c>
      <c r="D686" s="8"/>
      <c r="E686" s="9">
        <f t="shared" ref="E686:E688" si="194">E685+F685/60/24</f>
        <v>43967.520833333328</v>
      </c>
      <c r="F686" s="8">
        <f t="shared" si="183"/>
        <v>105</v>
      </c>
      <c r="G686" s="8" t="s">
        <v>18</v>
      </c>
      <c r="H686" s="8" t="s">
        <v>12</v>
      </c>
      <c r="I686" s="8">
        <f>WEEKDAY(E686)</f>
        <v>7</v>
      </c>
    </row>
    <row r="687" spans="1:9" x14ac:dyDescent="0.25">
      <c r="A687" s="7">
        <f t="shared" si="187"/>
        <v>686</v>
      </c>
      <c r="B687" s="8" t="str">
        <f t="shared" si="182"/>
        <v>6</v>
      </c>
      <c r="C687" s="8" t="s">
        <v>50</v>
      </c>
      <c r="D687" s="8"/>
      <c r="E687" s="9">
        <f t="shared" si="194"/>
        <v>43967.593749999993</v>
      </c>
      <c r="F687" s="8">
        <f t="shared" si="183"/>
        <v>105</v>
      </c>
      <c r="G687" s="8" t="s">
        <v>18</v>
      </c>
      <c r="H687" s="8" t="s">
        <v>12</v>
      </c>
      <c r="I687" s="8">
        <f>WEEKDAY(E687)</f>
        <v>7</v>
      </c>
    </row>
    <row r="688" spans="1:9" ht="15.75" thickBot="1" x14ac:dyDescent="0.3">
      <c r="A688" s="10">
        <f t="shared" si="187"/>
        <v>687</v>
      </c>
      <c r="B688" s="11" t="str">
        <f t="shared" si="182"/>
        <v>6</v>
      </c>
      <c r="C688" s="8" t="s">
        <v>50</v>
      </c>
      <c r="D688" s="11"/>
      <c r="E688" s="12">
        <f t="shared" si="194"/>
        <v>43967.666666666657</v>
      </c>
      <c r="F688" s="11">
        <f t="shared" si="183"/>
        <v>105</v>
      </c>
      <c r="G688" s="11" t="s">
        <v>18</v>
      </c>
      <c r="H688" s="11" t="s">
        <v>12</v>
      </c>
      <c r="I688" s="11">
        <f t="shared" ref="I688" si="195">WEEKDAY(E688)</f>
        <v>7</v>
      </c>
    </row>
    <row r="689" spans="1:9" x14ac:dyDescent="0.25">
      <c r="A689" s="3">
        <f t="shared" si="187"/>
        <v>688</v>
      </c>
      <c r="B689" s="4" t="str">
        <f t="shared" si="182"/>
        <v>7</v>
      </c>
      <c r="C689" s="4">
        <f t="shared" si="185"/>
        <v>6</v>
      </c>
      <c r="D689" s="4"/>
      <c r="E689" s="5">
        <f>E655</f>
        <v>43967.375</v>
      </c>
      <c r="F689" s="4">
        <f t="shared" si="183"/>
        <v>60</v>
      </c>
      <c r="G689" s="4" t="s">
        <v>19</v>
      </c>
      <c r="H689" s="4" t="s">
        <v>14</v>
      </c>
      <c r="I689" s="4">
        <f>WEEKDAY(E689)</f>
        <v>7</v>
      </c>
    </row>
    <row r="690" spans="1:9" x14ac:dyDescent="0.25">
      <c r="A690" s="7">
        <f t="shared" si="187"/>
        <v>689</v>
      </c>
      <c r="B690" s="8" t="str">
        <f t="shared" si="182"/>
        <v>7</v>
      </c>
      <c r="C690" s="8">
        <f t="shared" si="185"/>
        <v>3</v>
      </c>
      <c r="D690" s="8"/>
      <c r="E690" s="9">
        <f>E689+F689/60/24</f>
        <v>43967.416666666664</v>
      </c>
      <c r="F690" s="8">
        <f t="shared" si="183"/>
        <v>105</v>
      </c>
      <c r="G690" s="8" t="s">
        <v>19</v>
      </c>
      <c r="H690" s="8" t="s">
        <v>12</v>
      </c>
      <c r="I690" s="8">
        <f>WEEKDAY(E690)</f>
        <v>7</v>
      </c>
    </row>
    <row r="691" spans="1:9" x14ac:dyDescent="0.25">
      <c r="A691" s="7">
        <f t="shared" si="187"/>
        <v>690</v>
      </c>
      <c r="B691" s="8" t="str">
        <f t="shared" si="182"/>
        <v>7</v>
      </c>
      <c r="C691" s="8">
        <f t="shared" si="185"/>
        <v>3</v>
      </c>
      <c r="D691" s="8"/>
      <c r="E691" s="9">
        <f t="shared" ref="E691:E693" si="196">E690+F690/60/24</f>
        <v>43967.489583333328</v>
      </c>
      <c r="F691" s="8">
        <f t="shared" si="183"/>
        <v>105</v>
      </c>
      <c r="G691" s="8" t="s">
        <v>19</v>
      </c>
      <c r="H691" s="8" t="s">
        <v>12</v>
      </c>
      <c r="I691" s="8">
        <f>WEEKDAY(E691)</f>
        <v>7</v>
      </c>
    </row>
    <row r="692" spans="1:9" x14ac:dyDescent="0.25">
      <c r="A692" s="7">
        <f t="shared" si="187"/>
        <v>691</v>
      </c>
      <c r="B692" s="8" t="str">
        <f t="shared" si="182"/>
        <v>7</v>
      </c>
      <c r="C692" s="8" t="s">
        <v>50</v>
      </c>
      <c r="D692" s="8"/>
      <c r="E692" s="9">
        <f t="shared" si="196"/>
        <v>43967.562499999993</v>
      </c>
      <c r="F692" s="8">
        <f t="shared" si="183"/>
        <v>120</v>
      </c>
      <c r="G692" s="8" t="s">
        <v>19</v>
      </c>
      <c r="H692" s="8" t="s">
        <v>9</v>
      </c>
      <c r="I692" s="8">
        <f>WEEKDAY(E692)</f>
        <v>7</v>
      </c>
    </row>
    <row r="693" spans="1:9" ht="15.75" thickBot="1" x14ac:dyDescent="0.3">
      <c r="A693" s="10">
        <f t="shared" si="187"/>
        <v>692</v>
      </c>
      <c r="B693" s="11" t="str">
        <f t="shared" si="182"/>
        <v>7</v>
      </c>
      <c r="C693" s="8" t="s">
        <v>50</v>
      </c>
      <c r="D693" s="11"/>
      <c r="E693" s="12">
        <f t="shared" si="196"/>
        <v>43967.645833333328</v>
      </c>
      <c r="F693" s="11">
        <f t="shared" si="183"/>
        <v>120</v>
      </c>
      <c r="G693" s="11" t="s">
        <v>19</v>
      </c>
      <c r="H693" s="11" t="s">
        <v>9</v>
      </c>
      <c r="I693" s="11">
        <f t="shared" ref="I693" si="197">WEEKDAY(E693)</f>
        <v>7</v>
      </c>
    </row>
    <row r="694" spans="1:9" x14ac:dyDescent="0.25">
      <c r="A694" s="3">
        <f t="shared" si="187"/>
        <v>693</v>
      </c>
      <c r="B694" s="4" t="str">
        <f t="shared" si="182"/>
        <v>8</v>
      </c>
      <c r="C694" s="4">
        <f t="shared" si="185"/>
        <v>5</v>
      </c>
      <c r="D694" s="4"/>
      <c r="E694" s="5">
        <f>E655</f>
        <v>43967.375</v>
      </c>
      <c r="F694" s="4">
        <f t="shared" si="183"/>
        <v>90</v>
      </c>
      <c r="G694" s="4" t="s">
        <v>20</v>
      </c>
      <c r="H694" s="4" t="s">
        <v>11</v>
      </c>
      <c r="I694" s="4">
        <f>WEEKDAY(E694)</f>
        <v>7</v>
      </c>
    </row>
    <row r="695" spans="1:9" x14ac:dyDescent="0.25">
      <c r="A695" s="7">
        <f t="shared" si="187"/>
        <v>694</v>
      </c>
      <c r="B695" s="8" t="str">
        <f t="shared" si="182"/>
        <v>8</v>
      </c>
      <c r="C695" s="8">
        <f t="shared" si="185"/>
        <v>5</v>
      </c>
      <c r="D695" s="8"/>
      <c r="E695" s="9">
        <f>E694+F694/60/24</f>
        <v>43967.4375</v>
      </c>
      <c r="F695" s="8">
        <f t="shared" si="183"/>
        <v>90</v>
      </c>
      <c r="G695" s="8" t="s">
        <v>20</v>
      </c>
      <c r="H695" s="8" t="s">
        <v>11</v>
      </c>
      <c r="I695" s="8">
        <f>WEEKDAY(E695)</f>
        <v>7</v>
      </c>
    </row>
    <row r="696" spans="1:9" x14ac:dyDescent="0.25">
      <c r="A696" s="7">
        <f t="shared" si="187"/>
        <v>695</v>
      </c>
      <c r="B696" s="8" t="str">
        <f t="shared" si="182"/>
        <v>8</v>
      </c>
      <c r="C696" s="8">
        <f t="shared" si="185"/>
        <v>3</v>
      </c>
      <c r="D696" s="8"/>
      <c r="E696" s="9">
        <f t="shared" ref="E696:E698" si="198">E695+F695/60/24</f>
        <v>43967.5</v>
      </c>
      <c r="F696" s="8">
        <f t="shared" si="183"/>
        <v>105</v>
      </c>
      <c r="G696" s="8" t="s">
        <v>20</v>
      </c>
      <c r="H696" s="8" t="s">
        <v>12</v>
      </c>
      <c r="I696" s="8">
        <f>WEEKDAY(E696)</f>
        <v>7</v>
      </c>
    </row>
    <row r="697" spans="1:9" x14ac:dyDescent="0.25">
      <c r="A697" s="7">
        <f t="shared" si="187"/>
        <v>696</v>
      </c>
      <c r="B697" s="8" t="str">
        <f t="shared" si="182"/>
        <v>8</v>
      </c>
      <c r="C697" s="8" t="s">
        <v>50</v>
      </c>
      <c r="D697" s="8"/>
      <c r="E697" s="9">
        <f t="shared" si="198"/>
        <v>43967.572916666664</v>
      </c>
      <c r="F697" s="8">
        <f t="shared" si="183"/>
        <v>120</v>
      </c>
      <c r="G697" s="8" t="s">
        <v>20</v>
      </c>
      <c r="H697" s="8" t="s">
        <v>9</v>
      </c>
      <c r="I697" s="8">
        <f>WEEKDAY(E697)</f>
        <v>7</v>
      </c>
    </row>
    <row r="698" spans="1:9" ht="15.75" thickBot="1" x14ac:dyDescent="0.3">
      <c r="A698" s="10">
        <f t="shared" si="187"/>
        <v>697</v>
      </c>
      <c r="B698" s="11" t="str">
        <f t="shared" si="182"/>
        <v>8</v>
      </c>
      <c r="C698" s="8" t="s">
        <v>50</v>
      </c>
      <c r="D698" s="11"/>
      <c r="E698" s="12">
        <f t="shared" si="198"/>
        <v>43967.65625</v>
      </c>
      <c r="F698" s="11">
        <f t="shared" si="183"/>
        <v>120</v>
      </c>
      <c r="G698" s="11" t="s">
        <v>20</v>
      </c>
      <c r="H698" s="11" t="s">
        <v>9</v>
      </c>
      <c r="I698" s="11">
        <f t="shared" ref="I698" si="199">WEEKDAY(E698)</f>
        <v>7</v>
      </c>
    </row>
  </sheetData>
  <autoFilter ref="A1:I698" xr:uid="{7C1685A3-4C20-4814-9139-5B0CE3F12B8C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Schedule">
                <anchor moveWithCells="1" sizeWithCells="1">
                  <from>
                    <xdr:col>9</xdr:col>
                    <xdr:colOff>600075</xdr:colOff>
                    <xdr:row>9</xdr:row>
                    <xdr:rowOff>57150</xdr:rowOff>
                  </from>
                  <to>
                    <xdr:col>11</xdr:col>
                    <xdr:colOff>619125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E111"/>
  <sheetViews>
    <sheetView workbookViewId="0">
      <selection activeCell="I12" sqref="I12"/>
    </sheetView>
  </sheetViews>
  <sheetFormatPr defaultRowHeight="15" x14ac:dyDescent="0.25"/>
  <cols>
    <col min="1" max="1" width="18" customWidth="1"/>
    <col min="2" max="2" width="12.5703125" bestFit="1" customWidth="1"/>
    <col min="5" max="5" width="15.28515625" bestFit="1" customWidth="1"/>
  </cols>
  <sheetData>
    <row r="1" spans="1:5" x14ac:dyDescent="0.25">
      <c r="A1" t="s">
        <v>21</v>
      </c>
      <c r="B1" t="s">
        <v>22</v>
      </c>
    </row>
    <row r="2" spans="1:5" x14ac:dyDescent="0.25">
      <c r="A2" s="9">
        <v>43890.375</v>
      </c>
      <c r="B2" t="s">
        <v>24</v>
      </c>
      <c r="E2" s="13"/>
    </row>
    <row r="3" spans="1:5" x14ac:dyDescent="0.25">
      <c r="A3" s="9">
        <v>43892.75</v>
      </c>
      <c r="B3" t="s">
        <v>25</v>
      </c>
      <c r="E3" s="13"/>
    </row>
    <row r="4" spans="1:5" x14ac:dyDescent="0.25">
      <c r="A4" s="9">
        <v>43893.75</v>
      </c>
      <c r="B4" t="s">
        <v>25</v>
      </c>
      <c r="E4" s="13"/>
    </row>
    <row r="5" spans="1:5" x14ac:dyDescent="0.25">
      <c r="A5" s="9">
        <v>43894.75</v>
      </c>
      <c r="B5" t="s">
        <v>25</v>
      </c>
      <c r="E5" s="13"/>
    </row>
    <row r="6" spans="1:5" x14ac:dyDescent="0.25">
      <c r="A6" s="9">
        <v>43895.75</v>
      </c>
      <c r="B6" t="s">
        <v>25</v>
      </c>
      <c r="E6" s="13"/>
    </row>
    <row r="7" spans="1:5" x14ac:dyDescent="0.25">
      <c r="A7" s="9">
        <v>43908.75</v>
      </c>
      <c r="B7" t="s">
        <v>25</v>
      </c>
      <c r="E7" s="13"/>
    </row>
    <row r="8" spans="1:5" x14ac:dyDescent="0.25">
      <c r="A8" s="9">
        <v>43909.75</v>
      </c>
      <c r="B8" t="s">
        <v>25</v>
      </c>
      <c r="E8" s="13"/>
    </row>
    <row r="9" spans="1:5" x14ac:dyDescent="0.25">
      <c r="A9" s="9">
        <v>43910.75</v>
      </c>
      <c r="B9" t="s">
        <v>23</v>
      </c>
      <c r="E9" s="13"/>
    </row>
    <row r="10" spans="1:5" x14ac:dyDescent="0.25">
      <c r="A10" s="9">
        <v>43911.375</v>
      </c>
      <c r="B10" t="s">
        <v>7</v>
      </c>
      <c r="E10" s="13"/>
    </row>
    <row r="11" spans="1:5" x14ac:dyDescent="0.25">
      <c r="A11" s="9">
        <v>43914.75</v>
      </c>
      <c r="B11" t="s">
        <v>25</v>
      </c>
      <c r="E11" s="13"/>
    </row>
    <row r="12" spans="1:5" x14ac:dyDescent="0.25">
      <c r="A12" s="9">
        <v>43915.75</v>
      </c>
      <c r="B12" t="s">
        <v>25</v>
      </c>
      <c r="E12" s="13"/>
    </row>
    <row r="13" spans="1:5" x14ac:dyDescent="0.25">
      <c r="A13" s="9">
        <v>43917.75</v>
      </c>
      <c r="B13" t="s">
        <v>23</v>
      </c>
      <c r="E13" s="13"/>
    </row>
    <row r="14" spans="1:5" x14ac:dyDescent="0.25">
      <c r="A14" s="9">
        <v>43918.375</v>
      </c>
      <c r="B14" t="s">
        <v>7</v>
      </c>
      <c r="E14" s="13"/>
    </row>
    <row r="15" spans="1:5" x14ac:dyDescent="0.25">
      <c r="A15" s="9">
        <v>43922.75</v>
      </c>
      <c r="B15" t="s">
        <v>25</v>
      </c>
      <c r="E15" s="13"/>
    </row>
    <row r="16" spans="1:5" x14ac:dyDescent="0.25">
      <c r="A16" s="9">
        <v>43923.75</v>
      </c>
      <c r="B16" t="s">
        <v>25</v>
      </c>
      <c r="E16" s="13"/>
    </row>
    <row r="17" spans="1:5" x14ac:dyDescent="0.25">
      <c r="A17" s="9">
        <v>43924.75</v>
      </c>
      <c r="B17" t="s">
        <v>23</v>
      </c>
      <c r="E17" s="13"/>
    </row>
    <row r="18" spans="1:5" x14ac:dyDescent="0.25">
      <c r="A18" s="9">
        <v>43925.375</v>
      </c>
      <c r="B18" t="s">
        <v>7</v>
      </c>
      <c r="E18" s="13"/>
    </row>
    <row r="19" spans="1:5" x14ac:dyDescent="0.25">
      <c r="A19" s="9">
        <v>43936.75</v>
      </c>
      <c r="B19" t="s">
        <v>25</v>
      </c>
      <c r="E19" s="13"/>
    </row>
    <row r="20" spans="1:5" x14ac:dyDescent="0.25">
      <c r="A20" s="9">
        <v>43937.75</v>
      </c>
      <c r="B20" t="s">
        <v>25</v>
      </c>
      <c r="E20" s="13"/>
    </row>
    <row r="21" spans="1:5" x14ac:dyDescent="0.25">
      <c r="A21" s="9">
        <v>43938.75</v>
      </c>
      <c r="B21" t="s">
        <v>23</v>
      </c>
      <c r="E21" s="13"/>
    </row>
    <row r="22" spans="1:5" x14ac:dyDescent="0.25">
      <c r="A22" s="9">
        <v>43939.375</v>
      </c>
      <c r="B22" t="s">
        <v>7</v>
      </c>
      <c r="E22" s="13"/>
    </row>
    <row r="23" spans="1:5" x14ac:dyDescent="0.25">
      <c r="A23" s="9">
        <v>43944.75</v>
      </c>
      <c r="B23" t="s">
        <v>25</v>
      </c>
      <c r="E23" s="13"/>
    </row>
    <row r="24" spans="1:5" x14ac:dyDescent="0.25">
      <c r="A24" s="9">
        <v>43945.75</v>
      </c>
      <c r="B24" t="s">
        <v>23</v>
      </c>
      <c r="E24" s="13"/>
    </row>
    <row r="25" spans="1:5" x14ac:dyDescent="0.25">
      <c r="A25" s="9">
        <v>43946.375</v>
      </c>
      <c r="B25" t="s">
        <v>7</v>
      </c>
      <c r="E25" s="13"/>
    </row>
    <row r="26" spans="1:5" x14ac:dyDescent="0.25">
      <c r="A26" s="9">
        <v>43951.75</v>
      </c>
      <c r="B26" t="s">
        <v>25</v>
      </c>
      <c r="E26" s="13"/>
    </row>
    <row r="27" spans="1:5" x14ac:dyDescent="0.25">
      <c r="A27" s="9">
        <v>43952.75</v>
      </c>
      <c r="B27" t="s">
        <v>23</v>
      </c>
      <c r="E27" s="13"/>
    </row>
    <row r="28" spans="1:5" x14ac:dyDescent="0.25">
      <c r="A28" s="9">
        <v>43953.375</v>
      </c>
      <c r="B28" t="s">
        <v>7</v>
      </c>
      <c r="E28" s="13"/>
    </row>
    <row r="29" spans="1:5" x14ac:dyDescent="0.25">
      <c r="A29" s="9">
        <v>43958.75</v>
      </c>
      <c r="B29" t="s">
        <v>25</v>
      </c>
      <c r="E29" s="13"/>
    </row>
    <row r="30" spans="1:5" x14ac:dyDescent="0.25">
      <c r="A30" s="9">
        <v>43959.75</v>
      </c>
      <c r="B30" t="s">
        <v>23</v>
      </c>
      <c r="E30" s="13"/>
    </row>
    <row r="31" spans="1:5" x14ac:dyDescent="0.25">
      <c r="A31" s="9">
        <v>43960.375</v>
      </c>
      <c r="B31" t="s">
        <v>7</v>
      </c>
      <c r="E31" s="13"/>
    </row>
    <row r="32" spans="1:5" x14ac:dyDescent="0.25">
      <c r="A32" s="9">
        <v>43965.75</v>
      </c>
      <c r="B32" t="s">
        <v>25</v>
      </c>
      <c r="E32" s="13"/>
    </row>
    <row r="33" spans="1:5" x14ac:dyDescent="0.25">
      <c r="A33" s="9">
        <v>43967.375</v>
      </c>
      <c r="B33" t="s">
        <v>7</v>
      </c>
      <c r="E33" s="13"/>
    </row>
    <row r="37" spans="1:5" x14ac:dyDescent="0.25">
      <c r="A37" s="1"/>
    </row>
    <row r="38" spans="1:5" x14ac:dyDescent="0.25">
      <c r="A38" s="1"/>
    </row>
    <row r="39" spans="1:5" x14ac:dyDescent="0.25">
      <c r="A39" s="1"/>
    </row>
    <row r="40" spans="1:5" x14ac:dyDescent="0.25">
      <c r="A40" s="1"/>
    </row>
    <row r="44" spans="1:5" x14ac:dyDescent="0.25">
      <c r="A44" s="1"/>
    </row>
    <row r="45" spans="1:5" x14ac:dyDescent="0.25">
      <c r="A45" s="1"/>
    </row>
    <row r="46" spans="1:5" x14ac:dyDescent="0.25">
      <c r="A46" s="1"/>
    </row>
    <row r="47" spans="1:5" x14ac:dyDescent="0.25">
      <c r="A47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</sheetData>
  <sortState xmlns:xlrd2="http://schemas.microsoft.com/office/spreadsheetml/2017/richdata2" ref="A2:B111">
    <sortCondition ref="A2:A1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L13"/>
  <sheetViews>
    <sheetView workbookViewId="0">
      <selection sqref="A1:I1"/>
    </sheetView>
  </sheetViews>
  <sheetFormatPr defaultRowHeight="15" x14ac:dyDescent="0.25"/>
  <cols>
    <col min="5" max="5" width="16.140625" bestFit="1" customWidth="1"/>
    <col min="8" max="8" width="11.140625" bestFit="1" customWidth="1"/>
  </cols>
  <sheetData>
    <row r="1" spans="1:12" ht="15.75" thickBot="1" x14ac:dyDescent="0.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4</v>
      </c>
      <c r="G1" t="s">
        <v>1</v>
      </c>
      <c r="H1" t="s">
        <v>5</v>
      </c>
      <c r="I1" s="2" t="s">
        <v>6</v>
      </c>
      <c r="K1" s="2"/>
    </row>
    <row r="2" spans="1:12" x14ac:dyDescent="0.25">
      <c r="A2" s="3" t="e">
        <f>A1+1</f>
        <v>#VALUE!</v>
      </c>
      <c r="B2" s="4" t="str">
        <f t="shared" ref="B2:B13" si="0">VLOOKUP(G2,field_id,2,FALSE)</f>
        <v>4</v>
      </c>
      <c r="C2" s="4">
        <f t="shared" ref="C2:C13" si="1">VLOOKUP(H2,league_id,2,FALSE)</f>
        <v>1</v>
      </c>
      <c r="D2" s="4"/>
      <c r="E2" s="5">
        <v>43888.75</v>
      </c>
      <c r="F2" s="4">
        <f t="shared" ref="F2:F13" si="2">VLOOKUP(H2,GameDuration,2,FALSE)</f>
        <v>120</v>
      </c>
      <c r="G2" s="4" t="s">
        <v>8</v>
      </c>
      <c r="H2" s="4" t="s">
        <v>8</v>
      </c>
      <c r="I2" s="4">
        <f t="shared" ref="I2:I13" si="3">WEEKDAY(E2)</f>
        <v>5</v>
      </c>
      <c r="K2" t="s">
        <v>8</v>
      </c>
      <c r="L2">
        <f t="shared" ref="L2:L8" si="4">COUNTIF(H$2:H$42,K2)</f>
        <v>2</v>
      </c>
    </row>
    <row r="3" spans="1:12" ht="15.75" thickBot="1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/>
      <c r="E3" s="9">
        <f>E2+F2/60/24</f>
        <v>43888.833333333336</v>
      </c>
      <c r="F3" s="8">
        <f t="shared" si="2"/>
        <v>120</v>
      </c>
      <c r="G3" s="8" t="s">
        <v>8</v>
      </c>
      <c r="H3" s="8" t="s">
        <v>8</v>
      </c>
      <c r="I3" s="8">
        <f t="shared" si="3"/>
        <v>5</v>
      </c>
      <c r="K3" t="s">
        <v>9</v>
      </c>
      <c r="L3">
        <f t="shared" si="4"/>
        <v>2</v>
      </c>
    </row>
    <row r="4" spans="1:12" x14ac:dyDescent="0.25">
      <c r="A4" s="3" t="e">
        <f>A3+1</f>
        <v>#VALUE!</v>
      </c>
      <c r="B4" s="4" t="str">
        <f t="shared" si="0"/>
        <v>3</v>
      </c>
      <c r="C4" s="4">
        <f t="shared" si="1"/>
        <v>2</v>
      </c>
      <c r="D4" s="4"/>
      <c r="E4" s="5">
        <f>E2</f>
        <v>43888.75</v>
      </c>
      <c r="F4" s="4">
        <f t="shared" si="2"/>
        <v>120</v>
      </c>
      <c r="G4" s="4" t="s">
        <v>9</v>
      </c>
      <c r="H4" s="4" t="s">
        <v>9</v>
      </c>
      <c r="I4" s="4">
        <f t="shared" si="3"/>
        <v>5</v>
      </c>
      <c r="K4" t="s">
        <v>12</v>
      </c>
      <c r="L4">
        <f t="shared" si="4"/>
        <v>2</v>
      </c>
    </row>
    <row r="5" spans="1:12" ht="15.75" thickBot="1" x14ac:dyDescent="0.3">
      <c r="A5" s="7" t="e">
        <f t="shared" ref="A5:A13" si="5">A4+1</f>
        <v>#VALUE!</v>
      </c>
      <c r="B5" s="8" t="str">
        <f t="shared" si="0"/>
        <v>3</v>
      </c>
      <c r="C5" s="8">
        <f t="shared" si="1"/>
        <v>2</v>
      </c>
      <c r="D5" s="8"/>
      <c r="E5" s="9">
        <f>E4+F4/60/24</f>
        <v>43888.833333333336</v>
      </c>
      <c r="F5" s="8">
        <f t="shared" si="2"/>
        <v>120</v>
      </c>
      <c r="G5" s="8" t="s">
        <v>9</v>
      </c>
      <c r="H5" s="8" t="s">
        <v>9</v>
      </c>
      <c r="I5" s="8">
        <f t="shared" si="3"/>
        <v>5</v>
      </c>
      <c r="K5" t="s">
        <v>13</v>
      </c>
      <c r="L5">
        <f t="shared" si="4"/>
        <v>3</v>
      </c>
    </row>
    <row r="6" spans="1:12" x14ac:dyDescent="0.25">
      <c r="A6" s="3" t="e">
        <f>A5+1</f>
        <v>#VALUE!</v>
      </c>
      <c r="B6" s="4" t="str">
        <f t="shared" si="0"/>
        <v>2</v>
      </c>
      <c r="C6" s="4">
        <f t="shared" si="1"/>
        <v>4</v>
      </c>
      <c r="D6" s="4"/>
      <c r="E6" s="5">
        <f>E2</f>
        <v>43888.75</v>
      </c>
      <c r="F6" s="4">
        <f t="shared" si="2"/>
        <v>105</v>
      </c>
      <c r="G6" s="4" t="s">
        <v>10</v>
      </c>
      <c r="H6" s="4" t="s">
        <v>13</v>
      </c>
      <c r="I6" s="4">
        <f t="shared" si="3"/>
        <v>5</v>
      </c>
      <c r="K6" t="s">
        <v>11</v>
      </c>
      <c r="L6">
        <f t="shared" si="4"/>
        <v>3</v>
      </c>
    </row>
    <row r="7" spans="1:12" ht="15.75" thickBot="1" x14ac:dyDescent="0.3">
      <c r="A7" s="7" t="e">
        <f t="shared" si="5"/>
        <v>#VALUE!</v>
      </c>
      <c r="B7" s="8" t="str">
        <f t="shared" si="0"/>
        <v>2</v>
      </c>
      <c r="C7" s="8">
        <f t="shared" si="1"/>
        <v>4</v>
      </c>
      <c r="D7" s="8"/>
      <c r="E7" s="9">
        <f>E6+F6/60/24</f>
        <v>43888.822916666664</v>
      </c>
      <c r="F7" s="8">
        <f t="shared" si="2"/>
        <v>105</v>
      </c>
      <c r="G7" s="8" t="s">
        <v>10</v>
      </c>
      <c r="H7" s="8" t="s">
        <v>13</v>
      </c>
      <c r="I7" s="8">
        <f t="shared" si="3"/>
        <v>5</v>
      </c>
      <c r="K7" t="s">
        <v>14</v>
      </c>
      <c r="L7">
        <f t="shared" si="4"/>
        <v>0</v>
      </c>
    </row>
    <row r="8" spans="1:12" x14ac:dyDescent="0.25">
      <c r="A8" s="3" t="e">
        <f>A7+1</f>
        <v>#VALUE!</v>
      </c>
      <c r="B8" s="4" t="str">
        <f t="shared" si="0"/>
        <v>1</v>
      </c>
      <c r="C8" s="4">
        <f t="shared" si="1"/>
        <v>5</v>
      </c>
      <c r="D8" s="4"/>
      <c r="E8" s="5">
        <f>E2</f>
        <v>43888.75</v>
      </c>
      <c r="F8" s="4">
        <f t="shared" si="2"/>
        <v>90</v>
      </c>
      <c r="G8" s="4" t="s">
        <v>16</v>
      </c>
      <c r="H8" s="4" t="s">
        <v>11</v>
      </c>
      <c r="I8" s="4">
        <f t="shared" si="3"/>
        <v>5</v>
      </c>
      <c r="K8" t="s">
        <v>15</v>
      </c>
      <c r="L8">
        <f t="shared" si="4"/>
        <v>0</v>
      </c>
    </row>
    <row r="9" spans="1:12" ht="15.75" thickBot="1" x14ac:dyDescent="0.3">
      <c r="A9" s="7" t="e">
        <f t="shared" si="5"/>
        <v>#VALUE!</v>
      </c>
      <c r="B9" s="8" t="str">
        <f t="shared" si="0"/>
        <v>1</v>
      </c>
      <c r="C9" s="8">
        <f t="shared" si="1"/>
        <v>5</v>
      </c>
      <c r="D9" s="8"/>
      <c r="E9" s="9">
        <f>E8+F8/60/24</f>
        <v>43888.8125</v>
      </c>
      <c r="F9" s="8">
        <f t="shared" si="2"/>
        <v>90</v>
      </c>
      <c r="G9" s="8" t="s">
        <v>16</v>
      </c>
      <c r="H9" s="8" t="s">
        <v>11</v>
      </c>
      <c r="I9" s="8">
        <f t="shared" si="3"/>
        <v>5</v>
      </c>
    </row>
    <row r="10" spans="1:12" x14ac:dyDescent="0.25">
      <c r="A10" s="3" t="e">
        <f>A9+1</f>
        <v>#VALUE!</v>
      </c>
      <c r="B10" s="4" t="str">
        <f t="shared" si="0"/>
        <v>5</v>
      </c>
      <c r="C10" s="4">
        <f t="shared" si="1"/>
        <v>5</v>
      </c>
      <c r="D10" s="4"/>
      <c r="E10" s="5">
        <f>E2</f>
        <v>43888.75</v>
      </c>
      <c r="F10" s="4">
        <f t="shared" si="2"/>
        <v>90</v>
      </c>
      <c r="G10" s="4" t="s">
        <v>17</v>
      </c>
      <c r="H10" s="4" t="s">
        <v>11</v>
      </c>
      <c r="I10" s="4">
        <f t="shared" si="3"/>
        <v>5</v>
      </c>
    </row>
    <row r="11" spans="1:12" ht="15.75" thickBot="1" x14ac:dyDescent="0.3">
      <c r="A11" s="7" t="e">
        <f t="shared" si="5"/>
        <v>#VALUE!</v>
      </c>
      <c r="B11" s="8" t="str">
        <f t="shared" si="0"/>
        <v>5</v>
      </c>
      <c r="C11" s="8">
        <f t="shared" si="1"/>
        <v>4</v>
      </c>
      <c r="D11" s="8"/>
      <c r="E11" s="9">
        <f>E10+F10/60/24</f>
        <v>43888.8125</v>
      </c>
      <c r="F11" s="8">
        <f t="shared" si="2"/>
        <v>105</v>
      </c>
      <c r="G11" s="8" t="s">
        <v>17</v>
      </c>
      <c r="H11" s="8" t="s">
        <v>13</v>
      </c>
      <c r="I11" s="8">
        <f t="shared" si="3"/>
        <v>5</v>
      </c>
    </row>
    <row r="12" spans="1:12" x14ac:dyDescent="0.25">
      <c r="A12" s="3" t="e">
        <f>A11+1</f>
        <v>#VALUE!</v>
      </c>
      <c r="B12" s="4" t="str">
        <f t="shared" si="0"/>
        <v>6</v>
      </c>
      <c r="C12" s="4">
        <f t="shared" si="1"/>
        <v>3</v>
      </c>
      <c r="D12" s="4"/>
      <c r="E12" s="5">
        <f>E2</f>
        <v>43888.75</v>
      </c>
      <c r="F12" s="4">
        <f t="shared" si="2"/>
        <v>105</v>
      </c>
      <c r="G12" s="4" t="s">
        <v>18</v>
      </c>
      <c r="H12" s="4" t="s">
        <v>12</v>
      </c>
      <c r="I12" s="4">
        <f t="shared" si="3"/>
        <v>5</v>
      </c>
    </row>
    <row r="13" spans="1:12" ht="15.75" thickBot="1" x14ac:dyDescent="0.3">
      <c r="A13" s="10" t="e">
        <f t="shared" si="5"/>
        <v>#VALUE!</v>
      </c>
      <c r="B13" s="11" t="str">
        <f t="shared" si="0"/>
        <v>6</v>
      </c>
      <c r="C13" s="11">
        <f t="shared" si="1"/>
        <v>3</v>
      </c>
      <c r="D13" s="11"/>
      <c r="E13" s="12">
        <f>E12+F12/60/24</f>
        <v>43888.822916666664</v>
      </c>
      <c r="F13" s="11">
        <f t="shared" si="2"/>
        <v>105</v>
      </c>
      <c r="G13" s="11" t="s">
        <v>18</v>
      </c>
      <c r="H13" s="11" t="s">
        <v>12</v>
      </c>
      <c r="I13" s="11">
        <f t="shared" si="3"/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AEF9-4A9D-419A-809C-5CB0DDA555B8}">
  <sheetPr codeName="Sheet4"/>
  <dimension ref="A1:L17"/>
  <sheetViews>
    <sheetView workbookViewId="0">
      <selection activeCell="M26" sqref="M26"/>
    </sheetView>
  </sheetViews>
  <sheetFormatPr defaultRowHeight="15" x14ac:dyDescent="0.25"/>
  <cols>
    <col min="5" max="5" width="16.140625" bestFit="1" customWidth="1"/>
    <col min="8" max="8" width="11.140625" bestFit="1" customWidth="1"/>
  </cols>
  <sheetData>
    <row r="1" spans="1:12" ht="15.75" thickBot="1" x14ac:dyDescent="0.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4</v>
      </c>
      <c r="G1" t="s">
        <v>1</v>
      </c>
      <c r="H1" t="s">
        <v>5</v>
      </c>
      <c r="I1" s="2" t="s">
        <v>6</v>
      </c>
      <c r="K1" s="2"/>
    </row>
    <row r="2" spans="1:12" x14ac:dyDescent="0.25">
      <c r="A2" s="3" t="e">
        <f>A1+1</f>
        <v>#VALUE!</v>
      </c>
      <c r="B2" s="4" t="str">
        <f t="shared" ref="B2:B17" si="0">VLOOKUP(G2,field_id,2,FALSE)</f>
        <v>4</v>
      </c>
      <c r="C2" s="4">
        <f t="shared" ref="C2:C17" si="1">VLOOKUP(H2,league_id,2,FALSE)</f>
        <v>1</v>
      </c>
      <c r="D2" s="4"/>
      <c r="E2" s="5">
        <v>43889.75</v>
      </c>
      <c r="F2" s="4">
        <f t="shared" ref="F2:F17" si="2">VLOOKUP(H2,GameDuration,2,FALSE)</f>
        <v>120</v>
      </c>
      <c r="G2" s="4" t="s">
        <v>8</v>
      </c>
      <c r="H2" s="4" t="s">
        <v>8</v>
      </c>
      <c r="I2" s="4">
        <f t="shared" ref="I2:I17" si="3">WEEKDAY(E2)</f>
        <v>6</v>
      </c>
      <c r="K2" t="s">
        <v>8</v>
      </c>
      <c r="L2">
        <f t="shared" ref="L2:L8" si="4">COUNTIF(H$2:H$42,K2)</f>
        <v>2</v>
      </c>
    </row>
    <row r="3" spans="1:12" ht="15.75" thickBot="1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/>
      <c r="E3" s="9">
        <f>E2+F2/60/24</f>
        <v>43889.833333333336</v>
      </c>
      <c r="F3" s="8">
        <f t="shared" si="2"/>
        <v>120</v>
      </c>
      <c r="G3" s="8" t="s">
        <v>8</v>
      </c>
      <c r="H3" s="8" t="s">
        <v>8</v>
      </c>
      <c r="I3" s="8">
        <f t="shared" si="3"/>
        <v>6</v>
      </c>
      <c r="K3" t="s">
        <v>9</v>
      </c>
      <c r="L3">
        <f t="shared" si="4"/>
        <v>2</v>
      </c>
    </row>
    <row r="4" spans="1:12" x14ac:dyDescent="0.25">
      <c r="A4" s="3" t="e">
        <f>A3+1</f>
        <v>#VALUE!</v>
      </c>
      <c r="B4" s="4" t="str">
        <f t="shared" si="0"/>
        <v>3</v>
      </c>
      <c r="C4" s="4">
        <f t="shared" si="1"/>
        <v>2</v>
      </c>
      <c r="D4" s="4"/>
      <c r="E4" s="5">
        <f>E2</f>
        <v>43889.75</v>
      </c>
      <c r="F4" s="4">
        <f t="shared" si="2"/>
        <v>120</v>
      </c>
      <c r="G4" s="4" t="s">
        <v>9</v>
      </c>
      <c r="H4" s="4" t="s">
        <v>9</v>
      </c>
      <c r="I4" s="4">
        <f t="shared" si="3"/>
        <v>6</v>
      </c>
      <c r="K4" t="s">
        <v>12</v>
      </c>
      <c r="L4">
        <f t="shared" si="4"/>
        <v>2</v>
      </c>
    </row>
    <row r="5" spans="1:12" ht="15.75" thickBot="1" x14ac:dyDescent="0.3">
      <c r="A5" s="7" t="e">
        <f t="shared" ref="A5:A13" si="5">A4+1</f>
        <v>#VALUE!</v>
      </c>
      <c r="B5" s="8" t="str">
        <f t="shared" si="0"/>
        <v>3</v>
      </c>
      <c r="C5" s="8">
        <f t="shared" si="1"/>
        <v>2</v>
      </c>
      <c r="D5" s="8"/>
      <c r="E5" s="9">
        <f>E4+F4/60/24</f>
        <v>43889.833333333336</v>
      </c>
      <c r="F5" s="8">
        <f t="shared" si="2"/>
        <v>120</v>
      </c>
      <c r="G5" s="8" t="s">
        <v>9</v>
      </c>
      <c r="H5" s="8" t="s">
        <v>9</v>
      </c>
      <c r="I5" s="8">
        <f t="shared" si="3"/>
        <v>6</v>
      </c>
      <c r="K5" t="s">
        <v>13</v>
      </c>
      <c r="L5">
        <f t="shared" si="4"/>
        <v>5</v>
      </c>
    </row>
    <row r="6" spans="1:12" x14ac:dyDescent="0.25">
      <c r="A6" s="3" t="e">
        <f>A5+1</f>
        <v>#VALUE!</v>
      </c>
      <c r="B6" s="4" t="str">
        <f t="shared" si="0"/>
        <v>2</v>
      </c>
      <c r="C6" s="4">
        <f t="shared" si="1"/>
        <v>4</v>
      </c>
      <c r="D6" s="4"/>
      <c r="E6" s="5">
        <f>E2</f>
        <v>43889.75</v>
      </c>
      <c r="F6" s="4">
        <f t="shared" si="2"/>
        <v>105</v>
      </c>
      <c r="G6" s="4" t="s">
        <v>10</v>
      </c>
      <c r="H6" s="4" t="s">
        <v>13</v>
      </c>
      <c r="I6" s="4">
        <f t="shared" si="3"/>
        <v>6</v>
      </c>
      <c r="K6" t="s">
        <v>11</v>
      </c>
      <c r="L6">
        <f t="shared" si="4"/>
        <v>5</v>
      </c>
    </row>
    <row r="7" spans="1:12" ht="15.75" thickBot="1" x14ac:dyDescent="0.3">
      <c r="A7" s="7" t="e">
        <f t="shared" si="5"/>
        <v>#VALUE!</v>
      </c>
      <c r="B7" s="8" t="str">
        <f t="shared" si="0"/>
        <v>2</v>
      </c>
      <c r="C7" s="8">
        <f t="shared" si="1"/>
        <v>4</v>
      </c>
      <c r="D7" s="8"/>
      <c r="E7" s="9">
        <f>E6+F6/60/24</f>
        <v>43889.822916666664</v>
      </c>
      <c r="F7" s="8">
        <f t="shared" si="2"/>
        <v>105</v>
      </c>
      <c r="G7" s="8" t="s">
        <v>10</v>
      </c>
      <c r="H7" s="8" t="s">
        <v>13</v>
      </c>
      <c r="I7" s="8">
        <f t="shared" si="3"/>
        <v>6</v>
      </c>
      <c r="K7" t="s">
        <v>14</v>
      </c>
      <c r="L7">
        <f t="shared" si="4"/>
        <v>0</v>
      </c>
    </row>
    <row r="8" spans="1:12" x14ac:dyDescent="0.25">
      <c r="A8" s="3" t="e">
        <f>A7+1</f>
        <v>#VALUE!</v>
      </c>
      <c r="B8" s="4" t="str">
        <f t="shared" si="0"/>
        <v>1</v>
      </c>
      <c r="C8" s="4">
        <f t="shared" si="1"/>
        <v>5</v>
      </c>
      <c r="D8" s="4"/>
      <c r="E8" s="5">
        <f>E2</f>
        <v>43889.75</v>
      </c>
      <c r="F8" s="4">
        <f t="shared" si="2"/>
        <v>90</v>
      </c>
      <c r="G8" s="4" t="s">
        <v>16</v>
      </c>
      <c r="H8" s="4" t="s">
        <v>11</v>
      </c>
      <c r="I8" s="4">
        <f t="shared" si="3"/>
        <v>6</v>
      </c>
      <c r="K8" t="s">
        <v>15</v>
      </c>
      <c r="L8">
        <f t="shared" si="4"/>
        <v>0</v>
      </c>
    </row>
    <row r="9" spans="1:12" ht="15.75" thickBot="1" x14ac:dyDescent="0.3">
      <c r="A9" s="7" t="e">
        <f t="shared" si="5"/>
        <v>#VALUE!</v>
      </c>
      <c r="B9" s="8" t="str">
        <f t="shared" si="0"/>
        <v>1</v>
      </c>
      <c r="C9" s="8">
        <f t="shared" si="1"/>
        <v>5</v>
      </c>
      <c r="D9" s="8"/>
      <c r="E9" s="9">
        <f>E8+F8/60/24</f>
        <v>43889.8125</v>
      </c>
      <c r="F9" s="8">
        <f t="shared" si="2"/>
        <v>90</v>
      </c>
      <c r="G9" s="8" t="s">
        <v>16</v>
      </c>
      <c r="H9" s="8" t="s">
        <v>11</v>
      </c>
      <c r="I9" s="8">
        <f t="shared" si="3"/>
        <v>6</v>
      </c>
    </row>
    <row r="10" spans="1:12" x14ac:dyDescent="0.25">
      <c r="A10" s="3" t="e">
        <f>A9+1</f>
        <v>#VALUE!</v>
      </c>
      <c r="B10" s="4" t="str">
        <f t="shared" si="0"/>
        <v>5</v>
      </c>
      <c r="C10" s="4">
        <f t="shared" si="1"/>
        <v>5</v>
      </c>
      <c r="D10" s="4"/>
      <c r="E10" s="5">
        <f>E2</f>
        <v>43889.75</v>
      </c>
      <c r="F10" s="4">
        <f t="shared" si="2"/>
        <v>90</v>
      </c>
      <c r="G10" s="4" t="s">
        <v>17</v>
      </c>
      <c r="H10" s="4" t="s">
        <v>11</v>
      </c>
      <c r="I10" s="4">
        <f t="shared" si="3"/>
        <v>6</v>
      </c>
    </row>
    <row r="11" spans="1:12" ht="15.75" thickBot="1" x14ac:dyDescent="0.3">
      <c r="A11" s="7" t="e">
        <f t="shared" si="5"/>
        <v>#VALUE!</v>
      </c>
      <c r="B11" s="8" t="str">
        <f t="shared" si="0"/>
        <v>5</v>
      </c>
      <c r="C11" s="8">
        <f t="shared" si="1"/>
        <v>4</v>
      </c>
      <c r="D11" s="8"/>
      <c r="E11" s="9">
        <f>E10+F10/60/24</f>
        <v>43889.8125</v>
      </c>
      <c r="F11" s="8">
        <f t="shared" si="2"/>
        <v>105</v>
      </c>
      <c r="G11" s="8" t="s">
        <v>17</v>
      </c>
      <c r="H11" s="8" t="s">
        <v>13</v>
      </c>
      <c r="I11" s="8">
        <f t="shared" si="3"/>
        <v>6</v>
      </c>
    </row>
    <row r="12" spans="1:12" x14ac:dyDescent="0.25">
      <c r="A12" s="3" t="e">
        <f>A11+1</f>
        <v>#VALUE!</v>
      </c>
      <c r="B12" s="4" t="str">
        <f t="shared" si="0"/>
        <v>6</v>
      </c>
      <c r="C12" s="4">
        <f t="shared" si="1"/>
        <v>3</v>
      </c>
      <c r="D12" s="4"/>
      <c r="E12" s="5">
        <f>E2</f>
        <v>43889.75</v>
      </c>
      <c r="F12" s="4">
        <f t="shared" si="2"/>
        <v>105</v>
      </c>
      <c r="G12" s="4" t="s">
        <v>18</v>
      </c>
      <c r="H12" s="4" t="s">
        <v>12</v>
      </c>
      <c r="I12" s="4">
        <f t="shared" si="3"/>
        <v>6</v>
      </c>
    </row>
    <row r="13" spans="1:12" ht="15.75" thickBot="1" x14ac:dyDescent="0.3">
      <c r="A13" s="10" t="e">
        <f t="shared" si="5"/>
        <v>#VALUE!</v>
      </c>
      <c r="B13" s="11" t="str">
        <f t="shared" si="0"/>
        <v>6</v>
      </c>
      <c r="C13" s="11">
        <f t="shared" si="1"/>
        <v>3</v>
      </c>
      <c r="D13" s="11"/>
      <c r="E13" s="12">
        <f>E12+F12/60/24</f>
        <v>43889.822916666664</v>
      </c>
      <c r="F13" s="11">
        <f t="shared" si="2"/>
        <v>105</v>
      </c>
      <c r="G13" s="11" t="s">
        <v>18</v>
      </c>
      <c r="H13" s="11" t="s">
        <v>12</v>
      </c>
      <c r="I13" s="11">
        <f t="shared" si="3"/>
        <v>6</v>
      </c>
    </row>
    <row r="14" spans="1:12" x14ac:dyDescent="0.25">
      <c r="A14" s="3" t="e">
        <f>A13+1</f>
        <v>#VALUE!</v>
      </c>
      <c r="B14" s="4" t="str">
        <f t="shared" si="0"/>
        <v>7</v>
      </c>
      <c r="C14" s="4">
        <f t="shared" si="1"/>
        <v>5</v>
      </c>
      <c r="D14" s="4"/>
      <c r="E14" s="5">
        <f>E2</f>
        <v>43889.75</v>
      </c>
      <c r="F14" s="4">
        <f t="shared" si="2"/>
        <v>90</v>
      </c>
      <c r="G14" s="4" t="s">
        <v>19</v>
      </c>
      <c r="H14" s="4" t="s">
        <v>11</v>
      </c>
      <c r="I14" s="4">
        <f t="shared" si="3"/>
        <v>6</v>
      </c>
    </row>
    <row r="15" spans="1:12" ht="15.75" thickBot="1" x14ac:dyDescent="0.3">
      <c r="A15" s="7" t="e">
        <f t="shared" ref="A15" si="6">A14+1</f>
        <v>#VALUE!</v>
      </c>
      <c r="B15" s="8" t="str">
        <f t="shared" si="0"/>
        <v>7</v>
      </c>
      <c r="C15" s="8">
        <f t="shared" si="1"/>
        <v>4</v>
      </c>
      <c r="D15" s="8"/>
      <c r="E15" s="9">
        <f>E14+F14/60/24</f>
        <v>43889.8125</v>
      </c>
      <c r="F15" s="8">
        <f t="shared" si="2"/>
        <v>105</v>
      </c>
      <c r="G15" s="8" t="s">
        <v>19</v>
      </c>
      <c r="H15" s="8" t="s">
        <v>13</v>
      </c>
      <c r="I15" s="8">
        <f t="shared" si="3"/>
        <v>6</v>
      </c>
    </row>
    <row r="16" spans="1:12" x14ac:dyDescent="0.25">
      <c r="A16" s="3" t="e">
        <f>A15+1</f>
        <v>#VALUE!</v>
      </c>
      <c r="B16" s="4" t="str">
        <f t="shared" si="0"/>
        <v>8</v>
      </c>
      <c r="C16" s="4">
        <f t="shared" si="1"/>
        <v>5</v>
      </c>
      <c r="D16" s="4"/>
      <c r="E16" s="5">
        <f>E2</f>
        <v>43889.75</v>
      </c>
      <c r="F16" s="4">
        <f t="shared" si="2"/>
        <v>90</v>
      </c>
      <c r="G16" s="4" t="s">
        <v>20</v>
      </c>
      <c r="H16" s="4" t="s">
        <v>11</v>
      </c>
      <c r="I16" s="4">
        <f t="shared" si="3"/>
        <v>6</v>
      </c>
    </row>
    <row r="17" spans="1:9" ht="15.75" thickBot="1" x14ac:dyDescent="0.3">
      <c r="A17" s="10" t="e">
        <f t="shared" ref="A17" si="7">A16+1</f>
        <v>#VALUE!</v>
      </c>
      <c r="B17" s="11" t="str">
        <f t="shared" si="0"/>
        <v>8</v>
      </c>
      <c r="C17" s="11">
        <f t="shared" si="1"/>
        <v>4</v>
      </c>
      <c r="D17" s="11"/>
      <c r="E17" s="12">
        <f>E16+F16/60/24</f>
        <v>43889.8125</v>
      </c>
      <c r="F17" s="11">
        <f t="shared" si="2"/>
        <v>105</v>
      </c>
      <c r="G17" s="11" t="s">
        <v>20</v>
      </c>
      <c r="H17" s="11" t="s">
        <v>13</v>
      </c>
      <c r="I17" s="11">
        <f t="shared" si="3"/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C139-F64F-45B3-B63D-5FE547060AAB}">
  <sheetPr codeName="Sheet5"/>
  <dimension ref="A1:L45"/>
  <sheetViews>
    <sheetView workbookViewId="0">
      <selection activeCell="C12" sqref="C12"/>
    </sheetView>
  </sheetViews>
  <sheetFormatPr defaultRowHeight="15" x14ac:dyDescent="0.25"/>
  <cols>
    <col min="5" max="5" width="16.140625" bestFit="1" customWidth="1"/>
    <col min="8" max="8" width="11.140625" bestFit="1" customWidth="1"/>
  </cols>
  <sheetData>
    <row r="1" spans="1:12" ht="15.75" thickBot="1" x14ac:dyDescent="0.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4</v>
      </c>
      <c r="G1" t="s">
        <v>1</v>
      </c>
      <c r="H1" t="s">
        <v>5</v>
      </c>
      <c r="I1" s="2" t="s">
        <v>6</v>
      </c>
    </row>
    <row r="2" spans="1:12" x14ac:dyDescent="0.25">
      <c r="A2" s="3" t="e">
        <f>A1+1</f>
        <v>#VALUE!</v>
      </c>
      <c r="B2" s="4" t="str">
        <f t="shared" ref="B2:B45" si="0">VLOOKUP(G2,field_id,2,FALSE)</f>
        <v>4</v>
      </c>
      <c r="C2" s="4">
        <f t="shared" ref="C2:C45" si="1">VLOOKUP(H2,league_id,2,FALSE)</f>
        <v>1</v>
      </c>
      <c r="D2" s="4"/>
      <c r="E2" s="5">
        <v>43890.375</v>
      </c>
      <c r="F2" s="4">
        <f t="shared" ref="F2:F45" si="2">VLOOKUP(H2,GameDuration,2,FALSE)</f>
        <v>120</v>
      </c>
      <c r="G2" s="4" t="s">
        <v>8</v>
      </c>
      <c r="H2" s="4" t="s">
        <v>8</v>
      </c>
      <c r="I2" s="4">
        <f t="shared" ref="I2:I15" si="3">WEEKDAY(E2)</f>
        <v>7</v>
      </c>
      <c r="K2" t="s">
        <v>8</v>
      </c>
      <c r="L2">
        <f t="shared" ref="L2:L8" si="4">COUNTIF(H$2:H$42,K2)</f>
        <v>5</v>
      </c>
    </row>
    <row r="3" spans="1:12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/>
      <c r="E3" s="9">
        <f>E2+F2/60/24</f>
        <v>43890.458333333336</v>
      </c>
      <c r="F3" s="8">
        <f t="shared" si="2"/>
        <v>120</v>
      </c>
      <c r="G3" s="8" t="s">
        <v>8</v>
      </c>
      <c r="H3" s="8" t="s">
        <v>8</v>
      </c>
      <c r="I3" s="8">
        <f t="shared" si="3"/>
        <v>7</v>
      </c>
      <c r="K3" t="s">
        <v>9</v>
      </c>
      <c r="L3">
        <f t="shared" si="4"/>
        <v>7</v>
      </c>
    </row>
    <row r="4" spans="1:12" x14ac:dyDescent="0.25">
      <c r="A4" s="7" t="e">
        <f t="shared" ref="A4:A45" si="5">A3+1</f>
        <v>#VALUE!</v>
      </c>
      <c r="B4" s="8" t="str">
        <f t="shared" si="0"/>
        <v>4</v>
      </c>
      <c r="C4" s="8">
        <f t="shared" si="1"/>
        <v>1</v>
      </c>
      <c r="D4" s="8"/>
      <c r="E4" s="9">
        <f>E3+F3/60/24</f>
        <v>43890.541666666672</v>
      </c>
      <c r="F4" s="8">
        <f t="shared" si="2"/>
        <v>120</v>
      </c>
      <c r="G4" s="8" t="s">
        <v>8</v>
      </c>
      <c r="H4" s="8" t="s">
        <v>8</v>
      </c>
      <c r="I4" s="8">
        <f t="shared" si="3"/>
        <v>7</v>
      </c>
      <c r="K4" t="s">
        <v>12</v>
      </c>
      <c r="L4">
        <f t="shared" si="4"/>
        <v>6</v>
      </c>
    </row>
    <row r="5" spans="1:12" x14ac:dyDescent="0.25">
      <c r="A5" s="7" t="e">
        <f t="shared" si="5"/>
        <v>#VALUE!</v>
      </c>
      <c r="B5" s="8" t="str">
        <f t="shared" si="0"/>
        <v>4</v>
      </c>
      <c r="C5" s="8">
        <f t="shared" si="1"/>
        <v>1</v>
      </c>
      <c r="D5" s="8"/>
      <c r="E5" s="9">
        <f>E4+F4/60/24</f>
        <v>43890.625000000007</v>
      </c>
      <c r="F5" s="8">
        <f t="shared" si="2"/>
        <v>120</v>
      </c>
      <c r="G5" s="8" t="s">
        <v>8</v>
      </c>
      <c r="H5" s="8" t="s">
        <v>8</v>
      </c>
      <c r="I5" s="8">
        <f t="shared" si="3"/>
        <v>7</v>
      </c>
      <c r="K5" t="s">
        <v>13</v>
      </c>
      <c r="L5">
        <f t="shared" si="4"/>
        <v>10</v>
      </c>
    </row>
    <row r="6" spans="1:12" ht="15.75" thickBot="1" x14ac:dyDescent="0.3">
      <c r="A6" s="10" t="e">
        <f t="shared" si="5"/>
        <v>#VALUE!</v>
      </c>
      <c r="B6" s="11" t="str">
        <f t="shared" si="0"/>
        <v>4</v>
      </c>
      <c r="C6" s="11">
        <f t="shared" si="1"/>
        <v>1</v>
      </c>
      <c r="D6" s="11"/>
      <c r="E6" s="12">
        <f>E5+F5/60/24</f>
        <v>43890.708333333343</v>
      </c>
      <c r="F6" s="11">
        <f t="shared" si="2"/>
        <v>120</v>
      </c>
      <c r="G6" s="11" t="s">
        <v>8</v>
      </c>
      <c r="H6" s="11" t="s">
        <v>8</v>
      </c>
      <c r="I6" s="11">
        <f t="shared" si="3"/>
        <v>7</v>
      </c>
      <c r="K6" t="s">
        <v>11</v>
      </c>
      <c r="L6">
        <f t="shared" si="4"/>
        <v>8</v>
      </c>
    </row>
    <row r="7" spans="1:12" x14ac:dyDescent="0.25">
      <c r="A7" s="3" t="e">
        <f t="shared" si="5"/>
        <v>#VALUE!</v>
      </c>
      <c r="B7" s="4" t="str">
        <f t="shared" si="0"/>
        <v>3</v>
      </c>
      <c r="C7" s="8" t="s">
        <v>50</v>
      </c>
      <c r="D7" s="4"/>
      <c r="E7" s="5">
        <f>E2</f>
        <v>43890.375</v>
      </c>
      <c r="F7" s="4">
        <f t="shared" si="2"/>
        <v>120</v>
      </c>
      <c r="G7" s="4" t="s">
        <v>9</v>
      </c>
      <c r="H7" s="4" t="s">
        <v>9</v>
      </c>
      <c r="I7" s="4">
        <f t="shared" si="3"/>
        <v>7</v>
      </c>
      <c r="K7" t="s">
        <v>14</v>
      </c>
      <c r="L7">
        <f t="shared" si="4"/>
        <v>4</v>
      </c>
    </row>
    <row r="8" spans="1:12" x14ac:dyDescent="0.25">
      <c r="A8" s="7" t="e">
        <f t="shared" si="5"/>
        <v>#VALUE!</v>
      </c>
      <c r="B8" s="8" t="str">
        <f t="shared" si="0"/>
        <v>3</v>
      </c>
      <c r="C8" s="8" t="s">
        <v>50</v>
      </c>
      <c r="D8" s="8"/>
      <c r="E8" s="9">
        <f>E7+F7/60/24</f>
        <v>43890.458333333336</v>
      </c>
      <c r="F8" s="8">
        <f t="shared" si="2"/>
        <v>120</v>
      </c>
      <c r="G8" s="8" t="s">
        <v>9</v>
      </c>
      <c r="H8" s="8" t="s">
        <v>9</v>
      </c>
      <c r="I8" s="8">
        <f t="shared" si="3"/>
        <v>7</v>
      </c>
      <c r="K8" t="s">
        <v>15</v>
      </c>
      <c r="L8">
        <f t="shared" si="4"/>
        <v>1</v>
      </c>
    </row>
    <row r="9" spans="1:12" x14ac:dyDescent="0.25">
      <c r="A9" s="7" t="e">
        <f t="shared" si="5"/>
        <v>#VALUE!</v>
      </c>
      <c r="B9" s="8" t="str">
        <f t="shared" si="0"/>
        <v>3</v>
      </c>
      <c r="C9" s="8" t="s">
        <v>50</v>
      </c>
      <c r="D9" s="8"/>
      <c r="E9" s="9">
        <f t="shared" ref="E9:E11" si="6">E8+F8/60/24</f>
        <v>43890.541666666672</v>
      </c>
      <c r="F9" s="8">
        <f t="shared" si="2"/>
        <v>120</v>
      </c>
      <c r="G9" s="8" t="s">
        <v>9</v>
      </c>
      <c r="H9" s="8" t="s">
        <v>9</v>
      </c>
      <c r="I9" s="8">
        <f t="shared" si="3"/>
        <v>7</v>
      </c>
    </row>
    <row r="10" spans="1:12" x14ac:dyDescent="0.25">
      <c r="A10" s="7" t="e">
        <f t="shared" si="5"/>
        <v>#VALUE!</v>
      </c>
      <c r="B10" s="8" t="str">
        <f t="shared" si="0"/>
        <v>3</v>
      </c>
      <c r="C10" s="8" t="s">
        <v>50</v>
      </c>
      <c r="D10" s="8"/>
      <c r="E10" s="9">
        <f t="shared" si="6"/>
        <v>43890.625000000007</v>
      </c>
      <c r="F10" s="8">
        <f t="shared" si="2"/>
        <v>120</v>
      </c>
      <c r="G10" s="8" t="s">
        <v>9</v>
      </c>
      <c r="H10" s="8" t="s">
        <v>9</v>
      </c>
      <c r="I10" s="8">
        <f t="shared" si="3"/>
        <v>7</v>
      </c>
    </row>
    <row r="11" spans="1:12" ht="15.75" thickBot="1" x14ac:dyDescent="0.3">
      <c r="A11" s="10" t="e">
        <f t="shared" si="5"/>
        <v>#VALUE!</v>
      </c>
      <c r="B11" s="11" t="str">
        <f t="shared" si="0"/>
        <v>3</v>
      </c>
      <c r="C11" s="8" t="s">
        <v>50</v>
      </c>
      <c r="D11" s="11"/>
      <c r="E11" s="9">
        <f t="shared" si="6"/>
        <v>43890.708333333343</v>
      </c>
      <c r="F11" s="11">
        <f t="shared" si="2"/>
        <v>120</v>
      </c>
      <c r="G11" s="11" t="s">
        <v>9</v>
      </c>
      <c r="H11" s="11" t="s">
        <v>9</v>
      </c>
      <c r="I11" s="11">
        <f t="shared" si="3"/>
        <v>7</v>
      </c>
    </row>
    <row r="12" spans="1:12" x14ac:dyDescent="0.25">
      <c r="A12" s="3" t="e">
        <f t="shared" si="5"/>
        <v>#VALUE!</v>
      </c>
      <c r="B12" s="4" t="str">
        <f t="shared" si="0"/>
        <v>2</v>
      </c>
      <c r="C12" s="4">
        <f t="shared" si="1"/>
        <v>6</v>
      </c>
      <c r="D12" s="4"/>
      <c r="E12" s="5">
        <f>E2</f>
        <v>43890.375</v>
      </c>
      <c r="F12" s="4">
        <f t="shared" si="2"/>
        <v>60</v>
      </c>
      <c r="G12" s="4" t="s">
        <v>10</v>
      </c>
      <c r="H12" s="4" t="s">
        <v>14</v>
      </c>
      <c r="I12" s="4">
        <f t="shared" si="3"/>
        <v>7</v>
      </c>
    </row>
    <row r="13" spans="1:12" x14ac:dyDescent="0.25">
      <c r="A13" s="7" t="e">
        <f t="shared" si="5"/>
        <v>#VALUE!</v>
      </c>
      <c r="B13" s="8" t="str">
        <f t="shared" si="0"/>
        <v>2</v>
      </c>
      <c r="C13" s="8">
        <f t="shared" si="1"/>
        <v>4</v>
      </c>
      <c r="D13" s="8"/>
      <c r="E13" s="9">
        <f>E12+F12/60/24</f>
        <v>43890.416666666664</v>
      </c>
      <c r="F13" s="8">
        <f t="shared" si="2"/>
        <v>105</v>
      </c>
      <c r="G13" s="8" t="s">
        <v>10</v>
      </c>
      <c r="H13" s="8" t="s">
        <v>13</v>
      </c>
      <c r="I13" s="8">
        <f t="shared" si="3"/>
        <v>7</v>
      </c>
    </row>
    <row r="14" spans="1:12" x14ac:dyDescent="0.25">
      <c r="A14" s="7" t="e">
        <f t="shared" si="5"/>
        <v>#VALUE!</v>
      </c>
      <c r="B14" s="8" t="str">
        <f t="shared" si="0"/>
        <v>2</v>
      </c>
      <c r="C14" s="8">
        <f t="shared" si="1"/>
        <v>4</v>
      </c>
      <c r="D14" s="8"/>
      <c r="E14" s="9">
        <f t="shared" ref="E14:E17" si="7">E13+F13/60/24</f>
        <v>43890.489583333328</v>
      </c>
      <c r="F14" s="8">
        <f t="shared" si="2"/>
        <v>105</v>
      </c>
      <c r="G14" s="8" t="s">
        <v>10</v>
      </c>
      <c r="H14" s="8" t="s">
        <v>13</v>
      </c>
      <c r="I14" s="8">
        <f t="shared" si="3"/>
        <v>7</v>
      </c>
    </row>
    <row r="15" spans="1:12" x14ac:dyDescent="0.25">
      <c r="A15" s="7" t="e">
        <f t="shared" si="5"/>
        <v>#VALUE!</v>
      </c>
      <c r="B15" s="8" t="str">
        <f t="shared" si="0"/>
        <v>2</v>
      </c>
      <c r="C15" s="8">
        <f t="shared" si="1"/>
        <v>4</v>
      </c>
      <c r="D15" s="8"/>
      <c r="E15" s="9">
        <f t="shared" si="7"/>
        <v>43890.562499999993</v>
      </c>
      <c r="F15" s="8">
        <f t="shared" si="2"/>
        <v>105</v>
      </c>
      <c r="G15" s="8" t="s">
        <v>10</v>
      </c>
      <c r="H15" s="8" t="s">
        <v>13</v>
      </c>
      <c r="I15" s="8">
        <f t="shared" si="3"/>
        <v>7</v>
      </c>
    </row>
    <row r="16" spans="1:12" x14ac:dyDescent="0.25">
      <c r="A16" s="7" t="e">
        <f t="shared" si="5"/>
        <v>#VALUE!</v>
      </c>
      <c r="B16" s="8" t="str">
        <f t="shared" si="0"/>
        <v>2</v>
      </c>
      <c r="C16" s="8">
        <f t="shared" si="1"/>
        <v>4</v>
      </c>
      <c r="D16" s="8"/>
      <c r="E16" s="9">
        <f t="shared" si="7"/>
        <v>43890.635416666657</v>
      </c>
      <c r="F16" s="8">
        <f t="shared" si="2"/>
        <v>105</v>
      </c>
      <c r="G16" s="8" t="s">
        <v>10</v>
      </c>
      <c r="H16" s="8" t="s">
        <v>13</v>
      </c>
      <c r="I16" s="8">
        <f t="shared" ref="I16:I17" si="8">WEEKDAY(E16)</f>
        <v>7</v>
      </c>
    </row>
    <row r="17" spans="1:9" ht="15.75" thickBot="1" x14ac:dyDescent="0.3">
      <c r="A17" s="10" t="e">
        <f t="shared" si="5"/>
        <v>#VALUE!</v>
      </c>
      <c r="B17" s="11" t="str">
        <f t="shared" si="0"/>
        <v>2</v>
      </c>
      <c r="C17" s="11">
        <f t="shared" si="1"/>
        <v>4</v>
      </c>
      <c r="D17" s="11"/>
      <c r="E17" s="12">
        <f t="shared" si="7"/>
        <v>43890.708333333321</v>
      </c>
      <c r="F17" s="11">
        <f t="shared" si="2"/>
        <v>105</v>
      </c>
      <c r="G17" s="11" t="s">
        <v>10</v>
      </c>
      <c r="H17" s="11" t="s">
        <v>13</v>
      </c>
      <c r="I17" s="11">
        <f t="shared" si="8"/>
        <v>7</v>
      </c>
    </row>
    <row r="18" spans="1:9" x14ac:dyDescent="0.25">
      <c r="A18" s="3" t="e">
        <f t="shared" si="5"/>
        <v>#VALUE!</v>
      </c>
      <c r="B18" s="4" t="str">
        <f t="shared" si="0"/>
        <v>1</v>
      </c>
      <c r="C18" s="4">
        <f t="shared" si="1"/>
        <v>7</v>
      </c>
      <c r="D18" s="4"/>
      <c r="E18" s="5">
        <f>E2</f>
        <v>43890.375</v>
      </c>
      <c r="F18" s="4">
        <f t="shared" si="2"/>
        <v>60</v>
      </c>
      <c r="G18" s="4" t="s">
        <v>16</v>
      </c>
      <c r="H18" s="4" t="s">
        <v>15</v>
      </c>
      <c r="I18" s="4">
        <f>WEEKDAY(E18)</f>
        <v>7</v>
      </c>
    </row>
    <row r="19" spans="1:9" x14ac:dyDescent="0.25">
      <c r="A19" s="7" t="e">
        <f t="shared" si="5"/>
        <v>#VALUE!</v>
      </c>
      <c r="B19" s="8" t="str">
        <f t="shared" si="0"/>
        <v>1</v>
      </c>
      <c r="C19" s="8">
        <f t="shared" si="1"/>
        <v>6</v>
      </c>
      <c r="D19" s="8"/>
      <c r="E19" s="9">
        <f>E18+F18/60/24</f>
        <v>43890.416666666664</v>
      </c>
      <c r="F19" s="8">
        <f t="shared" si="2"/>
        <v>60</v>
      </c>
      <c r="G19" s="8" t="s">
        <v>16</v>
      </c>
      <c r="H19" s="8" t="s">
        <v>14</v>
      </c>
      <c r="I19" s="8">
        <f>WEEKDAY(E19)</f>
        <v>7</v>
      </c>
    </row>
    <row r="20" spans="1:9" x14ac:dyDescent="0.25">
      <c r="A20" s="7" t="e">
        <f t="shared" si="5"/>
        <v>#VALUE!</v>
      </c>
      <c r="B20" s="8" t="str">
        <f t="shared" si="0"/>
        <v>1</v>
      </c>
      <c r="C20" s="8">
        <f t="shared" si="1"/>
        <v>5</v>
      </c>
      <c r="D20" s="8"/>
      <c r="E20" s="9">
        <f t="shared" ref="E20:E24" si="9">E19+F19/60/24</f>
        <v>43890.458333333328</v>
      </c>
      <c r="F20" s="8">
        <f t="shared" si="2"/>
        <v>90</v>
      </c>
      <c r="G20" s="8" t="s">
        <v>16</v>
      </c>
      <c r="H20" s="8" t="s">
        <v>11</v>
      </c>
      <c r="I20" s="8">
        <f>WEEKDAY(E20)</f>
        <v>7</v>
      </c>
    </row>
    <row r="21" spans="1:9" x14ac:dyDescent="0.25">
      <c r="A21" s="7" t="e">
        <f t="shared" si="5"/>
        <v>#VALUE!</v>
      </c>
      <c r="B21" s="8" t="str">
        <f t="shared" si="0"/>
        <v>1</v>
      </c>
      <c r="C21" s="8">
        <f t="shared" si="1"/>
        <v>5</v>
      </c>
      <c r="D21" s="8"/>
      <c r="E21" s="9">
        <f t="shared" si="9"/>
        <v>43890.520833333328</v>
      </c>
      <c r="F21" s="8">
        <f t="shared" si="2"/>
        <v>90</v>
      </c>
      <c r="G21" s="8" t="s">
        <v>16</v>
      </c>
      <c r="H21" s="8" t="s">
        <v>11</v>
      </c>
      <c r="I21" s="8">
        <f>WEEKDAY(E21)</f>
        <v>7</v>
      </c>
    </row>
    <row r="22" spans="1:9" x14ac:dyDescent="0.25">
      <c r="A22" s="7" t="e">
        <f t="shared" si="5"/>
        <v>#VALUE!</v>
      </c>
      <c r="B22" s="8" t="str">
        <f t="shared" si="0"/>
        <v>1</v>
      </c>
      <c r="C22" s="8">
        <f t="shared" si="1"/>
        <v>5</v>
      </c>
      <c r="D22" s="8"/>
      <c r="E22" s="9">
        <f t="shared" si="9"/>
        <v>43890.583333333328</v>
      </c>
      <c r="F22" s="8">
        <f t="shared" si="2"/>
        <v>90</v>
      </c>
      <c r="G22" s="8" t="s">
        <v>16</v>
      </c>
      <c r="H22" s="8" t="s">
        <v>11</v>
      </c>
      <c r="I22" s="8">
        <f t="shared" ref="I22:I24" si="10">WEEKDAY(E22)</f>
        <v>7</v>
      </c>
    </row>
    <row r="23" spans="1:9" x14ac:dyDescent="0.25">
      <c r="A23" s="7" t="e">
        <f t="shared" si="5"/>
        <v>#VALUE!</v>
      </c>
      <c r="B23" s="8" t="str">
        <f t="shared" si="0"/>
        <v>1</v>
      </c>
      <c r="C23" s="8">
        <f t="shared" si="1"/>
        <v>5</v>
      </c>
      <c r="D23" s="8"/>
      <c r="E23" s="9">
        <f t="shared" si="9"/>
        <v>43890.645833333328</v>
      </c>
      <c r="F23" s="8">
        <f t="shared" si="2"/>
        <v>90</v>
      </c>
      <c r="G23" s="8" t="s">
        <v>16</v>
      </c>
      <c r="H23" s="8" t="s">
        <v>11</v>
      </c>
      <c r="I23" s="8">
        <f t="shared" si="10"/>
        <v>7</v>
      </c>
    </row>
    <row r="24" spans="1:9" ht="15.75" thickBot="1" x14ac:dyDescent="0.3">
      <c r="A24" s="10" t="e">
        <f t="shared" si="5"/>
        <v>#VALUE!</v>
      </c>
      <c r="B24" s="11" t="str">
        <f t="shared" si="0"/>
        <v>1</v>
      </c>
      <c r="C24" s="11">
        <f t="shared" si="1"/>
        <v>5</v>
      </c>
      <c r="D24" s="11"/>
      <c r="E24" s="9">
        <f t="shared" si="9"/>
        <v>43890.708333333328</v>
      </c>
      <c r="F24" s="11">
        <f t="shared" si="2"/>
        <v>90</v>
      </c>
      <c r="G24" s="11" t="s">
        <v>16</v>
      </c>
      <c r="H24" s="11" t="s">
        <v>11</v>
      </c>
      <c r="I24" s="11">
        <f t="shared" si="10"/>
        <v>7</v>
      </c>
    </row>
    <row r="25" spans="1:9" x14ac:dyDescent="0.25">
      <c r="A25" s="3" t="e">
        <f t="shared" si="5"/>
        <v>#VALUE!</v>
      </c>
      <c r="B25" s="4" t="str">
        <f t="shared" si="0"/>
        <v>5</v>
      </c>
      <c r="C25" s="4">
        <f t="shared" si="1"/>
        <v>6</v>
      </c>
      <c r="D25" s="4"/>
      <c r="E25" s="5">
        <f>E2</f>
        <v>43890.375</v>
      </c>
      <c r="F25" s="4">
        <f t="shared" si="2"/>
        <v>60</v>
      </c>
      <c r="G25" s="4" t="s">
        <v>17</v>
      </c>
      <c r="H25" s="4" t="s">
        <v>14</v>
      </c>
      <c r="I25" s="4">
        <f>WEEKDAY(E25)</f>
        <v>7</v>
      </c>
    </row>
    <row r="26" spans="1:9" x14ac:dyDescent="0.25">
      <c r="A26" s="7" t="e">
        <f t="shared" si="5"/>
        <v>#VALUE!</v>
      </c>
      <c r="B26" s="8" t="str">
        <f t="shared" si="0"/>
        <v>5</v>
      </c>
      <c r="C26" s="8">
        <f t="shared" si="1"/>
        <v>5</v>
      </c>
      <c r="D26" s="8"/>
      <c r="E26" s="9">
        <f>E25+F25/60/24</f>
        <v>43890.416666666664</v>
      </c>
      <c r="F26" s="8">
        <f t="shared" si="2"/>
        <v>90</v>
      </c>
      <c r="G26" s="8" t="s">
        <v>17</v>
      </c>
      <c r="H26" s="8" t="s">
        <v>11</v>
      </c>
      <c r="I26" s="8">
        <f>WEEKDAY(E26)</f>
        <v>7</v>
      </c>
    </row>
    <row r="27" spans="1:9" x14ac:dyDescent="0.25">
      <c r="A27" s="7" t="e">
        <f t="shared" si="5"/>
        <v>#VALUE!</v>
      </c>
      <c r="B27" s="8" t="str">
        <f t="shared" si="0"/>
        <v>5</v>
      </c>
      <c r="C27" s="8">
        <f t="shared" si="1"/>
        <v>4</v>
      </c>
      <c r="D27" s="8"/>
      <c r="E27" s="9">
        <f t="shared" ref="E27:E30" si="11">E26+F26/60/24</f>
        <v>43890.479166666664</v>
      </c>
      <c r="F27" s="8">
        <f t="shared" si="2"/>
        <v>105</v>
      </c>
      <c r="G27" s="8" t="s">
        <v>17</v>
      </c>
      <c r="H27" s="8" t="s">
        <v>13</v>
      </c>
      <c r="I27" s="8">
        <f>WEEKDAY(E27)</f>
        <v>7</v>
      </c>
    </row>
    <row r="28" spans="1:9" x14ac:dyDescent="0.25">
      <c r="A28" s="7" t="e">
        <f t="shared" si="5"/>
        <v>#VALUE!</v>
      </c>
      <c r="B28" s="8" t="str">
        <f t="shared" si="0"/>
        <v>5</v>
      </c>
      <c r="C28" s="8">
        <f t="shared" si="1"/>
        <v>4</v>
      </c>
      <c r="D28" s="8"/>
      <c r="E28" s="9">
        <f t="shared" si="11"/>
        <v>43890.552083333328</v>
      </c>
      <c r="F28" s="8">
        <f t="shared" si="2"/>
        <v>105</v>
      </c>
      <c r="G28" s="8" t="s">
        <v>17</v>
      </c>
      <c r="H28" s="8" t="s">
        <v>13</v>
      </c>
      <c r="I28" s="8">
        <f>WEEKDAY(E28)</f>
        <v>7</v>
      </c>
    </row>
    <row r="29" spans="1:9" x14ac:dyDescent="0.25">
      <c r="A29" s="7" t="e">
        <f t="shared" si="5"/>
        <v>#VALUE!</v>
      </c>
      <c r="B29" s="8" t="str">
        <f t="shared" si="0"/>
        <v>5</v>
      </c>
      <c r="C29" s="8">
        <f t="shared" si="1"/>
        <v>4</v>
      </c>
      <c r="D29" s="8"/>
      <c r="E29" s="9">
        <f t="shared" si="11"/>
        <v>43890.624999999993</v>
      </c>
      <c r="F29" s="8">
        <f t="shared" si="2"/>
        <v>105</v>
      </c>
      <c r="G29" s="8" t="s">
        <v>17</v>
      </c>
      <c r="H29" s="8" t="s">
        <v>13</v>
      </c>
      <c r="I29" s="8">
        <f t="shared" ref="I29:I30" si="12">WEEKDAY(E29)</f>
        <v>7</v>
      </c>
    </row>
    <row r="30" spans="1:9" ht="15.75" thickBot="1" x14ac:dyDescent="0.3">
      <c r="A30" s="10" t="e">
        <f t="shared" si="5"/>
        <v>#VALUE!</v>
      </c>
      <c r="B30" s="11" t="str">
        <f t="shared" si="0"/>
        <v>5</v>
      </c>
      <c r="C30" s="11">
        <f t="shared" si="1"/>
        <v>4</v>
      </c>
      <c r="D30" s="11"/>
      <c r="E30" s="12">
        <f t="shared" si="11"/>
        <v>43890.697916666657</v>
      </c>
      <c r="F30" s="11">
        <f t="shared" si="2"/>
        <v>105</v>
      </c>
      <c r="G30" s="11" t="s">
        <v>17</v>
      </c>
      <c r="H30" s="11" t="s">
        <v>13</v>
      </c>
      <c r="I30" s="11">
        <f t="shared" si="12"/>
        <v>7</v>
      </c>
    </row>
    <row r="31" spans="1:9" x14ac:dyDescent="0.25">
      <c r="A31" s="3" t="e">
        <f t="shared" si="5"/>
        <v>#VALUE!</v>
      </c>
      <c r="B31" s="4" t="str">
        <f t="shared" si="0"/>
        <v>6</v>
      </c>
      <c r="C31" s="4">
        <f t="shared" si="1"/>
        <v>4</v>
      </c>
      <c r="D31" s="4"/>
      <c r="E31" s="5">
        <f>E2</f>
        <v>43890.375</v>
      </c>
      <c r="F31" s="4">
        <f t="shared" si="2"/>
        <v>105</v>
      </c>
      <c r="G31" s="4" t="s">
        <v>18</v>
      </c>
      <c r="H31" s="4" t="s">
        <v>13</v>
      </c>
      <c r="I31" s="4">
        <f>WEEKDAY(E31)</f>
        <v>7</v>
      </c>
    </row>
    <row r="32" spans="1:9" x14ac:dyDescent="0.25">
      <c r="A32" s="7" t="e">
        <f t="shared" si="5"/>
        <v>#VALUE!</v>
      </c>
      <c r="B32" s="8" t="str">
        <f t="shared" si="0"/>
        <v>6</v>
      </c>
      <c r="C32" s="8" t="s">
        <v>50</v>
      </c>
      <c r="D32" s="8"/>
      <c r="E32" s="9">
        <f>E31+F31/60/24</f>
        <v>43890.447916666664</v>
      </c>
      <c r="F32" s="8">
        <f t="shared" si="2"/>
        <v>105</v>
      </c>
      <c r="G32" s="8" t="s">
        <v>18</v>
      </c>
      <c r="H32" s="8" t="s">
        <v>12</v>
      </c>
      <c r="I32" s="8">
        <f>WEEKDAY(E32)</f>
        <v>7</v>
      </c>
    </row>
    <row r="33" spans="1:9" x14ac:dyDescent="0.25">
      <c r="A33" s="7" t="e">
        <f t="shared" si="5"/>
        <v>#VALUE!</v>
      </c>
      <c r="B33" s="8" t="str">
        <f t="shared" si="0"/>
        <v>6</v>
      </c>
      <c r="C33" s="8" t="s">
        <v>50</v>
      </c>
      <c r="D33" s="8"/>
      <c r="E33" s="9">
        <f t="shared" ref="E33:E35" si="13">E32+F32/60/24</f>
        <v>43890.520833333328</v>
      </c>
      <c r="F33" s="8">
        <f t="shared" si="2"/>
        <v>105</v>
      </c>
      <c r="G33" s="8" t="s">
        <v>18</v>
      </c>
      <c r="H33" s="8" t="s">
        <v>12</v>
      </c>
      <c r="I33" s="8">
        <f>WEEKDAY(E33)</f>
        <v>7</v>
      </c>
    </row>
    <row r="34" spans="1:9" x14ac:dyDescent="0.25">
      <c r="A34" s="7" t="e">
        <f t="shared" si="5"/>
        <v>#VALUE!</v>
      </c>
      <c r="B34" s="8" t="str">
        <f t="shared" si="0"/>
        <v>6</v>
      </c>
      <c r="C34" s="8" t="s">
        <v>50</v>
      </c>
      <c r="D34" s="8"/>
      <c r="E34" s="9">
        <f t="shared" si="13"/>
        <v>43890.593749999993</v>
      </c>
      <c r="F34" s="8">
        <f t="shared" si="2"/>
        <v>105</v>
      </c>
      <c r="G34" s="8" t="s">
        <v>18</v>
      </c>
      <c r="H34" s="8" t="s">
        <v>12</v>
      </c>
      <c r="I34" s="8">
        <f>WEEKDAY(E34)</f>
        <v>7</v>
      </c>
    </row>
    <row r="35" spans="1:9" ht="15.75" thickBot="1" x14ac:dyDescent="0.3">
      <c r="A35" s="10" t="e">
        <f t="shared" si="5"/>
        <v>#VALUE!</v>
      </c>
      <c r="B35" s="11" t="str">
        <f t="shared" si="0"/>
        <v>6</v>
      </c>
      <c r="C35" s="8" t="s">
        <v>50</v>
      </c>
      <c r="D35" s="11"/>
      <c r="E35" s="12">
        <f t="shared" si="13"/>
        <v>43890.666666666657</v>
      </c>
      <c r="F35" s="11">
        <f t="shared" si="2"/>
        <v>105</v>
      </c>
      <c r="G35" s="11" t="s">
        <v>18</v>
      </c>
      <c r="H35" s="11" t="s">
        <v>12</v>
      </c>
      <c r="I35" s="11">
        <f t="shared" ref="I35" si="14">WEEKDAY(E35)</f>
        <v>7</v>
      </c>
    </row>
    <row r="36" spans="1:9" x14ac:dyDescent="0.25">
      <c r="A36" s="3" t="e">
        <f t="shared" si="5"/>
        <v>#VALUE!</v>
      </c>
      <c r="B36" s="4" t="str">
        <f t="shared" si="0"/>
        <v>7</v>
      </c>
      <c r="C36" s="4">
        <f t="shared" si="1"/>
        <v>6</v>
      </c>
      <c r="D36" s="4"/>
      <c r="E36" s="5">
        <f>E2</f>
        <v>43890.375</v>
      </c>
      <c r="F36" s="4">
        <f t="shared" si="2"/>
        <v>60</v>
      </c>
      <c r="G36" s="4" t="s">
        <v>19</v>
      </c>
      <c r="H36" s="4" t="s">
        <v>14</v>
      </c>
      <c r="I36" s="4">
        <f>WEEKDAY(E36)</f>
        <v>7</v>
      </c>
    </row>
    <row r="37" spans="1:9" x14ac:dyDescent="0.25">
      <c r="A37" s="7" t="e">
        <f t="shared" si="5"/>
        <v>#VALUE!</v>
      </c>
      <c r="B37" s="8" t="str">
        <f t="shared" si="0"/>
        <v>7</v>
      </c>
      <c r="C37" s="8">
        <f t="shared" si="1"/>
        <v>3</v>
      </c>
      <c r="D37" s="8"/>
      <c r="E37" s="9">
        <f>E36+F36/60/24</f>
        <v>43890.416666666664</v>
      </c>
      <c r="F37" s="8">
        <f t="shared" si="2"/>
        <v>105</v>
      </c>
      <c r="G37" s="8" t="s">
        <v>19</v>
      </c>
      <c r="H37" s="8" t="s">
        <v>12</v>
      </c>
      <c r="I37" s="8">
        <f>WEEKDAY(E37)</f>
        <v>7</v>
      </c>
    </row>
    <row r="38" spans="1:9" x14ac:dyDescent="0.25">
      <c r="A38" s="7" t="e">
        <f t="shared" si="5"/>
        <v>#VALUE!</v>
      </c>
      <c r="B38" s="8" t="str">
        <f t="shared" si="0"/>
        <v>7</v>
      </c>
      <c r="C38" s="8">
        <f t="shared" si="1"/>
        <v>3</v>
      </c>
      <c r="D38" s="8"/>
      <c r="E38" s="9">
        <f t="shared" ref="E38:E40" si="15">E37+F37/60/24</f>
        <v>43890.489583333328</v>
      </c>
      <c r="F38" s="8">
        <f t="shared" si="2"/>
        <v>105</v>
      </c>
      <c r="G38" s="8" t="s">
        <v>19</v>
      </c>
      <c r="H38" s="8" t="s">
        <v>12</v>
      </c>
      <c r="I38" s="8">
        <f>WEEKDAY(E38)</f>
        <v>7</v>
      </c>
    </row>
    <row r="39" spans="1:9" x14ac:dyDescent="0.25">
      <c r="A39" s="7" t="e">
        <f t="shared" si="5"/>
        <v>#VALUE!</v>
      </c>
      <c r="B39" s="8" t="str">
        <f t="shared" si="0"/>
        <v>7</v>
      </c>
      <c r="C39" s="8" t="s">
        <v>50</v>
      </c>
      <c r="D39" s="8"/>
      <c r="E39" s="9">
        <f t="shared" si="15"/>
        <v>43890.562499999993</v>
      </c>
      <c r="F39" s="8">
        <f t="shared" si="2"/>
        <v>120</v>
      </c>
      <c r="G39" s="8" t="s">
        <v>19</v>
      </c>
      <c r="H39" s="8" t="s">
        <v>9</v>
      </c>
      <c r="I39" s="8">
        <f>WEEKDAY(E39)</f>
        <v>7</v>
      </c>
    </row>
    <row r="40" spans="1:9" ht="15.75" thickBot="1" x14ac:dyDescent="0.3">
      <c r="A40" s="10" t="e">
        <f t="shared" si="5"/>
        <v>#VALUE!</v>
      </c>
      <c r="B40" s="11" t="str">
        <f t="shared" si="0"/>
        <v>7</v>
      </c>
      <c r="C40" s="8" t="s">
        <v>50</v>
      </c>
      <c r="D40" s="11"/>
      <c r="E40" s="12">
        <f t="shared" si="15"/>
        <v>43890.645833333328</v>
      </c>
      <c r="F40" s="11">
        <f t="shared" si="2"/>
        <v>120</v>
      </c>
      <c r="G40" s="11" t="s">
        <v>19</v>
      </c>
      <c r="H40" s="11" t="s">
        <v>9</v>
      </c>
      <c r="I40" s="11">
        <f t="shared" ref="I40" si="16">WEEKDAY(E40)</f>
        <v>7</v>
      </c>
    </row>
    <row r="41" spans="1:9" x14ac:dyDescent="0.25">
      <c r="A41" s="3" t="e">
        <f t="shared" si="5"/>
        <v>#VALUE!</v>
      </c>
      <c r="B41" s="4" t="str">
        <f t="shared" si="0"/>
        <v>8</v>
      </c>
      <c r="C41" s="4">
        <f t="shared" si="1"/>
        <v>5</v>
      </c>
      <c r="D41" s="4"/>
      <c r="E41" s="5">
        <f>E2</f>
        <v>43890.375</v>
      </c>
      <c r="F41" s="4">
        <f t="shared" si="2"/>
        <v>90</v>
      </c>
      <c r="G41" s="4" t="s">
        <v>20</v>
      </c>
      <c r="H41" s="4" t="s">
        <v>11</v>
      </c>
      <c r="I41" s="4">
        <f>WEEKDAY(E41)</f>
        <v>7</v>
      </c>
    </row>
    <row r="42" spans="1:9" x14ac:dyDescent="0.25">
      <c r="A42" s="7" t="e">
        <f t="shared" si="5"/>
        <v>#VALUE!</v>
      </c>
      <c r="B42" s="8" t="str">
        <f t="shared" si="0"/>
        <v>8</v>
      </c>
      <c r="C42" s="8">
        <f t="shared" si="1"/>
        <v>5</v>
      </c>
      <c r="D42" s="8"/>
      <c r="E42" s="9">
        <f>E41+F41/60/24</f>
        <v>43890.4375</v>
      </c>
      <c r="F42" s="8">
        <f t="shared" si="2"/>
        <v>90</v>
      </c>
      <c r="G42" s="8" t="s">
        <v>20</v>
      </c>
      <c r="H42" s="8" t="s">
        <v>11</v>
      </c>
      <c r="I42" s="8">
        <f>WEEKDAY(E42)</f>
        <v>7</v>
      </c>
    </row>
    <row r="43" spans="1:9" x14ac:dyDescent="0.25">
      <c r="A43" s="7" t="e">
        <f t="shared" si="5"/>
        <v>#VALUE!</v>
      </c>
      <c r="B43" s="8" t="str">
        <f t="shared" si="0"/>
        <v>8</v>
      </c>
      <c r="C43" s="8">
        <f t="shared" si="1"/>
        <v>3</v>
      </c>
      <c r="D43" s="8"/>
      <c r="E43" s="9">
        <f t="shared" ref="E43:E45" si="17">E42+F42/60/24</f>
        <v>43890.5</v>
      </c>
      <c r="F43" s="8">
        <f t="shared" si="2"/>
        <v>105</v>
      </c>
      <c r="G43" s="8" t="s">
        <v>20</v>
      </c>
      <c r="H43" s="8" t="s">
        <v>12</v>
      </c>
      <c r="I43" s="8">
        <f>WEEKDAY(E43)</f>
        <v>7</v>
      </c>
    </row>
    <row r="44" spans="1:9" x14ac:dyDescent="0.25">
      <c r="A44" s="7" t="e">
        <f t="shared" si="5"/>
        <v>#VALUE!</v>
      </c>
      <c r="B44" s="8" t="str">
        <f t="shared" si="0"/>
        <v>8</v>
      </c>
      <c r="C44" s="8" t="s">
        <v>50</v>
      </c>
      <c r="D44" s="8"/>
      <c r="E44" s="9">
        <f t="shared" si="17"/>
        <v>43890.572916666664</v>
      </c>
      <c r="F44" s="8">
        <f t="shared" si="2"/>
        <v>120</v>
      </c>
      <c r="G44" s="8" t="s">
        <v>20</v>
      </c>
      <c r="H44" s="8" t="s">
        <v>9</v>
      </c>
      <c r="I44" s="8">
        <f>WEEKDAY(E44)</f>
        <v>7</v>
      </c>
    </row>
    <row r="45" spans="1:9" ht="15.75" thickBot="1" x14ac:dyDescent="0.3">
      <c r="A45" s="10" t="e">
        <f t="shared" si="5"/>
        <v>#VALUE!</v>
      </c>
      <c r="B45" s="11" t="str">
        <f t="shared" si="0"/>
        <v>8</v>
      </c>
      <c r="C45" s="8" t="s">
        <v>50</v>
      </c>
      <c r="D45" s="11"/>
      <c r="E45" s="12">
        <f t="shared" si="17"/>
        <v>43890.65625</v>
      </c>
      <c r="F45" s="11">
        <f t="shared" si="2"/>
        <v>120</v>
      </c>
      <c r="G45" s="11" t="s">
        <v>20</v>
      </c>
      <c r="H45" s="11" t="s">
        <v>9</v>
      </c>
      <c r="I45" s="11">
        <f t="shared" ref="I45" si="18">WEEKDAY(E45)</f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B7F6-ADB4-491D-9EE2-6BA89995B5C7}">
  <sheetPr codeName="Sheet6"/>
  <dimension ref="A1:L44"/>
  <sheetViews>
    <sheetView workbookViewId="0">
      <selection activeCell="B1" sqref="B1:B1048576"/>
    </sheetView>
  </sheetViews>
  <sheetFormatPr defaultRowHeight="15" x14ac:dyDescent="0.25"/>
  <cols>
    <col min="5" max="5" width="16.140625" bestFit="1" customWidth="1"/>
    <col min="8" max="8" width="11.140625" bestFit="1" customWidth="1"/>
  </cols>
  <sheetData>
    <row r="1" spans="1:12" ht="15.75" thickBot="1" x14ac:dyDescent="0.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4</v>
      </c>
      <c r="G1" t="s">
        <v>1</v>
      </c>
      <c r="H1" t="s">
        <v>5</v>
      </c>
      <c r="I1" s="2" t="s">
        <v>6</v>
      </c>
      <c r="K1" s="2"/>
    </row>
    <row r="2" spans="1:12" x14ac:dyDescent="0.25">
      <c r="A2" s="3" t="e">
        <f>A1+1</f>
        <v>#VALUE!</v>
      </c>
      <c r="B2" s="4" t="str">
        <f t="shared" ref="B2:B44" si="0">VLOOKUP(G2,field_id,2,FALSE)</f>
        <v>4</v>
      </c>
      <c r="C2" s="4">
        <f t="shared" ref="C2:C44" si="1">VLOOKUP(H2,league_id,2,FALSE)</f>
        <v>1</v>
      </c>
      <c r="D2" s="4"/>
      <c r="E2" s="5">
        <v>43890.375</v>
      </c>
      <c r="F2" s="4">
        <f t="shared" ref="F2:F44" si="2">VLOOKUP(H2,GameDuration,2,FALSE)</f>
        <v>120</v>
      </c>
      <c r="G2" s="4" t="s">
        <v>8</v>
      </c>
      <c r="H2" s="4" t="s">
        <v>8</v>
      </c>
      <c r="I2" s="4">
        <f t="shared" ref="I2:I15" si="3">WEEKDAY(E2)</f>
        <v>7</v>
      </c>
      <c r="K2" t="s">
        <v>8</v>
      </c>
      <c r="L2">
        <f t="shared" ref="L2:L8" si="4">COUNTIF(H$2:H$42,K2)</f>
        <v>5</v>
      </c>
    </row>
    <row r="3" spans="1:12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/>
      <c r="E3" s="9">
        <f>E2+F2/60/24</f>
        <v>43890.458333333336</v>
      </c>
      <c r="F3" s="8">
        <f t="shared" si="2"/>
        <v>120</v>
      </c>
      <c r="G3" s="8" t="s">
        <v>8</v>
      </c>
      <c r="H3" s="8" t="s">
        <v>8</v>
      </c>
      <c r="I3" s="8">
        <f t="shared" si="3"/>
        <v>7</v>
      </c>
      <c r="K3" t="s">
        <v>9</v>
      </c>
      <c r="L3">
        <f t="shared" si="4"/>
        <v>8</v>
      </c>
    </row>
    <row r="4" spans="1:12" x14ac:dyDescent="0.25">
      <c r="A4" s="7" t="e">
        <f t="shared" ref="A4:A42" si="5">A3+1</f>
        <v>#VALUE!</v>
      </c>
      <c r="B4" s="8" t="str">
        <f t="shared" si="0"/>
        <v>4</v>
      </c>
      <c r="C4" s="8">
        <f t="shared" si="1"/>
        <v>1</v>
      </c>
      <c r="D4" s="8"/>
      <c r="E4" s="9">
        <f>E3+F3/60/24</f>
        <v>43890.541666666672</v>
      </c>
      <c r="F4" s="8">
        <f t="shared" si="2"/>
        <v>120</v>
      </c>
      <c r="G4" s="8" t="s">
        <v>8</v>
      </c>
      <c r="H4" s="8" t="s">
        <v>8</v>
      </c>
      <c r="I4" s="8">
        <f t="shared" si="3"/>
        <v>7</v>
      </c>
      <c r="K4" t="s">
        <v>12</v>
      </c>
      <c r="L4">
        <f t="shared" si="4"/>
        <v>6</v>
      </c>
    </row>
    <row r="5" spans="1:12" x14ac:dyDescent="0.25">
      <c r="A5" s="7" t="e">
        <f t="shared" si="5"/>
        <v>#VALUE!</v>
      </c>
      <c r="B5" s="8" t="str">
        <f t="shared" si="0"/>
        <v>4</v>
      </c>
      <c r="C5" s="8">
        <f t="shared" si="1"/>
        <v>1</v>
      </c>
      <c r="D5" s="8"/>
      <c r="E5" s="9">
        <f>E4+F4/60/24</f>
        <v>43890.625000000007</v>
      </c>
      <c r="F5" s="8">
        <f t="shared" si="2"/>
        <v>120</v>
      </c>
      <c r="G5" s="8" t="s">
        <v>8</v>
      </c>
      <c r="H5" s="8" t="s">
        <v>8</v>
      </c>
      <c r="I5" s="8">
        <f t="shared" si="3"/>
        <v>7</v>
      </c>
      <c r="K5" t="s">
        <v>13</v>
      </c>
      <c r="L5">
        <f t="shared" si="4"/>
        <v>10</v>
      </c>
    </row>
    <row r="6" spans="1:12" ht="15.75" thickBot="1" x14ac:dyDescent="0.3">
      <c r="A6" s="10" t="e">
        <f t="shared" si="5"/>
        <v>#VALUE!</v>
      </c>
      <c r="B6" s="11" t="str">
        <f t="shared" si="0"/>
        <v>4</v>
      </c>
      <c r="C6" s="11">
        <f t="shared" si="1"/>
        <v>1</v>
      </c>
      <c r="D6" s="11"/>
      <c r="E6" s="12">
        <f>E5+F5/60/24</f>
        <v>43890.708333333343</v>
      </c>
      <c r="F6" s="11">
        <f t="shared" si="2"/>
        <v>120</v>
      </c>
      <c r="G6" s="11" t="s">
        <v>8</v>
      </c>
      <c r="H6" s="11" t="s">
        <v>8</v>
      </c>
      <c r="I6" s="11">
        <f t="shared" si="3"/>
        <v>7</v>
      </c>
      <c r="K6" t="s">
        <v>11</v>
      </c>
      <c r="L6">
        <f t="shared" si="4"/>
        <v>8</v>
      </c>
    </row>
    <row r="7" spans="1:12" x14ac:dyDescent="0.25">
      <c r="A7" s="3" t="e">
        <f t="shared" si="5"/>
        <v>#VALUE!</v>
      </c>
      <c r="B7" s="4" t="str">
        <f t="shared" si="0"/>
        <v>3</v>
      </c>
      <c r="C7" s="4">
        <f t="shared" si="1"/>
        <v>2</v>
      </c>
      <c r="D7" s="4"/>
      <c r="E7" s="5">
        <f>E2</f>
        <v>43890.375</v>
      </c>
      <c r="F7" s="4">
        <f t="shared" si="2"/>
        <v>120</v>
      </c>
      <c r="G7" s="4" t="s">
        <v>9</v>
      </c>
      <c r="H7" s="4" t="s">
        <v>9</v>
      </c>
      <c r="I7" s="4">
        <f t="shared" si="3"/>
        <v>7</v>
      </c>
      <c r="K7" t="s">
        <v>14</v>
      </c>
      <c r="L7">
        <f t="shared" si="4"/>
        <v>4</v>
      </c>
    </row>
    <row r="8" spans="1:12" x14ac:dyDescent="0.25">
      <c r="A8" s="7" t="e">
        <f t="shared" si="5"/>
        <v>#VALUE!</v>
      </c>
      <c r="B8" s="8" t="str">
        <f t="shared" si="0"/>
        <v>3</v>
      </c>
      <c r="C8" s="8">
        <f t="shared" si="1"/>
        <v>2</v>
      </c>
      <c r="D8" s="8"/>
      <c r="E8" s="9">
        <f>E7+F7/60/24</f>
        <v>43890.458333333336</v>
      </c>
      <c r="F8" s="8">
        <f t="shared" si="2"/>
        <v>120</v>
      </c>
      <c r="G8" s="8" t="s">
        <v>9</v>
      </c>
      <c r="H8" s="8" t="s">
        <v>9</v>
      </c>
      <c r="I8" s="8">
        <f t="shared" si="3"/>
        <v>7</v>
      </c>
      <c r="K8" t="s">
        <v>15</v>
      </c>
      <c r="L8">
        <f t="shared" si="4"/>
        <v>0</v>
      </c>
    </row>
    <row r="9" spans="1:12" x14ac:dyDescent="0.25">
      <c r="A9" s="7" t="e">
        <f t="shared" si="5"/>
        <v>#VALUE!</v>
      </c>
      <c r="B9" s="8" t="str">
        <f t="shared" si="0"/>
        <v>3</v>
      </c>
      <c r="C9" s="8">
        <f t="shared" si="1"/>
        <v>2</v>
      </c>
      <c r="D9" s="8"/>
      <c r="E9" s="9">
        <f t="shared" ref="E9:E11" si="6">E8+F8/60/24</f>
        <v>43890.541666666672</v>
      </c>
      <c r="F9" s="8">
        <f t="shared" si="2"/>
        <v>120</v>
      </c>
      <c r="G9" s="8" t="s">
        <v>9</v>
      </c>
      <c r="H9" s="8" t="s">
        <v>9</v>
      </c>
      <c r="I9" s="8">
        <f t="shared" si="3"/>
        <v>7</v>
      </c>
    </row>
    <row r="10" spans="1:12" x14ac:dyDescent="0.25">
      <c r="A10" s="7" t="e">
        <f t="shared" si="5"/>
        <v>#VALUE!</v>
      </c>
      <c r="B10" s="8" t="str">
        <f t="shared" si="0"/>
        <v>3</v>
      </c>
      <c r="C10" s="8">
        <f t="shared" si="1"/>
        <v>2</v>
      </c>
      <c r="D10" s="8"/>
      <c r="E10" s="9">
        <f t="shared" si="6"/>
        <v>43890.625000000007</v>
      </c>
      <c r="F10" s="8">
        <f t="shared" si="2"/>
        <v>120</v>
      </c>
      <c r="G10" s="8" t="s">
        <v>9</v>
      </c>
      <c r="H10" s="8" t="s">
        <v>9</v>
      </c>
      <c r="I10" s="8">
        <f t="shared" si="3"/>
        <v>7</v>
      </c>
    </row>
    <row r="11" spans="1:12" ht="15.75" thickBot="1" x14ac:dyDescent="0.3">
      <c r="A11" s="10" t="e">
        <f t="shared" si="5"/>
        <v>#VALUE!</v>
      </c>
      <c r="B11" s="11" t="str">
        <f t="shared" si="0"/>
        <v>3</v>
      </c>
      <c r="C11" s="11">
        <f t="shared" si="1"/>
        <v>2</v>
      </c>
      <c r="D11" s="11"/>
      <c r="E11" s="9">
        <f t="shared" si="6"/>
        <v>43890.708333333343</v>
      </c>
      <c r="F11" s="11">
        <f t="shared" si="2"/>
        <v>120</v>
      </c>
      <c r="G11" s="11" t="s">
        <v>9</v>
      </c>
      <c r="H11" s="11" t="s">
        <v>9</v>
      </c>
      <c r="I11" s="11">
        <f t="shared" si="3"/>
        <v>7</v>
      </c>
    </row>
    <row r="12" spans="1:12" x14ac:dyDescent="0.25">
      <c r="A12" s="3" t="e">
        <f t="shared" si="5"/>
        <v>#VALUE!</v>
      </c>
      <c r="B12" s="4" t="str">
        <f t="shared" si="0"/>
        <v>2</v>
      </c>
      <c r="C12" s="4">
        <f t="shared" si="1"/>
        <v>6</v>
      </c>
      <c r="D12" s="4"/>
      <c r="E12" s="5">
        <f>E2</f>
        <v>43890.375</v>
      </c>
      <c r="F12" s="4">
        <f t="shared" si="2"/>
        <v>60</v>
      </c>
      <c r="G12" s="4" t="s">
        <v>10</v>
      </c>
      <c r="H12" s="4" t="s">
        <v>14</v>
      </c>
      <c r="I12" s="4">
        <f t="shared" si="3"/>
        <v>7</v>
      </c>
    </row>
    <row r="13" spans="1:12" x14ac:dyDescent="0.25">
      <c r="A13" s="7" t="e">
        <f t="shared" si="5"/>
        <v>#VALUE!</v>
      </c>
      <c r="B13" s="8" t="str">
        <f t="shared" si="0"/>
        <v>2</v>
      </c>
      <c r="C13" s="8">
        <f t="shared" si="1"/>
        <v>4</v>
      </c>
      <c r="D13" s="8"/>
      <c r="E13" s="9">
        <f>E12+F12/60/24</f>
        <v>43890.416666666664</v>
      </c>
      <c r="F13" s="8">
        <f t="shared" si="2"/>
        <v>105</v>
      </c>
      <c r="G13" s="8" t="s">
        <v>10</v>
      </c>
      <c r="H13" s="8" t="s">
        <v>13</v>
      </c>
      <c r="I13" s="8">
        <f t="shared" si="3"/>
        <v>7</v>
      </c>
    </row>
    <row r="14" spans="1:12" x14ac:dyDescent="0.25">
      <c r="A14" s="7" t="e">
        <f t="shared" si="5"/>
        <v>#VALUE!</v>
      </c>
      <c r="B14" s="8" t="str">
        <f t="shared" si="0"/>
        <v>2</v>
      </c>
      <c r="C14" s="8">
        <f t="shared" si="1"/>
        <v>4</v>
      </c>
      <c r="D14" s="8"/>
      <c r="E14" s="9">
        <f t="shared" ref="E14:E17" si="7">E13+F13/60/24</f>
        <v>43890.489583333328</v>
      </c>
      <c r="F14" s="8">
        <f t="shared" si="2"/>
        <v>105</v>
      </c>
      <c r="G14" s="8" t="s">
        <v>10</v>
      </c>
      <c r="H14" s="8" t="s">
        <v>13</v>
      </c>
      <c r="I14" s="8">
        <f t="shared" si="3"/>
        <v>7</v>
      </c>
    </row>
    <row r="15" spans="1:12" x14ac:dyDescent="0.25">
      <c r="A15" s="7" t="e">
        <f t="shared" si="5"/>
        <v>#VALUE!</v>
      </c>
      <c r="B15" s="8" t="str">
        <f t="shared" si="0"/>
        <v>2</v>
      </c>
      <c r="C15" s="8">
        <f t="shared" si="1"/>
        <v>4</v>
      </c>
      <c r="D15" s="8"/>
      <c r="E15" s="9">
        <f t="shared" si="7"/>
        <v>43890.562499999993</v>
      </c>
      <c r="F15" s="8">
        <f t="shared" si="2"/>
        <v>105</v>
      </c>
      <c r="G15" s="8" t="s">
        <v>10</v>
      </c>
      <c r="H15" s="8" t="s">
        <v>13</v>
      </c>
      <c r="I15" s="8">
        <f t="shared" si="3"/>
        <v>7</v>
      </c>
    </row>
    <row r="16" spans="1:12" x14ac:dyDescent="0.25">
      <c r="A16" s="7" t="e">
        <f t="shared" si="5"/>
        <v>#VALUE!</v>
      </c>
      <c r="B16" s="8" t="str">
        <f t="shared" si="0"/>
        <v>2</v>
      </c>
      <c r="C16" s="8">
        <f t="shared" si="1"/>
        <v>4</v>
      </c>
      <c r="D16" s="8"/>
      <c r="E16" s="9">
        <f t="shared" si="7"/>
        <v>43890.635416666657</v>
      </c>
      <c r="F16" s="8">
        <f t="shared" si="2"/>
        <v>105</v>
      </c>
      <c r="G16" s="8" t="s">
        <v>10</v>
      </c>
      <c r="H16" s="8" t="s">
        <v>13</v>
      </c>
      <c r="I16" s="8">
        <f t="shared" ref="I16:I17" si="8">WEEKDAY(E16)</f>
        <v>7</v>
      </c>
    </row>
    <row r="17" spans="1:9" ht="15.75" thickBot="1" x14ac:dyDescent="0.3">
      <c r="A17" s="10" t="e">
        <f t="shared" si="5"/>
        <v>#VALUE!</v>
      </c>
      <c r="B17" s="11" t="str">
        <f t="shared" si="0"/>
        <v>2</v>
      </c>
      <c r="C17" s="11">
        <f t="shared" si="1"/>
        <v>4</v>
      </c>
      <c r="D17" s="11"/>
      <c r="E17" s="12">
        <f t="shared" si="7"/>
        <v>43890.708333333321</v>
      </c>
      <c r="F17" s="11">
        <f t="shared" si="2"/>
        <v>105</v>
      </c>
      <c r="G17" s="11" t="s">
        <v>10</v>
      </c>
      <c r="H17" s="11" t="s">
        <v>13</v>
      </c>
      <c r="I17" s="11">
        <f t="shared" si="8"/>
        <v>7</v>
      </c>
    </row>
    <row r="18" spans="1:9" x14ac:dyDescent="0.25">
      <c r="A18" s="3" t="e">
        <f t="shared" si="5"/>
        <v>#VALUE!</v>
      </c>
      <c r="B18" s="4" t="str">
        <f t="shared" si="0"/>
        <v>1</v>
      </c>
      <c r="C18" s="4">
        <f t="shared" si="1"/>
        <v>5</v>
      </c>
      <c r="D18" s="4"/>
      <c r="E18" s="5">
        <f>E2</f>
        <v>43890.375</v>
      </c>
      <c r="F18" s="4">
        <f t="shared" si="2"/>
        <v>90</v>
      </c>
      <c r="G18" s="4" t="s">
        <v>16</v>
      </c>
      <c r="H18" s="4" t="s">
        <v>11</v>
      </c>
      <c r="I18" s="4">
        <f>WEEKDAY(E18)</f>
        <v>7</v>
      </c>
    </row>
    <row r="19" spans="1:9" x14ac:dyDescent="0.25">
      <c r="A19" s="7" t="e">
        <f t="shared" si="5"/>
        <v>#VALUE!</v>
      </c>
      <c r="B19" s="8" t="str">
        <f t="shared" si="0"/>
        <v>1</v>
      </c>
      <c r="C19" s="8">
        <f t="shared" si="1"/>
        <v>5</v>
      </c>
      <c r="D19" s="8"/>
      <c r="E19" s="9">
        <f>E18+F18/60/24</f>
        <v>43890.4375</v>
      </c>
      <c r="F19" s="8">
        <f t="shared" si="2"/>
        <v>90</v>
      </c>
      <c r="G19" s="8" t="s">
        <v>16</v>
      </c>
      <c r="H19" s="8" t="s">
        <v>11</v>
      </c>
      <c r="I19" s="8">
        <f>WEEKDAY(E19)</f>
        <v>7</v>
      </c>
    </row>
    <row r="20" spans="1:9" x14ac:dyDescent="0.25">
      <c r="A20" s="7" t="e">
        <f t="shared" si="5"/>
        <v>#VALUE!</v>
      </c>
      <c r="B20" s="8" t="str">
        <f t="shared" si="0"/>
        <v>1</v>
      </c>
      <c r="C20" s="8">
        <f t="shared" si="1"/>
        <v>5</v>
      </c>
      <c r="D20" s="8"/>
      <c r="E20" s="9">
        <f t="shared" ref="E20:E23" si="9">E19+F19/60/24</f>
        <v>43890.5</v>
      </c>
      <c r="F20" s="8">
        <f t="shared" si="2"/>
        <v>90</v>
      </c>
      <c r="G20" s="8" t="s">
        <v>16</v>
      </c>
      <c r="H20" s="8" t="s">
        <v>11</v>
      </c>
      <c r="I20" s="8">
        <f>WEEKDAY(E20)</f>
        <v>7</v>
      </c>
    </row>
    <row r="21" spans="1:9" x14ac:dyDescent="0.25">
      <c r="A21" s="7" t="e">
        <f t="shared" si="5"/>
        <v>#VALUE!</v>
      </c>
      <c r="B21" s="8" t="str">
        <f t="shared" si="0"/>
        <v>1</v>
      </c>
      <c r="C21" s="8">
        <f t="shared" si="1"/>
        <v>5</v>
      </c>
      <c r="D21" s="8"/>
      <c r="E21" s="9">
        <f t="shared" si="9"/>
        <v>43890.5625</v>
      </c>
      <c r="F21" s="8">
        <f t="shared" si="2"/>
        <v>90</v>
      </c>
      <c r="G21" s="8" t="s">
        <v>16</v>
      </c>
      <c r="H21" s="8" t="s">
        <v>11</v>
      </c>
      <c r="I21" s="8">
        <f>WEEKDAY(E21)</f>
        <v>7</v>
      </c>
    </row>
    <row r="22" spans="1:9" x14ac:dyDescent="0.25">
      <c r="A22" s="7" t="e">
        <f t="shared" si="5"/>
        <v>#VALUE!</v>
      </c>
      <c r="B22" s="8" t="str">
        <f t="shared" si="0"/>
        <v>1</v>
      </c>
      <c r="C22" s="8">
        <f t="shared" si="1"/>
        <v>5</v>
      </c>
      <c r="D22" s="8"/>
      <c r="E22" s="9">
        <f t="shared" si="9"/>
        <v>43890.625</v>
      </c>
      <c r="F22" s="8">
        <f t="shared" si="2"/>
        <v>90</v>
      </c>
      <c r="G22" s="8" t="s">
        <v>16</v>
      </c>
      <c r="H22" s="8" t="s">
        <v>11</v>
      </c>
      <c r="I22" s="8">
        <f t="shared" ref="I22:I23" si="10">WEEKDAY(E22)</f>
        <v>7</v>
      </c>
    </row>
    <row r="23" spans="1:9" ht="15.75" thickBot="1" x14ac:dyDescent="0.3">
      <c r="A23" s="7" t="e">
        <f t="shared" si="5"/>
        <v>#VALUE!</v>
      </c>
      <c r="B23" s="8" t="str">
        <f t="shared" si="0"/>
        <v>1</v>
      </c>
      <c r="C23" s="8">
        <f t="shared" si="1"/>
        <v>5</v>
      </c>
      <c r="D23" s="8"/>
      <c r="E23" s="9">
        <f t="shared" si="9"/>
        <v>43890.6875</v>
      </c>
      <c r="F23" s="8">
        <f t="shared" si="2"/>
        <v>90</v>
      </c>
      <c r="G23" s="8" t="s">
        <v>16</v>
      </c>
      <c r="H23" s="8" t="s">
        <v>11</v>
      </c>
      <c r="I23" s="8">
        <f t="shared" si="10"/>
        <v>7</v>
      </c>
    </row>
    <row r="24" spans="1:9" x14ac:dyDescent="0.25">
      <c r="A24" s="3" t="e">
        <f t="shared" si="5"/>
        <v>#VALUE!</v>
      </c>
      <c r="B24" s="4" t="str">
        <f t="shared" si="0"/>
        <v>5</v>
      </c>
      <c r="C24" s="4">
        <f t="shared" si="1"/>
        <v>5</v>
      </c>
      <c r="D24" s="4"/>
      <c r="E24" s="5">
        <f>E2</f>
        <v>43890.375</v>
      </c>
      <c r="F24" s="4">
        <f t="shared" si="2"/>
        <v>90</v>
      </c>
      <c r="G24" s="4" t="s">
        <v>17</v>
      </c>
      <c r="H24" s="4" t="s">
        <v>11</v>
      </c>
      <c r="I24" s="4">
        <f>WEEKDAY(E24)</f>
        <v>7</v>
      </c>
    </row>
    <row r="25" spans="1:9" x14ac:dyDescent="0.25">
      <c r="A25" s="7" t="e">
        <f t="shared" si="5"/>
        <v>#VALUE!</v>
      </c>
      <c r="B25" s="8" t="str">
        <f t="shared" si="0"/>
        <v>5</v>
      </c>
      <c r="C25" s="8">
        <f t="shared" si="1"/>
        <v>4</v>
      </c>
      <c r="D25" s="8"/>
      <c r="E25" s="9">
        <f>E24+F24/60/24</f>
        <v>43890.4375</v>
      </c>
      <c r="F25" s="8">
        <f t="shared" si="2"/>
        <v>105</v>
      </c>
      <c r="G25" s="8" t="s">
        <v>17</v>
      </c>
      <c r="H25" s="8" t="s">
        <v>13</v>
      </c>
      <c r="I25" s="8">
        <f>WEEKDAY(E25)</f>
        <v>7</v>
      </c>
    </row>
    <row r="26" spans="1:9" x14ac:dyDescent="0.25">
      <c r="A26" s="7" t="e">
        <f t="shared" si="5"/>
        <v>#VALUE!</v>
      </c>
      <c r="B26" s="8" t="str">
        <f t="shared" si="0"/>
        <v>5</v>
      </c>
      <c r="C26" s="8">
        <f t="shared" si="1"/>
        <v>4</v>
      </c>
      <c r="D26" s="8"/>
      <c r="E26" s="9">
        <f t="shared" ref="E26:E28" si="11">E25+F25/60/24</f>
        <v>43890.510416666664</v>
      </c>
      <c r="F26" s="8">
        <f t="shared" si="2"/>
        <v>105</v>
      </c>
      <c r="G26" s="8" t="s">
        <v>17</v>
      </c>
      <c r="H26" s="8" t="s">
        <v>13</v>
      </c>
      <c r="I26" s="8">
        <f>WEEKDAY(E26)</f>
        <v>7</v>
      </c>
    </row>
    <row r="27" spans="1:9" x14ac:dyDescent="0.25">
      <c r="A27" s="7" t="e">
        <f t="shared" si="5"/>
        <v>#VALUE!</v>
      </c>
      <c r="B27" s="8" t="str">
        <f t="shared" si="0"/>
        <v>5</v>
      </c>
      <c r="C27" s="8">
        <f t="shared" si="1"/>
        <v>4</v>
      </c>
      <c r="D27" s="8"/>
      <c r="E27" s="9">
        <f t="shared" si="11"/>
        <v>43890.583333333328</v>
      </c>
      <c r="F27" s="8">
        <f t="shared" si="2"/>
        <v>105</v>
      </c>
      <c r="G27" s="8" t="s">
        <v>17</v>
      </c>
      <c r="H27" s="8" t="s">
        <v>13</v>
      </c>
      <c r="I27" s="8">
        <f>WEEKDAY(E27)</f>
        <v>7</v>
      </c>
    </row>
    <row r="28" spans="1:9" ht="15.75" thickBot="1" x14ac:dyDescent="0.3">
      <c r="A28" s="7" t="e">
        <f t="shared" si="5"/>
        <v>#VALUE!</v>
      </c>
      <c r="B28" s="8" t="str">
        <f t="shared" si="0"/>
        <v>5</v>
      </c>
      <c r="C28" s="8">
        <f t="shared" si="1"/>
        <v>4</v>
      </c>
      <c r="D28" s="8"/>
      <c r="E28" s="9">
        <f t="shared" si="11"/>
        <v>43890.656249999993</v>
      </c>
      <c r="F28" s="8">
        <f t="shared" si="2"/>
        <v>105</v>
      </c>
      <c r="G28" s="8" t="s">
        <v>17</v>
      </c>
      <c r="H28" s="8" t="s">
        <v>13</v>
      </c>
      <c r="I28" s="8">
        <f t="shared" ref="I28" si="12">WEEKDAY(E28)</f>
        <v>7</v>
      </c>
    </row>
    <row r="29" spans="1:9" x14ac:dyDescent="0.25">
      <c r="A29" s="3" t="e">
        <f t="shared" si="5"/>
        <v>#VALUE!</v>
      </c>
      <c r="B29" s="4" t="str">
        <f t="shared" si="0"/>
        <v>6</v>
      </c>
      <c r="C29" s="4">
        <f t="shared" si="1"/>
        <v>6</v>
      </c>
      <c r="D29" s="4"/>
      <c r="E29" s="5">
        <f>E2</f>
        <v>43890.375</v>
      </c>
      <c r="F29" s="4">
        <f t="shared" si="2"/>
        <v>60</v>
      </c>
      <c r="G29" s="4" t="s">
        <v>18</v>
      </c>
      <c r="H29" s="4" t="s">
        <v>14</v>
      </c>
      <c r="I29" s="4">
        <f>WEEKDAY(E29)</f>
        <v>7</v>
      </c>
    </row>
    <row r="30" spans="1:9" x14ac:dyDescent="0.25">
      <c r="A30" s="7" t="e">
        <f t="shared" si="5"/>
        <v>#VALUE!</v>
      </c>
      <c r="B30" s="8" t="str">
        <f t="shared" si="0"/>
        <v>6</v>
      </c>
      <c r="C30" s="8">
        <f t="shared" si="1"/>
        <v>3</v>
      </c>
      <c r="D30" s="8"/>
      <c r="E30" s="9">
        <f>E29+F29/60/24</f>
        <v>43890.416666666664</v>
      </c>
      <c r="F30" s="8">
        <f t="shared" si="2"/>
        <v>105</v>
      </c>
      <c r="G30" s="8" t="s">
        <v>18</v>
      </c>
      <c r="H30" s="8" t="s">
        <v>12</v>
      </c>
      <c r="I30" s="8">
        <f>WEEKDAY(E30)</f>
        <v>7</v>
      </c>
    </row>
    <row r="31" spans="1:9" x14ac:dyDescent="0.25">
      <c r="A31" s="7" t="e">
        <f t="shared" si="5"/>
        <v>#VALUE!</v>
      </c>
      <c r="B31" s="8" t="str">
        <f t="shared" si="0"/>
        <v>6</v>
      </c>
      <c r="C31" s="8">
        <f t="shared" si="1"/>
        <v>3</v>
      </c>
      <c r="D31" s="8"/>
      <c r="E31" s="9">
        <f t="shared" ref="E31:E33" si="13">E30+F30/60/24</f>
        <v>43890.489583333328</v>
      </c>
      <c r="F31" s="8">
        <f t="shared" si="2"/>
        <v>105</v>
      </c>
      <c r="G31" s="8" t="s">
        <v>18</v>
      </c>
      <c r="H31" s="8" t="s">
        <v>12</v>
      </c>
      <c r="I31" s="8">
        <f>WEEKDAY(E31)</f>
        <v>7</v>
      </c>
    </row>
    <row r="32" spans="1:9" x14ac:dyDescent="0.25">
      <c r="A32" s="7" t="e">
        <f t="shared" si="5"/>
        <v>#VALUE!</v>
      </c>
      <c r="B32" s="8" t="str">
        <f t="shared" si="0"/>
        <v>6</v>
      </c>
      <c r="C32" s="8">
        <f t="shared" si="1"/>
        <v>3</v>
      </c>
      <c r="D32" s="8"/>
      <c r="E32" s="9">
        <f t="shared" si="13"/>
        <v>43890.562499999993</v>
      </c>
      <c r="F32" s="8">
        <f t="shared" si="2"/>
        <v>105</v>
      </c>
      <c r="G32" s="8" t="s">
        <v>18</v>
      </c>
      <c r="H32" s="8" t="s">
        <v>12</v>
      </c>
      <c r="I32" s="8">
        <f>WEEKDAY(E32)</f>
        <v>7</v>
      </c>
    </row>
    <row r="33" spans="1:9" ht="15.75" thickBot="1" x14ac:dyDescent="0.3">
      <c r="A33" s="10" t="e">
        <f t="shared" si="5"/>
        <v>#VALUE!</v>
      </c>
      <c r="B33" s="11" t="str">
        <f t="shared" si="0"/>
        <v>6</v>
      </c>
      <c r="C33" s="11">
        <f t="shared" si="1"/>
        <v>3</v>
      </c>
      <c r="D33" s="11"/>
      <c r="E33" s="12">
        <f t="shared" si="13"/>
        <v>43890.635416666657</v>
      </c>
      <c r="F33" s="11">
        <f t="shared" si="2"/>
        <v>105</v>
      </c>
      <c r="G33" s="11" t="s">
        <v>18</v>
      </c>
      <c r="H33" s="11" t="s">
        <v>12</v>
      </c>
      <c r="I33" s="11">
        <f t="shared" ref="I33" si="14">WEEKDAY(E33)</f>
        <v>7</v>
      </c>
    </row>
    <row r="34" spans="1:9" x14ac:dyDescent="0.25">
      <c r="A34" s="3" t="e">
        <f t="shared" si="5"/>
        <v>#VALUE!</v>
      </c>
      <c r="B34" s="4" t="str">
        <f t="shared" si="0"/>
        <v>7</v>
      </c>
      <c r="C34" s="4">
        <f t="shared" si="1"/>
        <v>5</v>
      </c>
      <c r="D34" s="4"/>
      <c r="E34" s="5">
        <f>E2</f>
        <v>43890.375</v>
      </c>
      <c r="F34" s="4">
        <f t="shared" si="2"/>
        <v>90</v>
      </c>
      <c r="G34" s="4" t="s">
        <v>19</v>
      </c>
      <c r="H34" s="4" t="s">
        <v>11</v>
      </c>
      <c r="I34" s="4">
        <f>WEEKDAY(E34)</f>
        <v>7</v>
      </c>
    </row>
    <row r="35" spans="1:9" x14ac:dyDescent="0.25">
      <c r="A35" s="7" t="e">
        <f t="shared" si="5"/>
        <v>#VALUE!</v>
      </c>
      <c r="B35" s="8" t="str">
        <f t="shared" si="0"/>
        <v>7</v>
      </c>
      <c r="C35" s="8">
        <f t="shared" si="1"/>
        <v>3</v>
      </c>
      <c r="D35" s="8"/>
      <c r="E35" s="9">
        <f>E34+F34/60/24</f>
        <v>43890.4375</v>
      </c>
      <c r="F35" s="8">
        <f t="shared" si="2"/>
        <v>105</v>
      </c>
      <c r="G35" s="8" t="s">
        <v>19</v>
      </c>
      <c r="H35" s="8" t="s">
        <v>12</v>
      </c>
      <c r="I35" s="8">
        <f>WEEKDAY(E35)</f>
        <v>7</v>
      </c>
    </row>
    <row r="36" spans="1:9" x14ac:dyDescent="0.25">
      <c r="A36" s="7" t="e">
        <f t="shared" si="5"/>
        <v>#VALUE!</v>
      </c>
      <c r="B36" s="8" t="str">
        <f t="shared" si="0"/>
        <v>7</v>
      </c>
      <c r="C36" s="8">
        <f t="shared" si="1"/>
        <v>2</v>
      </c>
      <c r="D36" s="8"/>
      <c r="E36" s="9">
        <f t="shared" ref="E36:E38" si="15">E35+F35/60/24</f>
        <v>43890.510416666664</v>
      </c>
      <c r="F36" s="8">
        <f t="shared" si="2"/>
        <v>120</v>
      </c>
      <c r="G36" s="8" t="s">
        <v>19</v>
      </c>
      <c r="H36" s="8" t="s">
        <v>9</v>
      </c>
      <c r="I36" s="8">
        <f>WEEKDAY(E36)</f>
        <v>7</v>
      </c>
    </row>
    <row r="37" spans="1:9" x14ac:dyDescent="0.25">
      <c r="A37" s="7" t="e">
        <f t="shared" si="5"/>
        <v>#VALUE!</v>
      </c>
      <c r="B37" s="8" t="str">
        <f t="shared" si="0"/>
        <v>7</v>
      </c>
      <c r="C37" s="8">
        <f t="shared" si="1"/>
        <v>2</v>
      </c>
      <c r="D37" s="8"/>
      <c r="E37" s="9">
        <f t="shared" si="15"/>
        <v>43890.59375</v>
      </c>
      <c r="F37" s="8">
        <f t="shared" si="2"/>
        <v>120</v>
      </c>
      <c r="G37" s="8" t="s">
        <v>19</v>
      </c>
      <c r="H37" s="8" t="s">
        <v>9</v>
      </c>
      <c r="I37" s="8">
        <f>WEEKDAY(E37)</f>
        <v>7</v>
      </c>
    </row>
    <row r="38" spans="1:9" ht="15.75" thickBot="1" x14ac:dyDescent="0.3">
      <c r="A38" s="10" t="e">
        <f t="shared" si="5"/>
        <v>#VALUE!</v>
      </c>
      <c r="B38" s="11" t="str">
        <f t="shared" si="0"/>
        <v>7</v>
      </c>
      <c r="C38" s="11">
        <f t="shared" si="1"/>
        <v>2</v>
      </c>
      <c r="D38" s="11"/>
      <c r="E38" s="12">
        <f t="shared" si="15"/>
        <v>43890.677083333336</v>
      </c>
      <c r="F38" s="11">
        <f t="shared" si="2"/>
        <v>120</v>
      </c>
      <c r="G38" s="11" t="s">
        <v>19</v>
      </c>
      <c r="H38" s="11" t="s">
        <v>9</v>
      </c>
      <c r="I38" s="11">
        <f t="shared" ref="I38" si="16">WEEKDAY(E38)</f>
        <v>7</v>
      </c>
    </row>
    <row r="39" spans="1:9" x14ac:dyDescent="0.25">
      <c r="A39" s="3" t="e">
        <f t="shared" si="5"/>
        <v>#VALUE!</v>
      </c>
      <c r="B39" s="4" t="str">
        <f t="shared" si="0"/>
        <v>8</v>
      </c>
      <c r="C39" s="4">
        <f t="shared" si="1"/>
        <v>6</v>
      </c>
      <c r="D39" s="4"/>
      <c r="E39" s="5">
        <f>E2</f>
        <v>43890.375</v>
      </c>
      <c r="F39" s="4">
        <f t="shared" si="2"/>
        <v>60</v>
      </c>
      <c r="G39" s="4" t="s">
        <v>20</v>
      </c>
      <c r="H39" s="4" t="s">
        <v>14</v>
      </c>
      <c r="I39" s="4">
        <f>WEEKDAY(E39)</f>
        <v>7</v>
      </c>
    </row>
    <row r="40" spans="1:9" x14ac:dyDescent="0.25">
      <c r="A40" s="7" t="e">
        <f t="shared" si="5"/>
        <v>#VALUE!</v>
      </c>
      <c r="B40" s="8" t="str">
        <f t="shared" si="0"/>
        <v>8</v>
      </c>
      <c r="C40" s="8">
        <f t="shared" si="1"/>
        <v>6</v>
      </c>
      <c r="D40" s="8"/>
      <c r="E40" s="9">
        <f>E39+F39/60/24</f>
        <v>43890.416666666664</v>
      </c>
      <c r="F40" s="8">
        <f t="shared" si="2"/>
        <v>60</v>
      </c>
      <c r="G40" s="8" t="s">
        <v>20</v>
      </c>
      <c r="H40" s="8" t="s">
        <v>14</v>
      </c>
      <c r="I40" s="8">
        <f>WEEKDAY(E40)</f>
        <v>7</v>
      </c>
    </row>
    <row r="41" spans="1:9" x14ac:dyDescent="0.25">
      <c r="A41" s="7" t="e">
        <f t="shared" si="5"/>
        <v>#VALUE!</v>
      </c>
      <c r="B41" s="8" t="str">
        <f t="shared" si="0"/>
        <v>8</v>
      </c>
      <c r="C41" s="8">
        <f t="shared" si="1"/>
        <v>4</v>
      </c>
      <c r="D41" s="8"/>
      <c r="E41" s="9">
        <f t="shared" ref="E41:E44" si="17">E40+F40/60/24</f>
        <v>43890.458333333328</v>
      </c>
      <c r="F41" s="8">
        <f t="shared" si="2"/>
        <v>105</v>
      </c>
      <c r="G41" s="8" t="s">
        <v>20</v>
      </c>
      <c r="H41" s="8" t="s">
        <v>13</v>
      </c>
      <c r="I41" s="8">
        <f>WEEKDAY(E41)</f>
        <v>7</v>
      </c>
    </row>
    <row r="42" spans="1:9" x14ac:dyDescent="0.25">
      <c r="A42" s="7" t="e">
        <f t="shared" si="5"/>
        <v>#VALUE!</v>
      </c>
      <c r="B42" s="8" t="str">
        <f t="shared" si="0"/>
        <v>8</v>
      </c>
      <c r="C42" s="8">
        <f t="shared" si="1"/>
        <v>3</v>
      </c>
      <c r="D42" s="8"/>
      <c r="E42" s="9">
        <f t="shared" si="17"/>
        <v>43890.531249999993</v>
      </c>
      <c r="F42" s="8">
        <f t="shared" si="2"/>
        <v>105</v>
      </c>
      <c r="G42" s="8" t="s">
        <v>20</v>
      </c>
      <c r="H42" s="8" t="s">
        <v>12</v>
      </c>
      <c r="I42" s="8">
        <f>WEEKDAY(E42)</f>
        <v>7</v>
      </c>
    </row>
    <row r="43" spans="1:9" x14ac:dyDescent="0.25">
      <c r="A43" s="7" t="e">
        <f t="shared" ref="A43" si="18">A42+1</f>
        <v>#VALUE!</v>
      </c>
      <c r="B43" s="8" t="str">
        <f t="shared" si="0"/>
        <v>8</v>
      </c>
      <c r="C43" s="8">
        <f t="shared" si="1"/>
        <v>3</v>
      </c>
      <c r="D43" s="8"/>
      <c r="E43" s="9">
        <f t="shared" si="17"/>
        <v>43890.604166666657</v>
      </c>
      <c r="F43" s="8">
        <f t="shared" si="2"/>
        <v>105</v>
      </c>
      <c r="G43" s="8" t="s">
        <v>20</v>
      </c>
      <c r="H43" s="8" t="s">
        <v>12</v>
      </c>
      <c r="I43" s="8">
        <f>WEEKDAY(E43)</f>
        <v>7</v>
      </c>
    </row>
    <row r="44" spans="1:9" ht="15.75" thickBot="1" x14ac:dyDescent="0.3">
      <c r="A44" s="10" t="e">
        <f>A42+1</f>
        <v>#VALUE!</v>
      </c>
      <c r="B44" s="11" t="str">
        <f t="shared" si="0"/>
        <v>8</v>
      </c>
      <c r="C44" s="11">
        <f t="shared" si="1"/>
        <v>2</v>
      </c>
      <c r="D44" s="11"/>
      <c r="E44" s="12">
        <f t="shared" si="17"/>
        <v>43890.677083333321</v>
      </c>
      <c r="F44" s="11">
        <f t="shared" si="2"/>
        <v>120</v>
      </c>
      <c r="G44" s="11" t="s">
        <v>20</v>
      </c>
      <c r="H44" s="11" t="s">
        <v>9</v>
      </c>
      <c r="I44" s="11">
        <f t="shared" ref="I44" si="19">WEEKDAY(E44)</f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731F-9CDE-4383-87E8-067B54F1ECE2}">
  <sheetPr codeName="Sheet7"/>
  <dimension ref="A1:L42"/>
  <sheetViews>
    <sheetView workbookViewId="0">
      <selection activeCell="E17" sqref="E17"/>
    </sheetView>
  </sheetViews>
  <sheetFormatPr defaultRowHeight="15" x14ac:dyDescent="0.25"/>
  <cols>
    <col min="5" max="5" width="16.140625" bestFit="1" customWidth="1"/>
    <col min="8" max="8" width="11.140625" bestFit="1" customWidth="1"/>
  </cols>
  <sheetData>
    <row r="1" spans="1:12" ht="15.75" thickBot="1" x14ac:dyDescent="0.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4</v>
      </c>
      <c r="G1" t="s">
        <v>1</v>
      </c>
      <c r="H1" t="s">
        <v>5</v>
      </c>
      <c r="I1" s="2" t="s">
        <v>6</v>
      </c>
      <c r="K1" s="2"/>
    </row>
    <row r="2" spans="1:12" x14ac:dyDescent="0.25">
      <c r="A2" s="3" t="e">
        <f>A1+1</f>
        <v>#VALUE!</v>
      </c>
      <c r="B2" s="4" t="str">
        <f t="shared" ref="B2:B42" si="0">VLOOKUP(G2,field_id,2,FALSE)</f>
        <v>4</v>
      </c>
      <c r="C2" s="4">
        <f t="shared" ref="C2:C42" si="1">VLOOKUP(H2,league_id,2,FALSE)</f>
        <v>1</v>
      </c>
      <c r="D2" s="4"/>
      <c r="E2" s="5">
        <v>43890.375</v>
      </c>
      <c r="F2" s="4">
        <f t="shared" ref="F2:F42" si="2">VLOOKUP(H2,GameDuration,2,FALSE)</f>
        <v>120</v>
      </c>
      <c r="G2" s="4" t="s">
        <v>8</v>
      </c>
      <c r="H2" s="4" t="s">
        <v>8</v>
      </c>
      <c r="I2" s="4">
        <f t="shared" ref="I2:I15" si="3">WEEKDAY(E2)</f>
        <v>7</v>
      </c>
      <c r="K2" t="s">
        <v>8</v>
      </c>
      <c r="L2">
        <f t="shared" ref="L2:L8" si="4">COUNTIF(H$2:H$42,K2)</f>
        <v>5</v>
      </c>
    </row>
    <row r="3" spans="1:12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/>
      <c r="E3" s="9">
        <f>E2+F2/60/24</f>
        <v>43890.458333333336</v>
      </c>
      <c r="F3" s="8">
        <f t="shared" si="2"/>
        <v>120</v>
      </c>
      <c r="G3" s="8" t="s">
        <v>8</v>
      </c>
      <c r="H3" s="8" t="s">
        <v>8</v>
      </c>
      <c r="I3" s="8">
        <f t="shared" si="3"/>
        <v>7</v>
      </c>
      <c r="K3" t="s">
        <v>9</v>
      </c>
      <c r="L3">
        <f t="shared" si="4"/>
        <v>9</v>
      </c>
    </row>
    <row r="4" spans="1:12" x14ac:dyDescent="0.25">
      <c r="A4" s="7" t="e">
        <f t="shared" ref="A4:A42" si="5">A3+1</f>
        <v>#VALUE!</v>
      </c>
      <c r="B4" s="8" t="str">
        <f t="shared" si="0"/>
        <v>4</v>
      </c>
      <c r="C4" s="8">
        <f t="shared" si="1"/>
        <v>1</v>
      </c>
      <c r="D4" s="8"/>
      <c r="E4" s="9">
        <f>E3+F3/60/24</f>
        <v>43890.541666666672</v>
      </c>
      <c r="F4" s="8">
        <f t="shared" si="2"/>
        <v>120</v>
      </c>
      <c r="G4" s="8" t="s">
        <v>8</v>
      </c>
      <c r="H4" s="8" t="s">
        <v>8</v>
      </c>
      <c r="I4" s="8">
        <f t="shared" si="3"/>
        <v>7</v>
      </c>
      <c r="K4" t="s">
        <v>12</v>
      </c>
      <c r="L4">
        <f t="shared" si="4"/>
        <v>7</v>
      </c>
    </row>
    <row r="5" spans="1:12" x14ac:dyDescent="0.25">
      <c r="A5" s="7" t="e">
        <f t="shared" si="5"/>
        <v>#VALUE!</v>
      </c>
      <c r="B5" s="8" t="str">
        <f t="shared" si="0"/>
        <v>4</v>
      </c>
      <c r="C5" s="8">
        <f t="shared" si="1"/>
        <v>1</v>
      </c>
      <c r="D5" s="8"/>
      <c r="E5" s="9">
        <f>E4+F4/60/24</f>
        <v>43890.625000000007</v>
      </c>
      <c r="F5" s="8">
        <f t="shared" si="2"/>
        <v>120</v>
      </c>
      <c r="G5" s="8" t="s">
        <v>8</v>
      </c>
      <c r="H5" s="8" t="s">
        <v>8</v>
      </c>
      <c r="I5" s="8">
        <f t="shared" si="3"/>
        <v>7</v>
      </c>
      <c r="K5" t="s">
        <v>13</v>
      </c>
      <c r="L5">
        <f t="shared" si="4"/>
        <v>11</v>
      </c>
    </row>
    <row r="6" spans="1:12" ht="15.75" thickBot="1" x14ac:dyDescent="0.3">
      <c r="A6" s="10" t="e">
        <f t="shared" si="5"/>
        <v>#VALUE!</v>
      </c>
      <c r="B6" s="11" t="str">
        <f t="shared" si="0"/>
        <v>4</v>
      </c>
      <c r="C6" s="11">
        <f t="shared" si="1"/>
        <v>1</v>
      </c>
      <c r="D6" s="11"/>
      <c r="E6" s="12">
        <f>E5+F5/60/24</f>
        <v>43890.708333333343</v>
      </c>
      <c r="F6" s="11">
        <f t="shared" si="2"/>
        <v>120</v>
      </c>
      <c r="G6" s="11" t="s">
        <v>8</v>
      </c>
      <c r="H6" s="11" t="s">
        <v>8</v>
      </c>
      <c r="I6" s="11">
        <f t="shared" si="3"/>
        <v>7</v>
      </c>
      <c r="K6" t="s">
        <v>11</v>
      </c>
      <c r="L6">
        <f t="shared" si="4"/>
        <v>8</v>
      </c>
    </row>
    <row r="7" spans="1:12" x14ac:dyDescent="0.25">
      <c r="A7" s="3" t="e">
        <f t="shared" si="5"/>
        <v>#VALUE!</v>
      </c>
      <c r="B7" s="4" t="str">
        <f t="shared" si="0"/>
        <v>3</v>
      </c>
      <c r="C7" s="4">
        <f t="shared" si="1"/>
        <v>2</v>
      </c>
      <c r="D7" s="4"/>
      <c r="E7" s="5">
        <f>E2</f>
        <v>43890.375</v>
      </c>
      <c r="F7" s="4">
        <f t="shared" si="2"/>
        <v>120</v>
      </c>
      <c r="G7" s="4" t="s">
        <v>9</v>
      </c>
      <c r="H7" s="4" t="s">
        <v>9</v>
      </c>
      <c r="I7" s="4">
        <f t="shared" si="3"/>
        <v>7</v>
      </c>
      <c r="K7" t="s">
        <v>14</v>
      </c>
      <c r="L7">
        <f t="shared" si="4"/>
        <v>0</v>
      </c>
    </row>
    <row r="8" spans="1:12" x14ac:dyDescent="0.25">
      <c r="A8" s="7" t="e">
        <f t="shared" si="5"/>
        <v>#VALUE!</v>
      </c>
      <c r="B8" s="8" t="str">
        <f t="shared" si="0"/>
        <v>3</v>
      </c>
      <c r="C8" s="8">
        <f t="shared" si="1"/>
        <v>2</v>
      </c>
      <c r="D8" s="8"/>
      <c r="E8" s="9">
        <f>E7+F7/60/24</f>
        <v>43890.458333333336</v>
      </c>
      <c r="F8" s="8">
        <f t="shared" si="2"/>
        <v>120</v>
      </c>
      <c r="G8" s="8" t="s">
        <v>9</v>
      </c>
      <c r="H8" s="8" t="s">
        <v>9</v>
      </c>
      <c r="I8" s="8">
        <f t="shared" si="3"/>
        <v>7</v>
      </c>
      <c r="K8" t="s">
        <v>15</v>
      </c>
      <c r="L8">
        <f t="shared" si="4"/>
        <v>1</v>
      </c>
    </row>
    <row r="9" spans="1:12" x14ac:dyDescent="0.25">
      <c r="A9" s="7" t="e">
        <f t="shared" si="5"/>
        <v>#VALUE!</v>
      </c>
      <c r="B9" s="8" t="str">
        <f t="shared" si="0"/>
        <v>3</v>
      </c>
      <c r="C9" s="8">
        <f t="shared" si="1"/>
        <v>2</v>
      </c>
      <c r="D9" s="8"/>
      <c r="E9" s="9">
        <f t="shared" ref="E9:E11" si="6">E8+F8/60/24</f>
        <v>43890.541666666672</v>
      </c>
      <c r="F9" s="8">
        <f t="shared" si="2"/>
        <v>120</v>
      </c>
      <c r="G9" s="8" t="s">
        <v>9</v>
      </c>
      <c r="H9" s="8" t="s">
        <v>9</v>
      </c>
      <c r="I9" s="8">
        <f t="shared" si="3"/>
        <v>7</v>
      </c>
    </row>
    <row r="10" spans="1:12" x14ac:dyDescent="0.25">
      <c r="A10" s="7" t="e">
        <f t="shared" si="5"/>
        <v>#VALUE!</v>
      </c>
      <c r="B10" s="8" t="str">
        <f t="shared" si="0"/>
        <v>3</v>
      </c>
      <c r="C10" s="8">
        <f t="shared" si="1"/>
        <v>2</v>
      </c>
      <c r="D10" s="8"/>
      <c r="E10" s="9">
        <f t="shared" si="6"/>
        <v>43890.625000000007</v>
      </c>
      <c r="F10" s="8">
        <f t="shared" si="2"/>
        <v>120</v>
      </c>
      <c r="G10" s="8" t="s">
        <v>9</v>
      </c>
      <c r="H10" s="8" t="s">
        <v>9</v>
      </c>
      <c r="I10" s="8">
        <f t="shared" si="3"/>
        <v>7</v>
      </c>
    </row>
    <row r="11" spans="1:12" ht="15.75" thickBot="1" x14ac:dyDescent="0.3">
      <c r="A11" s="10" t="e">
        <f t="shared" si="5"/>
        <v>#VALUE!</v>
      </c>
      <c r="B11" s="11" t="str">
        <f t="shared" si="0"/>
        <v>3</v>
      </c>
      <c r="C11" s="11">
        <f t="shared" si="1"/>
        <v>2</v>
      </c>
      <c r="D11" s="11"/>
      <c r="E11" s="9">
        <f t="shared" si="6"/>
        <v>43890.708333333343</v>
      </c>
      <c r="F11" s="11">
        <f t="shared" si="2"/>
        <v>120</v>
      </c>
      <c r="G11" s="11" t="s">
        <v>9</v>
      </c>
      <c r="H11" s="11" t="s">
        <v>9</v>
      </c>
      <c r="I11" s="11">
        <f t="shared" si="3"/>
        <v>7</v>
      </c>
    </row>
    <row r="12" spans="1:12" x14ac:dyDescent="0.25">
      <c r="A12" s="3" t="e">
        <f t="shared" si="5"/>
        <v>#VALUE!</v>
      </c>
      <c r="B12" s="4" t="str">
        <f t="shared" si="0"/>
        <v>2</v>
      </c>
      <c r="C12" s="4">
        <f t="shared" si="1"/>
        <v>4</v>
      </c>
      <c r="D12" s="4"/>
      <c r="E12" s="5">
        <f>E2</f>
        <v>43890.375</v>
      </c>
      <c r="F12" s="4">
        <f t="shared" si="2"/>
        <v>105</v>
      </c>
      <c r="G12" s="4" t="s">
        <v>10</v>
      </c>
      <c r="H12" s="4" t="s">
        <v>13</v>
      </c>
      <c r="I12" s="4">
        <f t="shared" si="3"/>
        <v>7</v>
      </c>
    </row>
    <row r="13" spans="1:12" x14ac:dyDescent="0.25">
      <c r="A13" s="7" t="e">
        <f t="shared" si="5"/>
        <v>#VALUE!</v>
      </c>
      <c r="B13" s="8" t="str">
        <f t="shared" si="0"/>
        <v>2</v>
      </c>
      <c r="C13" s="8">
        <f t="shared" si="1"/>
        <v>4</v>
      </c>
      <c r="D13" s="8"/>
      <c r="E13" s="9">
        <f>E12+F12/60/24</f>
        <v>43890.447916666664</v>
      </c>
      <c r="F13" s="8">
        <f t="shared" si="2"/>
        <v>105</v>
      </c>
      <c r="G13" s="8" t="s">
        <v>10</v>
      </c>
      <c r="H13" s="8" t="s">
        <v>13</v>
      </c>
      <c r="I13" s="8">
        <f t="shared" si="3"/>
        <v>7</v>
      </c>
    </row>
    <row r="14" spans="1:12" x14ac:dyDescent="0.25">
      <c r="A14" s="7" t="e">
        <f t="shared" si="5"/>
        <v>#VALUE!</v>
      </c>
      <c r="B14" s="8" t="str">
        <f t="shared" si="0"/>
        <v>2</v>
      </c>
      <c r="C14" s="8">
        <f t="shared" si="1"/>
        <v>4</v>
      </c>
      <c r="D14" s="8"/>
      <c r="E14" s="9">
        <f t="shared" ref="E14:E16" si="7">E13+F13/60/24</f>
        <v>43890.520833333328</v>
      </c>
      <c r="F14" s="8">
        <f t="shared" si="2"/>
        <v>105</v>
      </c>
      <c r="G14" s="8" t="s">
        <v>10</v>
      </c>
      <c r="H14" s="8" t="s">
        <v>13</v>
      </c>
      <c r="I14" s="8">
        <f t="shared" si="3"/>
        <v>7</v>
      </c>
    </row>
    <row r="15" spans="1:12" x14ac:dyDescent="0.25">
      <c r="A15" s="7" t="e">
        <f t="shared" si="5"/>
        <v>#VALUE!</v>
      </c>
      <c r="B15" s="8" t="str">
        <f t="shared" si="0"/>
        <v>2</v>
      </c>
      <c r="C15" s="8">
        <f t="shared" si="1"/>
        <v>4</v>
      </c>
      <c r="D15" s="8"/>
      <c r="E15" s="9">
        <f t="shared" si="7"/>
        <v>43890.593749999993</v>
      </c>
      <c r="F15" s="8">
        <f t="shared" si="2"/>
        <v>105</v>
      </c>
      <c r="G15" s="8" t="s">
        <v>10</v>
      </c>
      <c r="H15" s="8" t="s">
        <v>13</v>
      </c>
      <c r="I15" s="8">
        <f t="shared" si="3"/>
        <v>7</v>
      </c>
    </row>
    <row r="16" spans="1:12" ht="15.75" thickBot="1" x14ac:dyDescent="0.3">
      <c r="A16" s="7" t="e">
        <f t="shared" si="5"/>
        <v>#VALUE!</v>
      </c>
      <c r="B16" s="8" t="str">
        <f t="shared" si="0"/>
        <v>2</v>
      </c>
      <c r="C16" s="8">
        <f t="shared" si="1"/>
        <v>4</v>
      </c>
      <c r="D16" s="8"/>
      <c r="E16" s="9">
        <f t="shared" si="7"/>
        <v>43890.666666666657</v>
      </c>
      <c r="F16" s="8">
        <f t="shared" si="2"/>
        <v>105</v>
      </c>
      <c r="G16" s="8" t="s">
        <v>10</v>
      </c>
      <c r="H16" s="8" t="s">
        <v>13</v>
      </c>
      <c r="I16" s="8">
        <f t="shared" ref="I16" si="8">WEEKDAY(E16)</f>
        <v>7</v>
      </c>
    </row>
    <row r="17" spans="1:9" x14ac:dyDescent="0.25">
      <c r="A17" s="3" t="e">
        <f t="shared" si="5"/>
        <v>#VALUE!</v>
      </c>
      <c r="B17" s="4" t="str">
        <f t="shared" si="0"/>
        <v>1</v>
      </c>
      <c r="C17" s="4">
        <f t="shared" si="1"/>
        <v>7</v>
      </c>
      <c r="D17" s="4"/>
      <c r="E17" s="5">
        <f>E2</f>
        <v>43890.375</v>
      </c>
      <c r="F17" s="4">
        <f t="shared" si="2"/>
        <v>60</v>
      </c>
      <c r="G17" s="4" t="s">
        <v>16</v>
      </c>
      <c r="H17" s="4" t="s">
        <v>15</v>
      </c>
      <c r="I17" s="4">
        <f>WEEKDAY(E17)</f>
        <v>7</v>
      </c>
    </row>
    <row r="18" spans="1:9" x14ac:dyDescent="0.25">
      <c r="A18" s="7" t="e">
        <f t="shared" si="5"/>
        <v>#VALUE!</v>
      </c>
      <c r="B18" s="8" t="str">
        <f t="shared" si="0"/>
        <v>1</v>
      </c>
      <c r="C18" s="8">
        <f t="shared" si="1"/>
        <v>5</v>
      </c>
      <c r="D18" s="8"/>
      <c r="E18" s="9">
        <f>E17+F17/60/24</f>
        <v>43890.416666666664</v>
      </c>
      <c r="F18" s="8">
        <f t="shared" si="2"/>
        <v>90</v>
      </c>
      <c r="G18" s="8" t="s">
        <v>16</v>
      </c>
      <c r="H18" s="8" t="s">
        <v>11</v>
      </c>
      <c r="I18" s="8">
        <f>WEEKDAY(E18)</f>
        <v>7</v>
      </c>
    </row>
    <row r="19" spans="1:9" x14ac:dyDescent="0.25">
      <c r="A19" s="7" t="e">
        <f t="shared" si="5"/>
        <v>#VALUE!</v>
      </c>
      <c r="B19" s="8" t="str">
        <f t="shared" si="0"/>
        <v>1</v>
      </c>
      <c r="C19" s="8">
        <f t="shared" si="1"/>
        <v>5</v>
      </c>
      <c r="D19" s="8"/>
      <c r="E19" s="9">
        <f t="shared" ref="E19:E22" si="9">E18+F18/60/24</f>
        <v>43890.479166666664</v>
      </c>
      <c r="F19" s="8">
        <f t="shared" si="2"/>
        <v>90</v>
      </c>
      <c r="G19" s="8" t="s">
        <v>16</v>
      </c>
      <c r="H19" s="8" t="s">
        <v>11</v>
      </c>
      <c r="I19" s="8">
        <f>WEEKDAY(E19)</f>
        <v>7</v>
      </c>
    </row>
    <row r="20" spans="1:9" x14ac:dyDescent="0.25">
      <c r="A20" s="7" t="e">
        <f t="shared" si="5"/>
        <v>#VALUE!</v>
      </c>
      <c r="B20" s="8" t="str">
        <f t="shared" si="0"/>
        <v>1</v>
      </c>
      <c r="C20" s="8">
        <f t="shared" si="1"/>
        <v>5</v>
      </c>
      <c r="D20" s="8"/>
      <c r="E20" s="9">
        <f t="shared" si="9"/>
        <v>43890.541666666664</v>
      </c>
      <c r="F20" s="8">
        <f t="shared" si="2"/>
        <v>90</v>
      </c>
      <c r="G20" s="8" t="s">
        <v>16</v>
      </c>
      <c r="H20" s="8" t="s">
        <v>11</v>
      </c>
      <c r="I20" s="8">
        <f>WEEKDAY(E20)</f>
        <v>7</v>
      </c>
    </row>
    <row r="21" spans="1:9" x14ac:dyDescent="0.25">
      <c r="A21" s="7" t="e">
        <f t="shared" si="5"/>
        <v>#VALUE!</v>
      </c>
      <c r="B21" s="8" t="str">
        <f t="shared" si="0"/>
        <v>1</v>
      </c>
      <c r="C21" s="8">
        <f t="shared" si="1"/>
        <v>5</v>
      </c>
      <c r="D21" s="8"/>
      <c r="E21" s="9">
        <f t="shared" si="9"/>
        <v>43890.604166666664</v>
      </c>
      <c r="F21" s="8">
        <f t="shared" si="2"/>
        <v>90</v>
      </c>
      <c r="G21" s="8" t="s">
        <v>16</v>
      </c>
      <c r="H21" s="8" t="s">
        <v>11</v>
      </c>
      <c r="I21" s="8">
        <f t="shared" ref="I21:I22" si="10">WEEKDAY(E21)</f>
        <v>7</v>
      </c>
    </row>
    <row r="22" spans="1:9" ht="15.75" thickBot="1" x14ac:dyDescent="0.3">
      <c r="A22" s="7" t="e">
        <f t="shared" si="5"/>
        <v>#VALUE!</v>
      </c>
      <c r="B22" s="8" t="str">
        <f t="shared" si="0"/>
        <v>1</v>
      </c>
      <c r="C22" s="8">
        <f t="shared" si="1"/>
        <v>5</v>
      </c>
      <c r="D22" s="8"/>
      <c r="E22" s="9">
        <f t="shared" si="9"/>
        <v>43890.666666666664</v>
      </c>
      <c r="F22" s="8">
        <f t="shared" si="2"/>
        <v>90</v>
      </c>
      <c r="G22" s="8" t="s">
        <v>16</v>
      </c>
      <c r="H22" s="8" t="s">
        <v>11</v>
      </c>
      <c r="I22" s="8">
        <f t="shared" si="10"/>
        <v>7</v>
      </c>
    </row>
    <row r="23" spans="1:9" x14ac:dyDescent="0.25">
      <c r="A23" s="3" t="e">
        <f t="shared" si="5"/>
        <v>#VALUE!</v>
      </c>
      <c r="B23" s="4" t="str">
        <f t="shared" si="0"/>
        <v>5</v>
      </c>
      <c r="C23" s="4">
        <f t="shared" si="1"/>
        <v>4</v>
      </c>
      <c r="D23" s="4"/>
      <c r="E23" s="5">
        <f>E2</f>
        <v>43890.375</v>
      </c>
      <c r="F23" s="4">
        <f t="shared" si="2"/>
        <v>105</v>
      </c>
      <c r="G23" s="4" t="s">
        <v>17</v>
      </c>
      <c r="H23" s="4" t="s">
        <v>13</v>
      </c>
      <c r="I23" s="4">
        <f>WEEKDAY(E23)</f>
        <v>7</v>
      </c>
    </row>
    <row r="24" spans="1:9" x14ac:dyDescent="0.25">
      <c r="A24" s="7" t="e">
        <f t="shared" si="5"/>
        <v>#VALUE!</v>
      </c>
      <c r="B24" s="8" t="str">
        <f t="shared" si="0"/>
        <v>5</v>
      </c>
      <c r="C24" s="8">
        <f t="shared" si="1"/>
        <v>4</v>
      </c>
      <c r="D24" s="8"/>
      <c r="E24" s="9">
        <f>E23+F23/60/24</f>
        <v>43890.447916666664</v>
      </c>
      <c r="F24" s="8">
        <f t="shared" si="2"/>
        <v>105</v>
      </c>
      <c r="G24" s="8" t="s">
        <v>17</v>
      </c>
      <c r="H24" s="8" t="s">
        <v>13</v>
      </c>
      <c r="I24" s="8">
        <f>WEEKDAY(E24)</f>
        <v>7</v>
      </c>
    </row>
    <row r="25" spans="1:9" x14ac:dyDescent="0.25">
      <c r="A25" s="7" t="e">
        <f t="shared" si="5"/>
        <v>#VALUE!</v>
      </c>
      <c r="B25" s="8" t="str">
        <f t="shared" si="0"/>
        <v>5</v>
      </c>
      <c r="C25" s="8">
        <f t="shared" si="1"/>
        <v>4</v>
      </c>
      <c r="D25" s="8"/>
      <c r="E25" s="9">
        <f t="shared" ref="E25:E27" si="11">E24+F24/60/24</f>
        <v>43890.520833333328</v>
      </c>
      <c r="F25" s="8">
        <f t="shared" si="2"/>
        <v>105</v>
      </c>
      <c r="G25" s="8" t="s">
        <v>17</v>
      </c>
      <c r="H25" s="8" t="s">
        <v>13</v>
      </c>
      <c r="I25" s="8">
        <f>WEEKDAY(E25)</f>
        <v>7</v>
      </c>
    </row>
    <row r="26" spans="1:9" x14ac:dyDescent="0.25">
      <c r="A26" s="7" t="e">
        <f t="shared" si="5"/>
        <v>#VALUE!</v>
      </c>
      <c r="B26" s="8" t="str">
        <f t="shared" si="0"/>
        <v>5</v>
      </c>
      <c r="C26" s="8">
        <f t="shared" si="1"/>
        <v>4</v>
      </c>
      <c r="D26" s="8"/>
      <c r="E26" s="9">
        <f t="shared" si="11"/>
        <v>43890.593749999993</v>
      </c>
      <c r="F26" s="8">
        <f t="shared" si="2"/>
        <v>105</v>
      </c>
      <c r="G26" s="8" t="s">
        <v>17</v>
      </c>
      <c r="H26" s="8" t="s">
        <v>13</v>
      </c>
      <c r="I26" s="8">
        <f>WEEKDAY(E26)</f>
        <v>7</v>
      </c>
    </row>
    <row r="27" spans="1:9" ht="15.75" thickBot="1" x14ac:dyDescent="0.3">
      <c r="A27" s="7" t="e">
        <f t="shared" si="5"/>
        <v>#VALUE!</v>
      </c>
      <c r="B27" s="8" t="str">
        <f t="shared" si="0"/>
        <v>5</v>
      </c>
      <c r="C27" s="8">
        <f t="shared" si="1"/>
        <v>4</v>
      </c>
      <c r="D27" s="8"/>
      <c r="E27" s="9">
        <f t="shared" si="11"/>
        <v>43890.666666666657</v>
      </c>
      <c r="F27" s="8">
        <f t="shared" si="2"/>
        <v>105</v>
      </c>
      <c r="G27" s="8" t="s">
        <v>17</v>
      </c>
      <c r="H27" s="8" t="s">
        <v>13</v>
      </c>
      <c r="I27" s="8">
        <f t="shared" ref="I27" si="12">WEEKDAY(E27)</f>
        <v>7</v>
      </c>
    </row>
    <row r="28" spans="1:9" x14ac:dyDescent="0.25">
      <c r="A28" s="3" t="e">
        <f t="shared" si="5"/>
        <v>#VALUE!</v>
      </c>
      <c r="B28" s="4" t="str">
        <f t="shared" si="0"/>
        <v>6</v>
      </c>
      <c r="C28" s="4">
        <f t="shared" si="1"/>
        <v>5</v>
      </c>
      <c r="D28" s="4"/>
      <c r="E28" s="5">
        <f>E2</f>
        <v>43890.375</v>
      </c>
      <c r="F28" s="4">
        <f t="shared" si="2"/>
        <v>90</v>
      </c>
      <c r="G28" s="4" t="s">
        <v>18</v>
      </c>
      <c r="H28" s="4" t="s">
        <v>11</v>
      </c>
      <c r="I28" s="4">
        <f>WEEKDAY(E28)</f>
        <v>7</v>
      </c>
    </row>
    <row r="29" spans="1:9" x14ac:dyDescent="0.25">
      <c r="A29" s="7" t="e">
        <f t="shared" si="5"/>
        <v>#VALUE!</v>
      </c>
      <c r="B29" s="8" t="str">
        <f t="shared" si="0"/>
        <v>6</v>
      </c>
      <c r="C29" s="8">
        <f t="shared" si="1"/>
        <v>3</v>
      </c>
      <c r="D29" s="8"/>
      <c r="E29" s="9">
        <f>E28+F28/60/24</f>
        <v>43890.4375</v>
      </c>
      <c r="F29" s="8">
        <f t="shared" si="2"/>
        <v>105</v>
      </c>
      <c r="G29" s="8" t="s">
        <v>18</v>
      </c>
      <c r="H29" s="8" t="s">
        <v>12</v>
      </c>
      <c r="I29" s="8">
        <f>WEEKDAY(E29)</f>
        <v>7</v>
      </c>
    </row>
    <row r="30" spans="1:9" x14ac:dyDescent="0.25">
      <c r="A30" s="7" t="e">
        <f t="shared" si="5"/>
        <v>#VALUE!</v>
      </c>
      <c r="B30" s="8" t="str">
        <f t="shared" si="0"/>
        <v>6</v>
      </c>
      <c r="C30" s="8">
        <f t="shared" si="1"/>
        <v>3</v>
      </c>
      <c r="D30" s="8"/>
      <c r="E30" s="9">
        <f t="shared" ref="E30:E32" si="13">E29+F29/60/24</f>
        <v>43890.510416666664</v>
      </c>
      <c r="F30" s="8">
        <f t="shared" si="2"/>
        <v>105</v>
      </c>
      <c r="G30" s="8" t="s">
        <v>18</v>
      </c>
      <c r="H30" s="8" t="s">
        <v>12</v>
      </c>
      <c r="I30" s="8">
        <f>WEEKDAY(E30)</f>
        <v>7</v>
      </c>
    </row>
    <row r="31" spans="1:9" x14ac:dyDescent="0.25">
      <c r="A31" s="7" t="e">
        <f t="shared" si="5"/>
        <v>#VALUE!</v>
      </c>
      <c r="B31" s="8" t="str">
        <f t="shared" si="0"/>
        <v>6</v>
      </c>
      <c r="C31" s="8">
        <f t="shared" si="1"/>
        <v>3</v>
      </c>
      <c r="D31" s="8"/>
      <c r="E31" s="9">
        <f t="shared" si="13"/>
        <v>43890.583333333328</v>
      </c>
      <c r="F31" s="8">
        <f t="shared" si="2"/>
        <v>105</v>
      </c>
      <c r="G31" s="8" t="s">
        <v>18</v>
      </c>
      <c r="H31" s="8" t="s">
        <v>12</v>
      </c>
      <c r="I31" s="8">
        <f>WEEKDAY(E31)</f>
        <v>7</v>
      </c>
    </row>
    <row r="32" spans="1:9" ht="15.75" thickBot="1" x14ac:dyDescent="0.3">
      <c r="A32" s="10" t="e">
        <f t="shared" si="5"/>
        <v>#VALUE!</v>
      </c>
      <c r="B32" s="11" t="str">
        <f t="shared" si="0"/>
        <v>6</v>
      </c>
      <c r="C32" s="11">
        <f t="shared" si="1"/>
        <v>3</v>
      </c>
      <c r="D32" s="11"/>
      <c r="E32" s="12">
        <f t="shared" si="13"/>
        <v>43890.656249999993</v>
      </c>
      <c r="F32" s="11">
        <f t="shared" si="2"/>
        <v>105</v>
      </c>
      <c r="G32" s="11" t="s">
        <v>18</v>
      </c>
      <c r="H32" s="11" t="s">
        <v>12</v>
      </c>
      <c r="I32" s="11">
        <f t="shared" ref="I32" si="14">WEEKDAY(E32)</f>
        <v>7</v>
      </c>
    </row>
    <row r="33" spans="1:9" x14ac:dyDescent="0.25">
      <c r="A33" s="3" t="e">
        <f t="shared" si="5"/>
        <v>#VALUE!</v>
      </c>
      <c r="B33" s="4" t="str">
        <f t="shared" si="0"/>
        <v>7</v>
      </c>
      <c r="C33" s="4">
        <f t="shared" si="1"/>
        <v>5</v>
      </c>
      <c r="D33" s="4"/>
      <c r="E33" s="5">
        <f>E2</f>
        <v>43890.375</v>
      </c>
      <c r="F33" s="4">
        <f t="shared" si="2"/>
        <v>90</v>
      </c>
      <c r="G33" s="4" t="s">
        <v>19</v>
      </c>
      <c r="H33" s="4" t="s">
        <v>11</v>
      </c>
      <c r="I33" s="4">
        <f>WEEKDAY(E33)</f>
        <v>7</v>
      </c>
    </row>
    <row r="34" spans="1:9" x14ac:dyDescent="0.25">
      <c r="A34" s="7" t="e">
        <f t="shared" si="5"/>
        <v>#VALUE!</v>
      </c>
      <c r="B34" s="8" t="str">
        <f t="shared" si="0"/>
        <v>7</v>
      </c>
      <c r="C34" s="8">
        <f t="shared" si="1"/>
        <v>4</v>
      </c>
      <c r="D34" s="8"/>
      <c r="E34" s="9">
        <f>E33+F33/60/24</f>
        <v>43890.4375</v>
      </c>
      <c r="F34" s="8">
        <f t="shared" si="2"/>
        <v>105</v>
      </c>
      <c r="G34" s="8" t="s">
        <v>19</v>
      </c>
      <c r="H34" s="8" t="s">
        <v>13</v>
      </c>
      <c r="I34" s="8">
        <f>WEEKDAY(E34)</f>
        <v>7</v>
      </c>
    </row>
    <row r="35" spans="1:9" x14ac:dyDescent="0.25">
      <c r="A35" s="7" t="e">
        <f t="shared" si="5"/>
        <v>#VALUE!</v>
      </c>
      <c r="B35" s="8" t="str">
        <f t="shared" si="0"/>
        <v>7</v>
      </c>
      <c r="C35" s="8">
        <f t="shared" si="1"/>
        <v>3</v>
      </c>
      <c r="D35" s="8"/>
      <c r="E35" s="9">
        <f t="shared" ref="E35:E37" si="15">E34+F34/60/24</f>
        <v>43890.510416666664</v>
      </c>
      <c r="F35" s="8">
        <f t="shared" si="2"/>
        <v>105</v>
      </c>
      <c r="G35" s="8" t="s">
        <v>19</v>
      </c>
      <c r="H35" s="8" t="s">
        <v>12</v>
      </c>
      <c r="I35" s="8">
        <f>WEEKDAY(E35)</f>
        <v>7</v>
      </c>
    </row>
    <row r="36" spans="1:9" x14ac:dyDescent="0.25">
      <c r="A36" s="7" t="e">
        <f t="shared" si="5"/>
        <v>#VALUE!</v>
      </c>
      <c r="B36" s="8" t="str">
        <f t="shared" si="0"/>
        <v>7</v>
      </c>
      <c r="C36" s="8">
        <f t="shared" si="1"/>
        <v>2</v>
      </c>
      <c r="D36" s="8"/>
      <c r="E36" s="9">
        <f t="shared" si="15"/>
        <v>43890.583333333328</v>
      </c>
      <c r="F36" s="8">
        <f t="shared" si="2"/>
        <v>120</v>
      </c>
      <c r="G36" s="8" t="s">
        <v>19</v>
      </c>
      <c r="H36" s="8" t="s">
        <v>9</v>
      </c>
      <c r="I36" s="8">
        <f>WEEKDAY(E36)</f>
        <v>7</v>
      </c>
    </row>
    <row r="37" spans="1:9" ht="15.75" thickBot="1" x14ac:dyDescent="0.3">
      <c r="A37" s="10" t="e">
        <f t="shared" si="5"/>
        <v>#VALUE!</v>
      </c>
      <c r="B37" s="11" t="str">
        <f t="shared" si="0"/>
        <v>7</v>
      </c>
      <c r="C37" s="11">
        <f t="shared" si="1"/>
        <v>2</v>
      </c>
      <c r="D37" s="11"/>
      <c r="E37" s="12">
        <f t="shared" si="15"/>
        <v>43890.666666666664</v>
      </c>
      <c r="F37" s="11">
        <f t="shared" si="2"/>
        <v>120</v>
      </c>
      <c r="G37" s="11" t="s">
        <v>19</v>
      </c>
      <c r="H37" s="11" t="s">
        <v>9</v>
      </c>
      <c r="I37" s="11">
        <f t="shared" ref="I37" si="16">WEEKDAY(E37)</f>
        <v>7</v>
      </c>
    </row>
    <row r="38" spans="1:9" x14ac:dyDescent="0.25">
      <c r="A38" s="3" t="e">
        <f t="shared" si="5"/>
        <v>#VALUE!</v>
      </c>
      <c r="B38" s="4" t="str">
        <f t="shared" si="0"/>
        <v>8</v>
      </c>
      <c r="C38" s="4">
        <f t="shared" si="1"/>
        <v>5</v>
      </c>
      <c r="D38" s="4"/>
      <c r="E38" s="5">
        <f>E2</f>
        <v>43890.375</v>
      </c>
      <c r="F38" s="4">
        <f t="shared" si="2"/>
        <v>90</v>
      </c>
      <c r="G38" s="4" t="s">
        <v>20</v>
      </c>
      <c r="H38" s="4" t="s">
        <v>11</v>
      </c>
      <c r="I38" s="4">
        <f>WEEKDAY(E38)</f>
        <v>7</v>
      </c>
    </row>
    <row r="39" spans="1:9" x14ac:dyDescent="0.25">
      <c r="A39" s="7" t="e">
        <f t="shared" si="5"/>
        <v>#VALUE!</v>
      </c>
      <c r="B39" s="8" t="str">
        <f t="shared" si="0"/>
        <v>8</v>
      </c>
      <c r="C39" s="8">
        <f t="shared" si="1"/>
        <v>3</v>
      </c>
      <c r="D39" s="8"/>
      <c r="E39" s="9">
        <f>E38+F38/60/24</f>
        <v>43890.4375</v>
      </c>
      <c r="F39" s="8">
        <f t="shared" si="2"/>
        <v>105</v>
      </c>
      <c r="G39" s="8" t="s">
        <v>20</v>
      </c>
      <c r="H39" s="8" t="s">
        <v>12</v>
      </c>
      <c r="I39" s="8">
        <f>WEEKDAY(E39)</f>
        <v>7</v>
      </c>
    </row>
    <row r="40" spans="1:9" x14ac:dyDescent="0.25">
      <c r="A40" s="7" t="e">
        <f t="shared" si="5"/>
        <v>#VALUE!</v>
      </c>
      <c r="B40" s="8" t="str">
        <f t="shared" si="0"/>
        <v>8</v>
      </c>
      <c r="C40" s="8">
        <f t="shared" si="1"/>
        <v>3</v>
      </c>
      <c r="D40" s="8"/>
      <c r="E40" s="9">
        <f t="shared" ref="E40:E42" si="17">E39+F39/60/24</f>
        <v>43890.510416666664</v>
      </c>
      <c r="F40" s="8">
        <f t="shared" si="2"/>
        <v>105</v>
      </c>
      <c r="G40" s="8" t="s">
        <v>20</v>
      </c>
      <c r="H40" s="8" t="s">
        <v>12</v>
      </c>
      <c r="I40" s="8">
        <f>WEEKDAY(E40)</f>
        <v>7</v>
      </c>
    </row>
    <row r="41" spans="1:9" x14ac:dyDescent="0.25">
      <c r="A41" s="7" t="e">
        <f t="shared" si="5"/>
        <v>#VALUE!</v>
      </c>
      <c r="B41" s="8" t="str">
        <f t="shared" si="0"/>
        <v>8</v>
      </c>
      <c r="C41" s="8">
        <f t="shared" si="1"/>
        <v>2</v>
      </c>
      <c r="D41" s="8"/>
      <c r="E41" s="9">
        <f t="shared" si="17"/>
        <v>43890.583333333328</v>
      </c>
      <c r="F41" s="8">
        <f t="shared" si="2"/>
        <v>120</v>
      </c>
      <c r="G41" s="8" t="s">
        <v>20</v>
      </c>
      <c r="H41" s="8" t="s">
        <v>9</v>
      </c>
      <c r="I41" s="8">
        <f>WEEKDAY(E41)</f>
        <v>7</v>
      </c>
    </row>
    <row r="42" spans="1:9" ht="15.75" thickBot="1" x14ac:dyDescent="0.3">
      <c r="A42" s="10" t="e">
        <f t="shared" si="5"/>
        <v>#VALUE!</v>
      </c>
      <c r="B42" s="11" t="str">
        <f t="shared" si="0"/>
        <v>8</v>
      </c>
      <c r="C42" s="11">
        <f t="shared" si="1"/>
        <v>2</v>
      </c>
      <c r="D42" s="11"/>
      <c r="E42" s="12">
        <f t="shared" si="17"/>
        <v>43890.666666666664</v>
      </c>
      <c r="F42" s="11">
        <f t="shared" si="2"/>
        <v>120</v>
      </c>
      <c r="G42" s="11" t="s">
        <v>20</v>
      </c>
      <c r="H42" s="11" t="s">
        <v>9</v>
      </c>
      <c r="I42" s="11">
        <f>WEEKDAY(E42)</f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B759-9A77-4E15-AB95-F7266B5B31E4}">
  <sheetPr codeName="Sheet8"/>
  <dimension ref="A1:L41"/>
  <sheetViews>
    <sheetView workbookViewId="0">
      <selection activeCell="E32" sqref="E32"/>
    </sheetView>
  </sheetViews>
  <sheetFormatPr defaultRowHeight="15" x14ac:dyDescent="0.25"/>
  <cols>
    <col min="5" max="5" width="16.140625" bestFit="1" customWidth="1"/>
    <col min="8" max="8" width="11.140625" bestFit="1" customWidth="1"/>
  </cols>
  <sheetData>
    <row r="1" spans="1:12" ht="15.75" thickBot="1" x14ac:dyDescent="0.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4</v>
      </c>
      <c r="G1" t="s">
        <v>1</v>
      </c>
      <c r="H1" t="s">
        <v>5</v>
      </c>
      <c r="I1" s="2" t="s">
        <v>6</v>
      </c>
      <c r="K1" s="2"/>
    </row>
    <row r="2" spans="1:12" x14ac:dyDescent="0.25">
      <c r="A2" s="3" t="e">
        <f>A1+1</f>
        <v>#VALUE!</v>
      </c>
      <c r="B2" s="4" t="str">
        <f t="shared" ref="B2:B41" si="0">VLOOKUP(G2,field_id,2,FALSE)</f>
        <v>4</v>
      </c>
      <c r="C2" s="4">
        <f t="shared" ref="C2:C41" si="1">VLOOKUP(H2,league_id,2,FALSE)</f>
        <v>1</v>
      </c>
      <c r="D2" s="4"/>
      <c r="E2" s="5">
        <v>43890.375</v>
      </c>
      <c r="F2" s="4">
        <f t="shared" ref="F2:F41" si="2">VLOOKUP(H2,GameDuration,2,FALSE)</f>
        <v>120</v>
      </c>
      <c r="G2" s="4" t="s">
        <v>8</v>
      </c>
      <c r="H2" s="4" t="s">
        <v>8</v>
      </c>
      <c r="I2" s="4">
        <f t="shared" ref="I2:I15" si="3">WEEKDAY(E2)</f>
        <v>7</v>
      </c>
      <c r="K2" t="s">
        <v>8</v>
      </c>
      <c r="L2">
        <f t="shared" ref="L2:L8" si="4">COUNTIF(H$2:H$42,K2)</f>
        <v>5</v>
      </c>
    </row>
    <row r="3" spans="1:12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/>
      <c r="E3" s="9">
        <f>E2+F2/60/24</f>
        <v>43890.458333333336</v>
      </c>
      <c r="F3" s="8">
        <f t="shared" si="2"/>
        <v>120</v>
      </c>
      <c r="G3" s="8" t="s">
        <v>8</v>
      </c>
      <c r="H3" s="8" t="s">
        <v>8</v>
      </c>
      <c r="I3" s="8">
        <f t="shared" si="3"/>
        <v>7</v>
      </c>
      <c r="K3" t="s">
        <v>9</v>
      </c>
      <c r="L3">
        <f t="shared" si="4"/>
        <v>9</v>
      </c>
    </row>
    <row r="4" spans="1:12" x14ac:dyDescent="0.25">
      <c r="A4" s="7" t="e">
        <f t="shared" ref="A4:A41" si="5">A3+1</f>
        <v>#VALUE!</v>
      </c>
      <c r="B4" s="8" t="str">
        <f t="shared" si="0"/>
        <v>4</v>
      </c>
      <c r="C4" s="8">
        <f t="shared" si="1"/>
        <v>1</v>
      </c>
      <c r="D4" s="8"/>
      <c r="E4" s="9">
        <f>E3+F3/60/24</f>
        <v>43890.541666666672</v>
      </c>
      <c r="F4" s="8">
        <f t="shared" si="2"/>
        <v>120</v>
      </c>
      <c r="G4" s="8" t="s">
        <v>8</v>
      </c>
      <c r="H4" s="8" t="s">
        <v>8</v>
      </c>
      <c r="I4" s="8">
        <f t="shared" si="3"/>
        <v>7</v>
      </c>
      <c r="K4" t="s">
        <v>12</v>
      </c>
      <c r="L4">
        <f t="shared" si="4"/>
        <v>7</v>
      </c>
    </row>
    <row r="5" spans="1:12" x14ac:dyDescent="0.25">
      <c r="A5" s="7" t="e">
        <f t="shared" si="5"/>
        <v>#VALUE!</v>
      </c>
      <c r="B5" s="8" t="str">
        <f t="shared" si="0"/>
        <v>4</v>
      </c>
      <c r="C5" s="8">
        <f t="shared" si="1"/>
        <v>1</v>
      </c>
      <c r="D5" s="8"/>
      <c r="E5" s="9">
        <f>E4+F4/60/24</f>
        <v>43890.625000000007</v>
      </c>
      <c r="F5" s="8">
        <f t="shared" si="2"/>
        <v>120</v>
      </c>
      <c r="G5" s="8" t="s">
        <v>8</v>
      </c>
      <c r="H5" s="8" t="s">
        <v>8</v>
      </c>
      <c r="I5" s="8">
        <f t="shared" si="3"/>
        <v>7</v>
      </c>
      <c r="K5" t="s">
        <v>13</v>
      </c>
      <c r="L5">
        <f t="shared" si="4"/>
        <v>11</v>
      </c>
    </row>
    <row r="6" spans="1:12" ht="15.75" thickBot="1" x14ac:dyDescent="0.3">
      <c r="A6" s="10" t="e">
        <f t="shared" si="5"/>
        <v>#VALUE!</v>
      </c>
      <c r="B6" s="11" t="str">
        <f t="shared" si="0"/>
        <v>4</v>
      </c>
      <c r="C6" s="11">
        <f t="shared" si="1"/>
        <v>1</v>
      </c>
      <c r="D6" s="11"/>
      <c r="E6" s="12">
        <f>E5+F5/60/24</f>
        <v>43890.708333333343</v>
      </c>
      <c r="F6" s="11">
        <f t="shared" si="2"/>
        <v>120</v>
      </c>
      <c r="G6" s="11" t="s">
        <v>8</v>
      </c>
      <c r="H6" s="11" t="s">
        <v>8</v>
      </c>
      <c r="I6" s="11">
        <f t="shared" si="3"/>
        <v>7</v>
      </c>
      <c r="K6" t="s">
        <v>11</v>
      </c>
      <c r="L6">
        <f t="shared" si="4"/>
        <v>8</v>
      </c>
    </row>
    <row r="7" spans="1:12" x14ac:dyDescent="0.25">
      <c r="A7" s="3" t="e">
        <f t="shared" si="5"/>
        <v>#VALUE!</v>
      </c>
      <c r="B7" s="4" t="str">
        <f t="shared" si="0"/>
        <v>3</v>
      </c>
      <c r="C7" s="4">
        <f t="shared" si="1"/>
        <v>2</v>
      </c>
      <c r="D7" s="4"/>
      <c r="E7" s="5">
        <f>E2</f>
        <v>43890.375</v>
      </c>
      <c r="F7" s="4">
        <f t="shared" si="2"/>
        <v>120</v>
      </c>
      <c r="G7" s="4" t="s">
        <v>9</v>
      </c>
      <c r="H7" s="4" t="s">
        <v>9</v>
      </c>
      <c r="I7" s="4">
        <f t="shared" si="3"/>
        <v>7</v>
      </c>
      <c r="K7" t="s">
        <v>14</v>
      </c>
      <c r="L7">
        <f t="shared" si="4"/>
        <v>0</v>
      </c>
    </row>
    <row r="8" spans="1:12" x14ac:dyDescent="0.25">
      <c r="A8" s="7" t="e">
        <f t="shared" si="5"/>
        <v>#VALUE!</v>
      </c>
      <c r="B8" s="8" t="str">
        <f t="shared" si="0"/>
        <v>3</v>
      </c>
      <c r="C8" s="8">
        <f t="shared" si="1"/>
        <v>2</v>
      </c>
      <c r="D8" s="8"/>
      <c r="E8" s="9">
        <f>E7+F7/60/24</f>
        <v>43890.458333333336</v>
      </c>
      <c r="F8" s="8">
        <f t="shared" si="2"/>
        <v>120</v>
      </c>
      <c r="G8" s="8" t="s">
        <v>9</v>
      </c>
      <c r="H8" s="8" t="s">
        <v>9</v>
      </c>
      <c r="I8" s="8">
        <f t="shared" si="3"/>
        <v>7</v>
      </c>
      <c r="K8" t="s">
        <v>15</v>
      </c>
      <c r="L8">
        <f t="shared" si="4"/>
        <v>0</v>
      </c>
    </row>
    <row r="9" spans="1:12" x14ac:dyDescent="0.25">
      <c r="A9" s="7" t="e">
        <f t="shared" si="5"/>
        <v>#VALUE!</v>
      </c>
      <c r="B9" s="8" t="str">
        <f t="shared" si="0"/>
        <v>3</v>
      </c>
      <c r="C9" s="8">
        <f t="shared" si="1"/>
        <v>2</v>
      </c>
      <c r="D9" s="8"/>
      <c r="E9" s="9">
        <f t="shared" ref="E9:E11" si="6">E8+F8/60/24</f>
        <v>43890.541666666672</v>
      </c>
      <c r="F9" s="8">
        <f t="shared" si="2"/>
        <v>120</v>
      </c>
      <c r="G9" s="8" t="s">
        <v>9</v>
      </c>
      <c r="H9" s="8" t="s">
        <v>9</v>
      </c>
      <c r="I9" s="8">
        <f t="shared" si="3"/>
        <v>7</v>
      </c>
    </row>
    <row r="10" spans="1:12" x14ac:dyDescent="0.25">
      <c r="A10" s="7" t="e">
        <f t="shared" si="5"/>
        <v>#VALUE!</v>
      </c>
      <c r="B10" s="8" t="str">
        <f t="shared" si="0"/>
        <v>3</v>
      </c>
      <c r="C10" s="8">
        <f t="shared" si="1"/>
        <v>2</v>
      </c>
      <c r="D10" s="8"/>
      <c r="E10" s="9">
        <f t="shared" si="6"/>
        <v>43890.625000000007</v>
      </c>
      <c r="F10" s="8">
        <f t="shared" si="2"/>
        <v>120</v>
      </c>
      <c r="G10" s="8" t="s">
        <v>9</v>
      </c>
      <c r="H10" s="8" t="s">
        <v>9</v>
      </c>
      <c r="I10" s="8">
        <f t="shared" si="3"/>
        <v>7</v>
      </c>
    </row>
    <row r="11" spans="1:12" ht="15.75" thickBot="1" x14ac:dyDescent="0.3">
      <c r="A11" s="10" t="e">
        <f t="shared" si="5"/>
        <v>#VALUE!</v>
      </c>
      <c r="B11" s="11" t="str">
        <f t="shared" si="0"/>
        <v>3</v>
      </c>
      <c r="C11" s="11">
        <f t="shared" si="1"/>
        <v>2</v>
      </c>
      <c r="D11" s="11"/>
      <c r="E11" s="9">
        <f t="shared" si="6"/>
        <v>43890.708333333343</v>
      </c>
      <c r="F11" s="11">
        <f t="shared" si="2"/>
        <v>120</v>
      </c>
      <c r="G11" s="11" t="s">
        <v>9</v>
      </c>
      <c r="H11" s="11" t="s">
        <v>9</v>
      </c>
      <c r="I11" s="11">
        <f t="shared" si="3"/>
        <v>7</v>
      </c>
    </row>
    <row r="12" spans="1:12" x14ac:dyDescent="0.25">
      <c r="A12" s="3" t="e">
        <f t="shared" si="5"/>
        <v>#VALUE!</v>
      </c>
      <c r="B12" s="4" t="str">
        <f t="shared" si="0"/>
        <v>2</v>
      </c>
      <c r="C12" s="4">
        <f t="shared" si="1"/>
        <v>4</v>
      </c>
      <c r="D12" s="4"/>
      <c r="E12" s="5">
        <f>E2</f>
        <v>43890.375</v>
      </c>
      <c r="F12" s="4">
        <f t="shared" si="2"/>
        <v>105</v>
      </c>
      <c r="G12" s="4" t="s">
        <v>10</v>
      </c>
      <c r="H12" s="4" t="s">
        <v>13</v>
      </c>
      <c r="I12" s="4">
        <f t="shared" si="3"/>
        <v>7</v>
      </c>
    </row>
    <row r="13" spans="1:12" x14ac:dyDescent="0.25">
      <c r="A13" s="7" t="e">
        <f t="shared" si="5"/>
        <v>#VALUE!</v>
      </c>
      <c r="B13" s="8" t="str">
        <f t="shared" si="0"/>
        <v>2</v>
      </c>
      <c r="C13" s="8">
        <f t="shared" si="1"/>
        <v>4</v>
      </c>
      <c r="D13" s="8"/>
      <c r="E13" s="9">
        <f>E12+F12/60/24</f>
        <v>43890.447916666664</v>
      </c>
      <c r="F13" s="8">
        <f t="shared" si="2"/>
        <v>105</v>
      </c>
      <c r="G13" s="8" t="s">
        <v>10</v>
      </c>
      <c r="H13" s="8" t="s">
        <v>13</v>
      </c>
      <c r="I13" s="8">
        <f t="shared" si="3"/>
        <v>7</v>
      </c>
    </row>
    <row r="14" spans="1:12" x14ac:dyDescent="0.25">
      <c r="A14" s="7" t="e">
        <f t="shared" si="5"/>
        <v>#VALUE!</v>
      </c>
      <c r="B14" s="8" t="str">
        <f t="shared" si="0"/>
        <v>2</v>
      </c>
      <c r="C14" s="8">
        <f t="shared" si="1"/>
        <v>4</v>
      </c>
      <c r="D14" s="8"/>
      <c r="E14" s="9">
        <f t="shared" ref="E14:E16" si="7">E13+F13/60/24</f>
        <v>43890.520833333328</v>
      </c>
      <c r="F14" s="8">
        <f t="shared" si="2"/>
        <v>105</v>
      </c>
      <c r="G14" s="8" t="s">
        <v>10</v>
      </c>
      <c r="H14" s="8" t="s">
        <v>13</v>
      </c>
      <c r="I14" s="8">
        <f t="shared" si="3"/>
        <v>7</v>
      </c>
    </row>
    <row r="15" spans="1:12" x14ac:dyDescent="0.25">
      <c r="A15" s="7" t="e">
        <f t="shared" si="5"/>
        <v>#VALUE!</v>
      </c>
      <c r="B15" s="8" t="str">
        <f t="shared" si="0"/>
        <v>2</v>
      </c>
      <c r="C15" s="8">
        <f t="shared" si="1"/>
        <v>4</v>
      </c>
      <c r="D15" s="8"/>
      <c r="E15" s="9">
        <f t="shared" si="7"/>
        <v>43890.593749999993</v>
      </c>
      <c r="F15" s="8">
        <f t="shared" si="2"/>
        <v>105</v>
      </c>
      <c r="G15" s="8" t="s">
        <v>10</v>
      </c>
      <c r="H15" s="8" t="s">
        <v>13</v>
      </c>
      <c r="I15" s="8">
        <f t="shared" si="3"/>
        <v>7</v>
      </c>
    </row>
    <row r="16" spans="1:12" ht="15.75" thickBot="1" x14ac:dyDescent="0.3">
      <c r="A16" s="7" t="e">
        <f t="shared" si="5"/>
        <v>#VALUE!</v>
      </c>
      <c r="B16" s="8" t="str">
        <f t="shared" si="0"/>
        <v>2</v>
      </c>
      <c r="C16" s="8">
        <f t="shared" si="1"/>
        <v>4</v>
      </c>
      <c r="D16" s="8"/>
      <c r="E16" s="9">
        <f t="shared" si="7"/>
        <v>43890.666666666657</v>
      </c>
      <c r="F16" s="8">
        <f t="shared" si="2"/>
        <v>105</v>
      </c>
      <c r="G16" s="8" t="s">
        <v>10</v>
      </c>
      <c r="H16" s="8" t="s">
        <v>13</v>
      </c>
      <c r="I16" s="8">
        <f t="shared" ref="I16" si="8">WEEKDAY(E16)</f>
        <v>7</v>
      </c>
    </row>
    <row r="17" spans="1:9" x14ac:dyDescent="0.25">
      <c r="A17" s="3" t="e">
        <f t="shared" si="5"/>
        <v>#VALUE!</v>
      </c>
      <c r="B17" s="4" t="str">
        <f t="shared" si="0"/>
        <v>1</v>
      </c>
      <c r="C17" s="4">
        <f t="shared" si="1"/>
        <v>5</v>
      </c>
      <c r="D17" s="4"/>
      <c r="E17" s="5">
        <f>E2</f>
        <v>43890.375</v>
      </c>
      <c r="F17" s="4">
        <f t="shared" si="2"/>
        <v>90</v>
      </c>
      <c r="G17" s="4" t="s">
        <v>16</v>
      </c>
      <c r="H17" s="4" t="s">
        <v>11</v>
      </c>
      <c r="I17" s="4">
        <f>WEEKDAY(E17)</f>
        <v>7</v>
      </c>
    </row>
    <row r="18" spans="1:9" x14ac:dyDescent="0.25">
      <c r="A18" s="7" t="e">
        <f t="shared" si="5"/>
        <v>#VALUE!</v>
      </c>
      <c r="B18" s="8" t="str">
        <f t="shared" si="0"/>
        <v>1</v>
      </c>
      <c r="C18" s="8">
        <f t="shared" si="1"/>
        <v>5</v>
      </c>
      <c r="D18" s="8"/>
      <c r="E18" s="9">
        <f>E17+F17/60/24</f>
        <v>43890.4375</v>
      </c>
      <c r="F18" s="8">
        <f t="shared" si="2"/>
        <v>90</v>
      </c>
      <c r="G18" s="8" t="s">
        <v>16</v>
      </c>
      <c r="H18" s="8" t="s">
        <v>11</v>
      </c>
      <c r="I18" s="8">
        <f>WEEKDAY(E18)</f>
        <v>7</v>
      </c>
    </row>
    <row r="19" spans="1:9" x14ac:dyDescent="0.25">
      <c r="A19" s="7" t="e">
        <f t="shared" si="5"/>
        <v>#VALUE!</v>
      </c>
      <c r="B19" s="8" t="str">
        <f t="shared" si="0"/>
        <v>1</v>
      </c>
      <c r="C19" s="8">
        <f t="shared" si="1"/>
        <v>5</v>
      </c>
      <c r="D19" s="8"/>
      <c r="E19" s="9">
        <f t="shared" ref="E19:E22" si="9">E18+F18/60/24</f>
        <v>43890.5</v>
      </c>
      <c r="F19" s="8">
        <f t="shared" si="2"/>
        <v>90</v>
      </c>
      <c r="G19" s="8" t="s">
        <v>16</v>
      </c>
      <c r="H19" s="8" t="s">
        <v>11</v>
      </c>
      <c r="I19" s="8">
        <f>WEEKDAY(E19)</f>
        <v>7</v>
      </c>
    </row>
    <row r="20" spans="1:9" x14ac:dyDescent="0.25">
      <c r="A20" s="7" t="e">
        <f t="shared" si="5"/>
        <v>#VALUE!</v>
      </c>
      <c r="B20" s="8" t="str">
        <f t="shared" si="0"/>
        <v>1</v>
      </c>
      <c r="C20" s="8">
        <f t="shared" si="1"/>
        <v>5</v>
      </c>
      <c r="D20" s="8"/>
      <c r="E20" s="9">
        <f t="shared" si="9"/>
        <v>43890.5625</v>
      </c>
      <c r="F20" s="8">
        <f t="shared" si="2"/>
        <v>90</v>
      </c>
      <c r="G20" s="8" t="s">
        <v>16</v>
      </c>
      <c r="H20" s="8" t="s">
        <v>11</v>
      </c>
      <c r="I20" s="8">
        <f>WEEKDAY(E20)</f>
        <v>7</v>
      </c>
    </row>
    <row r="21" spans="1:9" x14ac:dyDescent="0.25">
      <c r="A21" s="7" t="e">
        <f t="shared" si="5"/>
        <v>#VALUE!</v>
      </c>
      <c r="B21" s="8" t="str">
        <f t="shared" si="0"/>
        <v>1</v>
      </c>
      <c r="C21" s="8">
        <f t="shared" si="1"/>
        <v>5</v>
      </c>
      <c r="D21" s="8"/>
      <c r="E21" s="9">
        <f t="shared" si="9"/>
        <v>43890.625</v>
      </c>
      <c r="F21" s="8">
        <f t="shared" si="2"/>
        <v>90</v>
      </c>
      <c r="G21" s="8" t="s">
        <v>16</v>
      </c>
      <c r="H21" s="8" t="s">
        <v>11</v>
      </c>
      <c r="I21" s="8">
        <f t="shared" ref="I21:I22" si="10">WEEKDAY(E21)</f>
        <v>7</v>
      </c>
    </row>
    <row r="22" spans="1:9" ht="15.75" thickBot="1" x14ac:dyDescent="0.3">
      <c r="A22" s="7" t="e">
        <f t="shared" si="5"/>
        <v>#VALUE!</v>
      </c>
      <c r="B22" s="8" t="str">
        <f t="shared" si="0"/>
        <v>1</v>
      </c>
      <c r="C22" s="8">
        <f t="shared" si="1"/>
        <v>5</v>
      </c>
      <c r="D22" s="8"/>
      <c r="E22" s="9">
        <f t="shared" si="9"/>
        <v>43890.6875</v>
      </c>
      <c r="F22" s="8">
        <f t="shared" si="2"/>
        <v>90</v>
      </c>
      <c r="G22" s="8" t="s">
        <v>16</v>
      </c>
      <c r="H22" s="8" t="s">
        <v>11</v>
      </c>
      <c r="I22" s="8">
        <f t="shared" si="10"/>
        <v>7</v>
      </c>
    </row>
    <row r="23" spans="1:9" x14ac:dyDescent="0.25">
      <c r="A23" s="3" t="e">
        <f t="shared" si="5"/>
        <v>#VALUE!</v>
      </c>
      <c r="B23" s="4" t="str">
        <f t="shared" si="0"/>
        <v>5</v>
      </c>
      <c r="C23" s="4">
        <f t="shared" si="1"/>
        <v>5</v>
      </c>
      <c r="D23" s="4"/>
      <c r="E23" s="5">
        <f>E2</f>
        <v>43890.375</v>
      </c>
      <c r="F23" s="4">
        <f t="shared" si="2"/>
        <v>90</v>
      </c>
      <c r="G23" s="4" t="s">
        <v>17</v>
      </c>
      <c r="H23" s="4" t="s">
        <v>11</v>
      </c>
      <c r="I23" s="4">
        <f>WEEKDAY(E23)</f>
        <v>7</v>
      </c>
    </row>
    <row r="24" spans="1:9" x14ac:dyDescent="0.25">
      <c r="A24" s="7" t="e">
        <f t="shared" si="5"/>
        <v>#VALUE!</v>
      </c>
      <c r="B24" s="8" t="str">
        <f t="shared" si="0"/>
        <v>5</v>
      </c>
      <c r="C24" s="8">
        <f t="shared" si="1"/>
        <v>4</v>
      </c>
      <c r="D24" s="8"/>
      <c r="E24" s="9">
        <f>E23+F23/60/24</f>
        <v>43890.4375</v>
      </c>
      <c r="F24" s="8">
        <f t="shared" si="2"/>
        <v>105</v>
      </c>
      <c r="G24" s="8" t="s">
        <v>17</v>
      </c>
      <c r="H24" s="8" t="s">
        <v>13</v>
      </c>
      <c r="I24" s="8">
        <f>WEEKDAY(E24)</f>
        <v>7</v>
      </c>
    </row>
    <row r="25" spans="1:9" x14ac:dyDescent="0.25">
      <c r="A25" s="7" t="e">
        <f t="shared" si="5"/>
        <v>#VALUE!</v>
      </c>
      <c r="B25" s="8" t="str">
        <f t="shared" si="0"/>
        <v>5</v>
      </c>
      <c r="C25" s="8">
        <f t="shared" si="1"/>
        <v>4</v>
      </c>
      <c r="D25" s="8"/>
      <c r="E25" s="9">
        <f t="shared" ref="E25:E27" si="11">E24+F24/60/24</f>
        <v>43890.510416666664</v>
      </c>
      <c r="F25" s="8">
        <f t="shared" si="2"/>
        <v>105</v>
      </c>
      <c r="G25" s="8" t="s">
        <v>17</v>
      </c>
      <c r="H25" s="8" t="s">
        <v>13</v>
      </c>
      <c r="I25" s="8">
        <f>WEEKDAY(E25)</f>
        <v>7</v>
      </c>
    </row>
    <row r="26" spans="1:9" x14ac:dyDescent="0.25">
      <c r="A26" s="7" t="e">
        <f t="shared" si="5"/>
        <v>#VALUE!</v>
      </c>
      <c r="B26" s="8" t="str">
        <f t="shared" si="0"/>
        <v>5</v>
      </c>
      <c r="C26" s="8">
        <f t="shared" si="1"/>
        <v>4</v>
      </c>
      <c r="D26" s="8"/>
      <c r="E26" s="9">
        <f t="shared" si="11"/>
        <v>43890.583333333328</v>
      </c>
      <c r="F26" s="8">
        <f t="shared" si="2"/>
        <v>105</v>
      </c>
      <c r="G26" s="8" t="s">
        <v>17</v>
      </c>
      <c r="H26" s="8" t="s">
        <v>13</v>
      </c>
      <c r="I26" s="8">
        <f>WEEKDAY(E26)</f>
        <v>7</v>
      </c>
    </row>
    <row r="27" spans="1:9" ht="15.75" thickBot="1" x14ac:dyDescent="0.3">
      <c r="A27" s="7" t="e">
        <f t="shared" si="5"/>
        <v>#VALUE!</v>
      </c>
      <c r="B27" s="8" t="str">
        <f t="shared" si="0"/>
        <v>5</v>
      </c>
      <c r="C27" s="8">
        <f t="shared" si="1"/>
        <v>4</v>
      </c>
      <c r="D27" s="8"/>
      <c r="E27" s="9">
        <f t="shared" si="11"/>
        <v>43890.656249999993</v>
      </c>
      <c r="F27" s="8">
        <f t="shared" si="2"/>
        <v>105</v>
      </c>
      <c r="G27" s="8" t="s">
        <v>17</v>
      </c>
      <c r="H27" s="8" t="s">
        <v>13</v>
      </c>
      <c r="I27" s="8">
        <f t="shared" ref="I27" si="12">WEEKDAY(E27)</f>
        <v>7</v>
      </c>
    </row>
    <row r="28" spans="1:9" x14ac:dyDescent="0.25">
      <c r="A28" s="3" t="e">
        <f t="shared" si="5"/>
        <v>#VALUE!</v>
      </c>
      <c r="B28" s="4" t="str">
        <f t="shared" si="0"/>
        <v>6</v>
      </c>
      <c r="C28" s="4">
        <f t="shared" si="1"/>
        <v>5</v>
      </c>
      <c r="D28" s="4"/>
      <c r="E28" s="5">
        <f>E2</f>
        <v>43890.375</v>
      </c>
      <c r="F28" s="4">
        <f t="shared" si="2"/>
        <v>90</v>
      </c>
      <c r="G28" s="4" t="s">
        <v>18</v>
      </c>
      <c r="H28" s="4" t="s">
        <v>11</v>
      </c>
      <c r="I28" s="4">
        <f>WEEKDAY(E28)</f>
        <v>7</v>
      </c>
    </row>
    <row r="29" spans="1:9" x14ac:dyDescent="0.25">
      <c r="A29" s="7" t="e">
        <f t="shared" si="5"/>
        <v>#VALUE!</v>
      </c>
      <c r="B29" s="8" t="str">
        <f t="shared" si="0"/>
        <v>6</v>
      </c>
      <c r="C29" s="8">
        <f t="shared" si="1"/>
        <v>3</v>
      </c>
      <c r="D29" s="8"/>
      <c r="E29" s="9">
        <f>E28+F28/60/24</f>
        <v>43890.4375</v>
      </c>
      <c r="F29" s="8">
        <f t="shared" si="2"/>
        <v>105</v>
      </c>
      <c r="G29" s="8" t="s">
        <v>18</v>
      </c>
      <c r="H29" s="8" t="s">
        <v>12</v>
      </c>
      <c r="I29" s="8">
        <f>WEEKDAY(E29)</f>
        <v>7</v>
      </c>
    </row>
    <row r="30" spans="1:9" x14ac:dyDescent="0.25">
      <c r="A30" s="7" t="e">
        <f t="shared" si="5"/>
        <v>#VALUE!</v>
      </c>
      <c r="B30" s="8" t="str">
        <f t="shared" si="0"/>
        <v>6</v>
      </c>
      <c r="C30" s="8">
        <f t="shared" si="1"/>
        <v>3</v>
      </c>
      <c r="D30" s="8"/>
      <c r="E30" s="9">
        <f t="shared" ref="E30:E32" si="13">E29+F29/60/24</f>
        <v>43890.510416666664</v>
      </c>
      <c r="F30" s="8">
        <f t="shared" si="2"/>
        <v>105</v>
      </c>
      <c r="G30" s="8" t="s">
        <v>18</v>
      </c>
      <c r="H30" s="8" t="s">
        <v>12</v>
      </c>
      <c r="I30" s="8">
        <f>WEEKDAY(E30)</f>
        <v>7</v>
      </c>
    </row>
    <row r="31" spans="1:9" x14ac:dyDescent="0.25">
      <c r="A31" s="7" t="e">
        <f t="shared" si="5"/>
        <v>#VALUE!</v>
      </c>
      <c r="B31" s="8" t="str">
        <f t="shared" si="0"/>
        <v>6</v>
      </c>
      <c r="C31" s="8">
        <f t="shared" si="1"/>
        <v>3</v>
      </c>
      <c r="D31" s="8"/>
      <c r="E31" s="9">
        <f t="shared" si="13"/>
        <v>43890.583333333328</v>
      </c>
      <c r="F31" s="8">
        <f t="shared" si="2"/>
        <v>105</v>
      </c>
      <c r="G31" s="8" t="s">
        <v>18</v>
      </c>
      <c r="H31" s="8" t="s">
        <v>12</v>
      </c>
      <c r="I31" s="8">
        <f>WEEKDAY(E31)</f>
        <v>7</v>
      </c>
    </row>
    <row r="32" spans="1:9" ht="15.75" thickBot="1" x14ac:dyDescent="0.3">
      <c r="A32" s="10" t="e">
        <f t="shared" si="5"/>
        <v>#VALUE!</v>
      </c>
      <c r="B32" s="11" t="str">
        <f t="shared" si="0"/>
        <v>6</v>
      </c>
      <c r="C32" s="11">
        <f t="shared" si="1"/>
        <v>3</v>
      </c>
      <c r="D32" s="11"/>
      <c r="E32" s="12">
        <f t="shared" si="13"/>
        <v>43890.656249999993</v>
      </c>
      <c r="F32" s="11">
        <f t="shared" si="2"/>
        <v>105</v>
      </c>
      <c r="G32" s="11" t="s">
        <v>18</v>
      </c>
      <c r="H32" s="11" t="s">
        <v>12</v>
      </c>
      <c r="I32" s="11">
        <f t="shared" ref="I32" si="14">WEEKDAY(E32)</f>
        <v>7</v>
      </c>
    </row>
    <row r="33" spans="1:9" x14ac:dyDescent="0.25">
      <c r="A33" s="3" t="e">
        <f t="shared" si="5"/>
        <v>#VALUE!</v>
      </c>
      <c r="B33" s="4" t="str">
        <f t="shared" si="0"/>
        <v>7</v>
      </c>
      <c r="C33" s="4">
        <f t="shared" si="1"/>
        <v>3</v>
      </c>
      <c r="D33" s="4"/>
      <c r="E33" s="5">
        <f>E2</f>
        <v>43890.375</v>
      </c>
      <c r="F33" s="4">
        <f t="shared" si="2"/>
        <v>105</v>
      </c>
      <c r="G33" s="4" t="s">
        <v>19</v>
      </c>
      <c r="H33" s="4" t="s">
        <v>12</v>
      </c>
      <c r="I33" s="4">
        <f t="shared" ref="I33:I41" si="15">WEEKDAY(E33)</f>
        <v>7</v>
      </c>
    </row>
    <row r="34" spans="1:9" x14ac:dyDescent="0.25">
      <c r="A34" s="7" t="e">
        <f t="shared" si="5"/>
        <v>#VALUE!</v>
      </c>
      <c r="B34" s="8" t="str">
        <f t="shared" si="0"/>
        <v>7</v>
      </c>
      <c r="C34" s="8">
        <f t="shared" si="1"/>
        <v>3</v>
      </c>
      <c r="D34" s="8"/>
      <c r="E34" s="9">
        <f>E33+F33/60/24</f>
        <v>43890.447916666664</v>
      </c>
      <c r="F34" s="8">
        <f t="shared" si="2"/>
        <v>105</v>
      </c>
      <c r="G34" s="8" t="s">
        <v>19</v>
      </c>
      <c r="H34" s="8" t="s">
        <v>12</v>
      </c>
      <c r="I34" s="8">
        <f t="shared" si="15"/>
        <v>7</v>
      </c>
    </row>
    <row r="35" spans="1:9" x14ac:dyDescent="0.25">
      <c r="A35" s="7" t="e">
        <f t="shared" si="5"/>
        <v>#VALUE!</v>
      </c>
      <c r="B35" s="8" t="str">
        <f t="shared" si="0"/>
        <v>7</v>
      </c>
      <c r="C35" s="8">
        <f t="shared" si="1"/>
        <v>2</v>
      </c>
      <c r="D35" s="8"/>
      <c r="E35" s="9">
        <f t="shared" ref="E35:E36" si="16">E34+F34/60/24</f>
        <v>43890.520833333328</v>
      </c>
      <c r="F35" s="8">
        <f t="shared" si="2"/>
        <v>120</v>
      </c>
      <c r="G35" s="8" t="s">
        <v>19</v>
      </c>
      <c r="H35" s="8" t="s">
        <v>9</v>
      </c>
      <c r="I35" s="8">
        <f t="shared" si="15"/>
        <v>7</v>
      </c>
    </row>
    <row r="36" spans="1:9" ht="15.75" thickBot="1" x14ac:dyDescent="0.3">
      <c r="A36" s="7" t="e">
        <f t="shared" si="5"/>
        <v>#VALUE!</v>
      </c>
      <c r="B36" s="8" t="str">
        <f t="shared" si="0"/>
        <v>7</v>
      </c>
      <c r="C36" s="8">
        <f t="shared" si="1"/>
        <v>2</v>
      </c>
      <c r="D36" s="8"/>
      <c r="E36" s="9">
        <f t="shared" si="16"/>
        <v>43890.604166666664</v>
      </c>
      <c r="F36" s="8">
        <f t="shared" si="2"/>
        <v>120</v>
      </c>
      <c r="G36" s="8" t="s">
        <v>19</v>
      </c>
      <c r="H36" s="8" t="s">
        <v>9</v>
      </c>
      <c r="I36" s="8">
        <f t="shared" si="15"/>
        <v>7</v>
      </c>
    </row>
    <row r="37" spans="1:9" x14ac:dyDescent="0.25">
      <c r="A37" s="3" t="e">
        <f>A36+1</f>
        <v>#VALUE!</v>
      </c>
      <c r="B37" s="4" t="str">
        <f t="shared" si="0"/>
        <v>8</v>
      </c>
      <c r="C37" s="4">
        <f t="shared" si="1"/>
        <v>4</v>
      </c>
      <c r="D37" s="4"/>
      <c r="E37" s="5">
        <f>E2</f>
        <v>43890.375</v>
      </c>
      <c r="F37" s="4">
        <f t="shared" si="2"/>
        <v>105</v>
      </c>
      <c r="G37" s="4" t="s">
        <v>20</v>
      </c>
      <c r="H37" s="4" t="s">
        <v>13</v>
      </c>
      <c r="I37" s="4">
        <f t="shared" si="15"/>
        <v>7</v>
      </c>
    </row>
    <row r="38" spans="1:9" x14ac:dyDescent="0.25">
      <c r="A38" s="7" t="e">
        <f t="shared" si="5"/>
        <v>#VALUE!</v>
      </c>
      <c r="B38" s="8" t="str">
        <f t="shared" si="0"/>
        <v>8</v>
      </c>
      <c r="C38" s="8">
        <f t="shared" si="1"/>
        <v>4</v>
      </c>
      <c r="D38" s="8"/>
      <c r="E38" s="9">
        <f>E37+F37/60/24</f>
        <v>43890.447916666664</v>
      </c>
      <c r="F38" s="8">
        <f t="shared" si="2"/>
        <v>105</v>
      </c>
      <c r="G38" s="8" t="s">
        <v>20</v>
      </c>
      <c r="H38" s="8" t="s">
        <v>13</v>
      </c>
      <c r="I38" s="8">
        <f t="shared" si="15"/>
        <v>7</v>
      </c>
    </row>
    <row r="39" spans="1:9" x14ac:dyDescent="0.25">
      <c r="A39" s="7" t="e">
        <f t="shared" si="5"/>
        <v>#VALUE!</v>
      </c>
      <c r="B39" s="8" t="str">
        <f t="shared" si="0"/>
        <v>8</v>
      </c>
      <c r="C39" s="8">
        <f t="shared" si="1"/>
        <v>3</v>
      </c>
      <c r="D39" s="8"/>
      <c r="E39" s="9">
        <f t="shared" ref="E39:E41" si="17">E38+F38/60/24</f>
        <v>43890.520833333328</v>
      </c>
      <c r="F39" s="8">
        <f t="shared" si="2"/>
        <v>105</v>
      </c>
      <c r="G39" s="8" t="s">
        <v>20</v>
      </c>
      <c r="H39" s="8" t="s">
        <v>12</v>
      </c>
      <c r="I39" s="8">
        <f t="shared" si="15"/>
        <v>7</v>
      </c>
    </row>
    <row r="40" spans="1:9" x14ac:dyDescent="0.25">
      <c r="A40" s="7" t="e">
        <f t="shared" si="5"/>
        <v>#VALUE!</v>
      </c>
      <c r="B40" s="8" t="str">
        <f t="shared" si="0"/>
        <v>8</v>
      </c>
      <c r="C40" s="8">
        <f t="shared" si="1"/>
        <v>2</v>
      </c>
      <c r="D40" s="8"/>
      <c r="E40" s="9">
        <f t="shared" si="17"/>
        <v>43890.593749999993</v>
      </c>
      <c r="F40" s="8">
        <f t="shared" si="2"/>
        <v>120</v>
      </c>
      <c r="G40" s="8" t="s">
        <v>20</v>
      </c>
      <c r="H40" s="8" t="s">
        <v>9</v>
      </c>
      <c r="I40" s="8">
        <f t="shared" si="15"/>
        <v>7</v>
      </c>
    </row>
    <row r="41" spans="1:9" ht="15.75" thickBot="1" x14ac:dyDescent="0.3">
      <c r="A41" s="10" t="e">
        <f t="shared" si="5"/>
        <v>#VALUE!</v>
      </c>
      <c r="B41" s="11" t="str">
        <f t="shared" si="0"/>
        <v>8</v>
      </c>
      <c r="C41" s="11">
        <f t="shared" si="1"/>
        <v>2</v>
      </c>
      <c r="D41" s="11"/>
      <c r="E41" s="12">
        <f t="shared" si="17"/>
        <v>43890.677083333328</v>
      </c>
      <c r="F41" s="11">
        <f t="shared" si="2"/>
        <v>120</v>
      </c>
      <c r="G41" s="11" t="s">
        <v>20</v>
      </c>
      <c r="H41" s="11" t="s">
        <v>9</v>
      </c>
      <c r="I41" s="11">
        <f t="shared" si="15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B26"/>
  <sheetViews>
    <sheetView workbookViewId="0">
      <selection activeCell="E29" sqref="E29"/>
    </sheetView>
  </sheetViews>
  <sheetFormatPr defaultRowHeight="15" x14ac:dyDescent="0.25"/>
  <sheetData>
    <row r="1" spans="1:2" x14ac:dyDescent="0.25">
      <c r="A1" t="s">
        <v>8</v>
      </c>
      <c r="B1">
        <v>120</v>
      </c>
    </row>
    <row r="2" spans="1:2" x14ac:dyDescent="0.25">
      <c r="A2" t="s">
        <v>9</v>
      </c>
      <c r="B2">
        <v>120</v>
      </c>
    </row>
    <row r="3" spans="1:2" x14ac:dyDescent="0.25">
      <c r="A3" t="s">
        <v>12</v>
      </c>
      <c r="B3">
        <v>105</v>
      </c>
    </row>
    <row r="4" spans="1:2" x14ac:dyDescent="0.25">
      <c r="A4" t="s">
        <v>13</v>
      </c>
      <c r="B4">
        <v>105</v>
      </c>
    </row>
    <row r="5" spans="1:2" x14ac:dyDescent="0.25">
      <c r="A5" t="s">
        <v>11</v>
      </c>
      <c r="B5">
        <v>90</v>
      </c>
    </row>
    <row r="6" spans="1:2" x14ac:dyDescent="0.25">
      <c r="A6" t="s">
        <v>14</v>
      </c>
      <c r="B6">
        <v>60</v>
      </c>
    </row>
    <row r="7" spans="1:2" x14ac:dyDescent="0.25">
      <c r="A7" t="s">
        <v>15</v>
      </c>
      <c r="B7">
        <v>60</v>
      </c>
    </row>
    <row r="11" spans="1:2" x14ac:dyDescent="0.25">
      <c r="A11" t="s">
        <v>8</v>
      </c>
      <c r="B11">
        <v>1</v>
      </c>
    </row>
    <row r="12" spans="1:2" x14ac:dyDescent="0.25">
      <c r="A12" t="s">
        <v>9</v>
      </c>
      <c r="B12">
        <v>2</v>
      </c>
    </row>
    <row r="13" spans="1:2" x14ac:dyDescent="0.25">
      <c r="A13" t="s">
        <v>12</v>
      </c>
      <c r="B13">
        <v>3</v>
      </c>
    </row>
    <row r="14" spans="1:2" x14ac:dyDescent="0.25">
      <c r="A14" t="s">
        <v>13</v>
      </c>
      <c r="B14">
        <v>4</v>
      </c>
    </row>
    <row r="15" spans="1:2" x14ac:dyDescent="0.25">
      <c r="A15" t="s">
        <v>11</v>
      </c>
      <c r="B15">
        <v>5</v>
      </c>
    </row>
    <row r="16" spans="1:2" x14ac:dyDescent="0.25">
      <c r="A16" t="s">
        <v>14</v>
      </c>
      <c r="B16">
        <v>6</v>
      </c>
    </row>
    <row r="17" spans="1:2" x14ac:dyDescent="0.25">
      <c r="A17" t="s">
        <v>15</v>
      </c>
      <c r="B17">
        <v>7</v>
      </c>
    </row>
    <row r="19" spans="1:2" x14ac:dyDescent="0.25">
      <c r="A19" t="s">
        <v>20</v>
      </c>
      <c r="B19" t="s">
        <v>42</v>
      </c>
    </row>
    <row r="20" spans="1:2" x14ac:dyDescent="0.25">
      <c r="A20" t="s">
        <v>19</v>
      </c>
      <c r="B20" t="s">
        <v>43</v>
      </c>
    </row>
    <row r="21" spans="1:2" x14ac:dyDescent="0.25">
      <c r="A21" t="s">
        <v>18</v>
      </c>
      <c r="B21" t="s">
        <v>44</v>
      </c>
    </row>
    <row r="22" spans="1:2" x14ac:dyDescent="0.25">
      <c r="A22" t="s">
        <v>17</v>
      </c>
      <c r="B22" t="s">
        <v>45</v>
      </c>
    </row>
    <row r="23" spans="1:2" x14ac:dyDescent="0.25">
      <c r="A23" t="s">
        <v>8</v>
      </c>
      <c r="B23" t="s">
        <v>46</v>
      </c>
    </row>
    <row r="24" spans="1:2" x14ac:dyDescent="0.25">
      <c r="A24" t="s">
        <v>9</v>
      </c>
      <c r="B24" t="s">
        <v>47</v>
      </c>
    </row>
    <row r="25" spans="1:2" x14ac:dyDescent="0.25">
      <c r="A25" t="s">
        <v>10</v>
      </c>
      <c r="B25" t="s">
        <v>48</v>
      </c>
    </row>
    <row r="26" spans="1:2" x14ac:dyDescent="0.25">
      <c r="A26" t="s">
        <v>16</v>
      </c>
      <c r="B26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Schedule</vt:lpstr>
      <vt:lpstr>Dates</vt:lpstr>
      <vt:lpstr>Weeknights</vt:lpstr>
      <vt:lpstr>Friday Nights</vt:lpstr>
      <vt:lpstr>Sat</vt:lpstr>
      <vt:lpstr>Sat No CL</vt:lpstr>
      <vt:lpstr>Sat No ITB</vt:lpstr>
      <vt:lpstr>Sat No CL or ITB</vt:lpstr>
      <vt:lpstr>Tables</vt:lpstr>
      <vt:lpstr>field_id</vt:lpstr>
      <vt:lpstr>FridayNights</vt:lpstr>
      <vt:lpstr>GameDays</vt:lpstr>
      <vt:lpstr>GameDuration</vt:lpstr>
      <vt:lpstr>generatedSchedule</vt:lpstr>
      <vt:lpstr>league_id</vt:lpstr>
      <vt:lpstr>Sat</vt:lpstr>
      <vt:lpstr>SatNoCL</vt:lpstr>
      <vt:lpstr>SatNoCLorITB</vt:lpstr>
      <vt:lpstr>SatNoITB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2019-09-30T18:07:11Z</dcterms:modified>
</cp:coreProperties>
</file>